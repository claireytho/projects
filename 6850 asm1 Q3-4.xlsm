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pple/Downloads/"/>
    </mc:Choice>
  </mc:AlternateContent>
  <xr:revisionPtr revIDLastSave="0" documentId="13_ncr:1_{51745253-0E02-1F4C-8276-41A6564D1142}" xr6:coauthVersionLast="47" xr6:coauthVersionMax="47" xr10:uidLastSave="{00000000-0000-0000-0000-000000000000}"/>
  <bookViews>
    <workbookView xWindow="7980" yWindow="1200" windowWidth="30120" windowHeight="17500" xr2:uid="{00000000-000D-0000-FFFF-FFFF00000000}"/>
  </bookViews>
  <sheets>
    <sheet name="Q3" sheetId="31" r:id="rId1"/>
    <sheet name="Q4 (a)" sheetId="33" r:id="rId2"/>
    <sheet name="Q4 (b)" sheetId="34" r:id="rId3"/>
    <sheet name="Q3 (2)" sheetId="30" state="hidden" r:id="rId4"/>
  </sheets>
  <functionGroups builtInGroupCount="19"/>
  <externalReferences>
    <externalReference r:id="rId5"/>
  </externalReferences>
  <definedNames>
    <definedName name="AC">#REF!</definedName>
    <definedName name="AnnualCoupon" localSheetId="0">#REF!</definedName>
    <definedName name="AnnualCoupon" localSheetId="3">#REF!</definedName>
    <definedName name="AnnualCoupon" localSheetId="1">#REF!</definedName>
    <definedName name="AnnualCoupon" localSheetId="2">#REF!</definedName>
    <definedName name="AnnualCoupon">#REF!</definedName>
    <definedName name="AnnualCoupon1" localSheetId="0">#REF!</definedName>
    <definedName name="AnnualCoupon1" localSheetId="3">#REF!</definedName>
    <definedName name="AnnualCoupon1">#REF!</definedName>
    <definedName name="AnnualCoupon2" localSheetId="0">#REF!</definedName>
    <definedName name="AnnualCoupon2" localSheetId="3">#REF!</definedName>
    <definedName name="AnnualCoupon2">#REF!</definedName>
    <definedName name="BondPrice" localSheetId="0">#REF!</definedName>
    <definedName name="BondPrice" localSheetId="3">#REF!</definedName>
    <definedName name="BondPrice">#REF!</definedName>
    <definedName name="BondPrice2" localSheetId="0">#REF!</definedName>
    <definedName name="BondPrice2" localSheetId="3">#REF!</definedName>
    <definedName name="BondPrice2">#REF!</definedName>
    <definedName name="FaceValue" localSheetId="0">#REF!</definedName>
    <definedName name="FaceValue" localSheetId="3">#REF!</definedName>
    <definedName name="FaceValue">#REF!</definedName>
    <definedName name="Maturity" localSheetId="0">#REF!</definedName>
    <definedName name="Maturity" localSheetId="3">#REF!</definedName>
    <definedName name="Maturity">#REF!</definedName>
    <definedName name="Maturity2" localSheetId="0">#REF!</definedName>
    <definedName name="Maturity2" localSheetId="3">#REF!</definedName>
    <definedName name="Maturity2">#REF!</definedName>
    <definedName name="PeriodCoupon" localSheetId="0">#REF!</definedName>
    <definedName name="PeriodCoupon" localSheetId="3">#REF!</definedName>
    <definedName name="PeriodCoupon">#REF!</definedName>
    <definedName name="PeriodCoupon2" localSheetId="0">#REF!</definedName>
    <definedName name="PeriodCoupon2" localSheetId="3">#REF!</definedName>
    <definedName name="PeriodCoupon2">#REF!</definedName>
    <definedName name="SemiAnnualPeriod" localSheetId="0">#REF!</definedName>
    <definedName name="SemiAnnualPeriod" localSheetId="3">#REF!</definedName>
    <definedName name="SemiAnnualPeriod">#REF!</definedName>
    <definedName name="SemiAnnualPeriod2" localSheetId="0">#REF!</definedName>
    <definedName name="SemiAnnualPeriod2" localSheetId="3">#REF!</definedName>
    <definedName name="SemiAnnualPeriod2">#REF!</definedName>
    <definedName name="solver_adj" localSheetId="0" hidden="1">'Q3'!#REF!</definedName>
    <definedName name="solver_adj" localSheetId="3" hidden="1">'Q3 (2)'!#REF!</definedName>
    <definedName name="solver_cvg" localSheetId="0" hidden="1">0.0001</definedName>
    <definedName name="solver_cvg" localSheetId="3" hidden="1">0.0001</definedName>
    <definedName name="solver_drv" localSheetId="0" hidden="1">1</definedName>
    <definedName name="solver_drv" localSheetId="3" hidden="1">1</definedName>
    <definedName name="solver_est" localSheetId="0" hidden="1">1</definedName>
    <definedName name="solver_est" localSheetId="3" hidden="1">1</definedName>
    <definedName name="solver_itr" localSheetId="0" hidden="1">100</definedName>
    <definedName name="solver_itr" localSheetId="3" hidden="1">100</definedName>
    <definedName name="solver_lin" localSheetId="0" hidden="1">2</definedName>
    <definedName name="solver_lin" localSheetId="3" hidden="1">2</definedName>
    <definedName name="solver_neg" localSheetId="0" hidden="1">2</definedName>
    <definedName name="solver_neg" localSheetId="3" hidden="1">2</definedName>
    <definedName name="solver_num" localSheetId="0" hidden="1">0</definedName>
    <definedName name="solver_num" localSheetId="3" hidden="1">0</definedName>
    <definedName name="solver_nwt" localSheetId="0" hidden="1">1</definedName>
    <definedName name="solver_nwt" localSheetId="3" hidden="1">1</definedName>
    <definedName name="solver_opt" localSheetId="0" hidden="1">'Q3'!#REF!</definedName>
    <definedName name="solver_opt" localSheetId="3" hidden="1">'Q3 (2)'!#REF!</definedName>
    <definedName name="solver_pre" localSheetId="0" hidden="1">0.000001</definedName>
    <definedName name="solver_pre" localSheetId="3" hidden="1">0.000001</definedName>
    <definedName name="solver_scl" localSheetId="0" hidden="1">2</definedName>
    <definedName name="solver_scl" localSheetId="3" hidden="1">2</definedName>
    <definedName name="solver_sho" localSheetId="0" hidden="1">2</definedName>
    <definedName name="solver_sho" localSheetId="3" hidden="1">2</definedName>
    <definedName name="solver_tim" localSheetId="0" hidden="1">100</definedName>
    <definedName name="solver_tim" localSheetId="3" hidden="1">100</definedName>
    <definedName name="solver_tol" localSheetId="0" hidden="1">0.05</definedName>
    <definedName name="solver_tol" localSheetId="3" hidden="1">0.05</definedName>
    <definedName name="solver_typ" localSheetId="0" hidden="1">3</definedName>
    <definedName name="solver_typ" localSheetId="3" hidden="1">3</definedName>
    <definedName name="solver_val" localSheetId="0" hidden="1">0</definedName>
    <definedName name="solver_val" localSheetId="3" hidden="1">0</definedName>
    <definedName name="X" localSheetId="0">#REF!</definedName>
    <definedName name="X" localSheetId="3">#REF!</definedName>
    <definedName name="X">#REF!</definedName>
    <definedName name="Xa" localSheetId="0">#REF!</definedName>
    <definedName name="Xa" localSheetId="3">#REF!</definedName>
    <definedName name="Xa">#REF!</definedName>
    <definedName name="Xb" localSheetId="0">#REF!</definedName>
    <definedName name="Xb" localSheetId="3">#REF!</definedName>
    <definedName name="Xb">#REF!</definedName>
    <definedName name="Xc" localSheetId="0">#REF!</definedName>
    <definedName name="Xc" localSheetId="3">#REF!</definedName>
    <definedName name="Xc">#REF!</definedName>
    <definedName name="XX" localSheetId="0">#REF!</definedName>
    <definedName name="XX" localSheetId="3">#REF!</definedName>
    <definedName name="XX">#REF!</definedName>
    <definedName name="Y" localSheetId="0">#REF!</definedName>
    <definedName name="Y" localSheetId="3">#REF!</definedName>
    <definedName name="Y">#REF!</definedName>
    <definedName name="Ya" localSheetId="0">#REF!</definedName>
    <definedName name="Ya" localSheetId="3">#REF!</definedName>
    <definedName name="Ya">#REF!</definedName>
    <definedName name="Yb" localSheetId="0">#REF!</definedName>
    <definedName name="Yb" localSheetId="3">#REF!</definedName>
    <definedName name="Yb">#REF!</definedName>
    <definedName name="Yc" localSheetId="0">#REF!</definedName>
    <definedName name="Yc" localSheetId="3">#REF!</definedName>
    <definedName name="Y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31" l="1"/>
  <c r="J68" i="34"/>
  <c r="C38" i="34"/>
  <c r="C44" i="34"/>
  <c r="C46" i="34"/>
  <c r="C52" i="34"/>
  <c r="C54" i="34"/>
  <c r="C60" i="34"/>
  <c r="C62" i="34"/>
  <c r="B36" i="34"/>
  <c r="C36" i="34"/>
  <c r="E36" i="34"/>
  <c r="B37" i="34"/>
  <c r="E37" i="34" s="1"/>
  <c r="F37" i="34" s="1"/>
  <c r="G37" i="34" s="1"/>
  <c r="H37" i="34" s="1"/>
  <c r="B38" i="34"/>
  <c r="E38" i="34" s="1"/>
  <c r="B39" i="34"/>
  <c r="E39" i="34" s="1"/>
  <c r="F39" i="34" s="1"/>
  <c r="G39" i="34" s="1"/>
  <c r="H39" i="34" s="1"/>
  <c r="C39" i="34"/>
  <c r="B40" i="34"/>
  <c r="E40" i="34" s="1"/>
  <c r="C40" i="34"/>
  <c r="B41" i="34"/>
  <c r="E41" i="34" s="1"/>
  <c r="C41" i="34"/>
  <c r="B42" i="34"/>
  <c r="E42" i="34" s="1"/>
  <c r="F42" i="34" s="1"/>
  <c r="G42" i="34" s="1"/>
  <c r="H42" i="34" s="1"/>
  <c r="C42" i="34"/>
  <c r="B44" i="34"/>
  <c r="E44" i="34" s="1"/>
  <c r="B45" i="34"/>
  <c r="E45" i="34" s="1"/>
  <c r="B46" i="34"/>
  <c r="E46" i="34" s="1"/>
  <c r="F46" i="34" s="1"/>
  <c r="G46" i="34" s="1"/>
  <c r="H46" i="34" s="1"/>
  <c r="B47" i="34"/>
  <c r="E47" i="34" s="1"/>
  <c r="C47" i="34"/>
  <c r="B48" i="34"/>
  <c r="E48" i="34" s="1"/>
  <c r="C48" i="34"/>
  <c r="B49" i="34"/>
  <c r="E49" i="34" s="1"/>
  <c r="F49" i="34" s="1"/>
  <c r="G49" i="34" s="1"/>
  <c r="H49" i="34" s="1"/>
  <c r="C49" i="34"/>
  <c r="B50" i="34"/>
  <c r="E50" i="34" s="1"/>
  <c r="C50" i="34"/>
  <c r="B52" i="34"/>
  <c r="E52" i="34" s="1"/>
  <c r="B53" i="34"/>
  <c r="E53" i="34" s="1"/>
  <c r="F53" i="34" s="1"/>
  <c r="G53" i="34" s="1"/>
  <c r="H53" i="34" s="1"/>
  <c r="B54" i="34"/>
  <c r="E54" i="34" s="1"/>
  <c r="B55" i="34"/>
  <c r="C55" i="34"/>
  <c r="E55" i="34"/>
  <c r="F55" i="34" s="1"/>
  <c r="G55" i="34" s="1"/>
  <c r="H55" i="34" s="1"/>
  <c r="B56" i="34"/>
  <c r="E56" i="34" s="1"/>
  <c r="C56" i="34"/>
  <c r="B57" i="34"/>
  <c r="E57" i="34" s="1"/>
  <c r="C57" i="34"/>
  <c r="B58" i="34"/>
  <c r="E58" i="34" s="1"/>
  <c r="F58" i="34" s="1"/>
  <c r="G58" i="34" s="1"/>
  <c r="H58" i="34" s="1"/>
  <c r="C58" i="34"/>
  <c r="B60" i="34"/>
  <c r="E60" i="34" s="1"/>
  <c r="B61" i="34"/>
  <c r="E61" i="34" s="1"/>
  <c r="F61" i="34" s="1"/>
  <c r="G61" i="34" s="1"/>
  <c r="H61" i="34" s="1"/>
  <c r="B62" i="34"/>
  <c r="E62" i="34" s="1"/>
  <c r="B63" i="34"/>
  <c r="E63" i="34" s="1"/>
  <c r="C63" i="34"/>
  <c r="B64" i="34"/>
  <c r="E64" i="34" s="1"/>
  <c r="C64" i="34"/>
  <c r="B65" i="34"/>
  <c r="E65" i="34" s="1"/>
  <c r="C65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C74" i="34" s="1"/>
  <c r="D74" i="34" s="1"/>
  <c r="A73" i="34"/>
  <c r="C73" i="34" s="1"/>
  <c r="A72" i="34"/>
  <c r="A71" i="34"/>
  <c r="I70" i="34"/>
  <c r="J70" i="34" s="1"/>
  <c r="K70" i="34" s="1"/>
  <c r="L70" i="34" s="1"/>
  <c r="A70" i="34"/>
  <c r="J69" i="34"/>
  <c r="K69" i="34" s="1"/>
  <c r="L69" i="34" s="1"/>
  <c r="A69" i="34"/>
  <c r="C69" i="34" s="1"/>
  <c r="B68" i="34"/>
  <c r="A68" i="34"/>
  <c r="C79" i="34"/>
  <c r="D79" i="34" s="1"/>
  <c r="C71" i="34"/>
  <c r="D71" i="34" s="1"/>
  <c r="C60" i="33"/>
  <c r="B47" i="33"/>
  <c r="E47" i="33" s="1"/>
  <c r="E36" i="33"/>
  <c r="R2" i="31" a="1"/>
  <c r="F40" i="34" l="1"/>
  <c r="G40" i="34" s="1"/>
  <c r="H40" i="34" s="1"/>
  <c r="F62" i="34"/>
  <c r="G62" i="34" s="1"/>
  <c r="H62" i="34" s="1"/>
  <c r="F56" i="34"/>
  <c r="G56" i="34" s="1"/>
  <c r="H56" i="34" s="1"/>
  <c r="F45" i="34"/>
  <c r="G45" i="34" s="1"/>
  <c r="H45" i="34" s="1"/>
  <c r="F64" i="34"/>
  <c r="G64" i="34" s="1"/>
  <c r="H64" i="34" s="1"/>
  <c r="F54" i="34"/>
  <c r="G54" i="34" s="1"/>
  <c r="H54" i="34" s="1"/>
  <c r="F48" i="34"/>
  <c r="G48" i="34" s="1"/>
  <c r="H48" i="34" s="1"/>
  <c r="D69" i="34"/>
  <c r="F65" i="34"/>
  <c r="G65" i="34" s="1"/>
  <c r="H65" i="34" s="1"/>
  <c r="F38" i="34"/>
  <c r="G38" i="34" s="1"/>
  <c r="H38" i="34" s="1"/>
  <c r="F50" i="34"/>
  <c r="G50" i="34" s="1"/>
  <c r="H50" i="34" s="1"/>
  <c r="F63" i="34"/>
  <c r="G63" i="34" s="1"/>
  <c r="H63" i="34" s="1"/>
  <c r="F47" i="34"/>
  <c r="G47" i="34" s="1"/>
  <c r="H47" i="34" s="1"/>
  <c r="F57" i="34"/>
  <c r="G57" i="34" s="1"/>
  <c r="H57" i="34" s="1"/>
  <c r="F41" i="34"/>
  <c r="G41" i="34" s="1"/>
  <c r="H41" i="34" s="1"/>
  <c r="C59" i="34"/>
  <c r="C51" i="34"/>
  <c r="C43" i="34"/>
  <c r="B59" i="34"/>
  <c r="E59" i="34" s="1"/>
  <c r="F59" i="34" s="1"/>
  <c r="G59" i="34" s="1"/>
  <c r="H59" i="34" s="1"/>
  <c r="B51" i="34"/>
  <c r="E51" i="34" s="1"/>
  <c r="F51" i="34" s="1"/>
  <c r="G51" i="34" s="1"/>
  <c r="H51" i="34" s="1"/>
  <c r="B43" i="34"/>
  <c r="E43" i="34" s="1"/>
  <c r="F43" i="34" s="1"/>
  <c r="G43" i="34" s="1"/>
  <c r="H43" i="34" s="1"/>
  <c r="C61" i="34"/>
  <c r="C53" i="34"/>
  <c r="C45" i="34"/>
  <c r="C37" i="34"/>
  <c r="C84" i="34"/>
  <c r="D84" i="34" s="1"/>
  <c r="C87" i="34"/>
  <c r="D87" i="34" s="1"/>
  <c r="C98" i="34"/>
  <c r="D98" i="34" s="1"/>
  <c r="C95" i="34"/>
  <c r="D95" i="34" s="1"/>
  <c r="I71" i="34"/>
  <c r="I72" i="34" s="1"/>
  <c r="I73" i="34" s="1"/>
  <c r="I74" i="34" s="1"/>
  <c r="C89" i="34"/>
  <c r="D89" i="34" s="1"/>
  <c r="C94" i="34"/>
  <c r="D94" i="34" s="1"/>
  <c r="C90" i="34"/>
  <c r="D90" i="34" s="1"/>
  <c r="C77" i="34"/>
  <c r="D77" i="34" s="1"/>
  <c r="C78" i="34"/>
  <c r="D78" i="34" s="1"/>
  <c r="C72" i="34"/>
  <c r="D72" i="34" s="1"/>
  <c r="C70" i="34"/>
  <c r="J71" i="34"/>
  <c r="K71" i="34" s="1"/>
  <c r="L71" i="34" s="1"/>
  <c r="D73" i="34"/>
  <c r="C83" i="34"/>
  <c r="D83" i="34" s="1"/>
  <c r="C82" i="34"/>
  <c r="D82" i="34" s="1"/>
  <c r="C81" i="34"/>
  <c r="D81" i="34" s="1"/>
  <c r="C75" i="34"/>
  <c r="D75" i="34" s="1"/>
  <c r="M69" i="34"/>
  <c r="N69" i="34" s="1"/>
  <c r="O69" i="34" s="1"/>
  <c r="J72" i="34"/>
  <c r="K72" i="34" s="1"/>
  <c r="L72" i="34" s="1"/>
  <c r="C91" i="34"/>
  <c r="D91" i="34" s="1"/>
  <c r="C76" i="34"/>
  <c r="D76" i="34" s="1"/>
  <c r="C92" i="34"/>
  <c r="D92" i="34" s="1"/>
  <c r="C97" i="34"/>
  <c r="D97" i="34" s="1"/>
  <c r="C86" i="34"/>
  <c r="D86" i="34" s="1"/>
  <c r="M70" i="34"/>
  <c r="N70" i="34" s="1"/>
  <c r="O70" i="34" s="1"/>
  <c r="G69" i="34" s="1"/>
  <c r="C93" i="34"/>
  <c r="D93" i="34" s="1"/>
  <c r="C85" i="34"/>
  <c r="D85" i="34" s="1"/>
  <c r="C80" i="34"/>
  <c r="D80" i="34" s="1"/>
  <c r="C88" i="34"/>
  <c r="D88" i="34" s="1"/>
  <c r="C96" i="34"/>
  <c r="D96" i="34" s="1"/>
  <c r="B62" i="33"/>
  <c r="E62" i="33" s="1"/>
  <c r="B44" i="33"/>
  <c r="E44" i="33" s="1"/>
  <c r="B54" i="33"/>
  <c r="E54" i="33" s="1"/>
  <c r="C44" i="33"/>
  <c r="C54" i="33"/>
  <c r="B56" i="33"/>
  <c r="E56" i="33" s="1"/>
  <c r="B36" i="33"/>
  <c r="B46" i="33"/>
  <c r="E46" i="33" s="1"/>
  <c r="F47" i="33" s="1"/>
  <c r="G47" i="33" s="1"/>
  <c r="H47" i="33" s="1"/>
  <c r="B58" i="33"/>
  <c r="E58" i="33" s="1"/>
  <c r="C36" i="33"/>
  <c r="C46" i="33"/>
  <c r="B38" i="33"/>
  <c r="E38" i="33" s="1"/>
  <c r="B51" i="33"/>
  <c r="E51" i="33" s="1"/>
  <c r="C37" i="33"/>
  <c r="C45" i="33"/>
  <c r="C53" i="33"/>
  <c r="C38" i="33"/>
  <c r="B52" i="33"/>
  <c r="E52" i="33" s="1"/>
  <c r="C62" i="33"/>
  <c r="B43" i="33"/>
  <c r="E43" i="33" s="1"/>
  <c r="C52" i="33"/>
  <c r="C63" i="33"/>
  <c r="B63" i="33"/>
  <c r="E63" i="33" s="1"/>
  <c r="C39" i="33"/>
  <c r="C55" i="33"/>
  <c r="B55" i="33"/>
  <c r="E55" i="33" s="1"/>
  <c r="B48" i="33"/>
  <c r="E48" i="33" s="1"/>
  <c r="F48" i="33" s="1"/>
  <c r="G48" i="33" s="1"/>
  <c r="H48" i="33" s="1"/>
  <c r="C47" i="33"/>
  <c r="B64" i="33"/>
  <c r="E64" i="33" s="1"/>
  <c r="C64" i="33"/>
  <c r="C56" i="33"/>
  <c r="C41" i="33"/>
  <c r="B41" i="33"/>
  <c r="E41" i="33" s="1"/>
  <c r="C49" i="33"/>
  <c r="B49" i="33"/>
  <c r="E49" i="33" s="1"/>
  <c r="F49" i="33" s="1"/>
  <c r="G49" i="33" s="1"/>
  <c r="H49" i="33" s="1"/>
  <c r="C57" i="33"/>
  <c r="B57" i="33"/>
  <c r="E57" i="33" s="1"/>
  <c r="C65" i="33"/>
  <c r="B65" i="33"/>
  <c r="E65" i="33" s="1"/>
  <c r="F65" i="33" s="1"/>
  <c r="G65" i="33" s="1"/>
  <c r="H65" i="33" s="1"/>
  <c r="C48" i="33"/>
  <c r="B39" i="33"/>
  <c r="E39" i="33" s="1"/>
  <c r="B40" i="33"/>
  <c r="E40" i="33" s="1"/>
  <c r="C40" i="33"/>
  <c r="C59" i="33"/>
  <c r="B59" i="33"/>
  <c r="E59" i="33" s="1"/>
  <c r="B42" i="33"/>
  <c r="E42" i="33" s="1"/>
  <c r="C42" i="33"/>
  <c r="C50" i="33"/>
  <c r="C43" i="33"/>
  <c r="C51" i="33"/>
  <c r="C58" i="33"/>
  <c r="B50" i="33"/>
  <c r="E50" i="33" s="1"/>
  <c r="B60" i="33"/>
  <c r="E60" i="33" s="1"/>
  <c r="F60" i="33" s="1"/>
  <c r="G60" i="33" s="1"/>
  <c r="H60" i="33" s="1"/>
  <c r="B37" i="33"/>
  <c r="E37" i="33" s="1"/>
  <c r="F37" i="33" s="1"/>
  <c r="G37" i="33" s="1"/>
  <c r="H37" i="33" s="1"/>
  <c r="B45" i="33"/>
  <c r="E45" i="33" s="1"/>
  <c r="B53" i="33"/>
  <c r="E53" i="33" s="1"/>
  <c r="B61" i="33"/>
  <c r="E61" i="33" s="1"/>
  <c r="F62" i="33" s="1"/>
  <c r="G62" i="33" s="1"/>
  <c r="H62" i="33" s="1"/>
  <c r="C61" i="33"/>
  <c r="R2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E69" i="34" l="1"/>
  <c r="F69" i="34" s="1"/>
  <c r="D70" i="34"/>
  <c r="D100" i="34" s="1"/>
  <c r="E72" i="34"/>
  <c r="F72" i="34" s="1"/>
  <c r="F44" i="34"/>
  <c r="G44" i="34" s="1"/>
  <c r="H44" i="34" s="1"/>
  <c r="F60" i="34"/>
  <c r="G60" i="34" s="1"/>
  <c r="H60" i="34" s="1"/>
  <c r="F52" i="34"/>
  <c r="G52" i="34" s="1"/>
  <c r="H52" i="34" s="1"/>
  <c r="J73" i="34"/>
  <c r="K73" i="34" s="1"/>
  <c r="L73" i="34" s="1"/>
  <c r="E70" i="34"/>
  <c r="F70" i="34" s="1"/>
  <c r="F53" i="33"/>
  <c r="G53" i="33" s="1"/>
  <c r="H53" i="33" s="1"/>
  <c r="F55" i="33"/>
  <c r="G55" i="33" s="1"/>
  <c r="H55" i="33" s="1"/>
  <c r="F45" i="33"/>
  <c r="G45" i="33" s="1"/>
  <c r="H45" i="33" s="1"/>
  <c r="F63" i="33"/>
  <c r="G63" i="33" s="1"/>
  <c r="H63" i="33" s="1"/>
  <c r="F42" i="33"/>
  <c r="G42" i="33" s="1"/>
  <c r="H42" i="33" s="1"/>
  <c r="F59" i="33"/>
  <c r="G59" i="33" s="1"/>
  <c r="H59" i="33" s="1"/>
  <c r="F52" i="33"/>
  <c r="G52" i="33" s="1"/>
  <c r="H52" i="33" s="1"/>
  <c r="E84" i="34"/>
  <c r="F84" i="34" s="1"/>
  <c r="E91" i="34"/>
  <c r="F91" i="34" s="1"/>
  <c r="J74" i="34"/>
  <c r="I75" i="34"/>
  <c r="M71" i="34"/>
  <c r="N71" i="34" s="1"/>
  <c r="O71" i="34" s="1"/>
  <c r="E83" i="34"/>
  <c r="F83" i="34" s="1"/>
  <c r="E90" i="34"/>
  <c r="F90" i="34" s="1"/>
  <c r="E88" i="34"/>
  <c r="F88" i="34" s="1"/>
  <c r="M72" i="34"/>
  <c r="N72" i="34" s="1"/>
  <c r="O72" i="34" s="1"/>
  <c r="G70" i="34" s="1"/>
  <c r="E82" i="34"/>
  <c r="F82" i="34" s="1"/>
  <c r="E81" i="34"/>
  <c r="F81" i="34" s="1"/>
  <c r="E76" i="34"/>
  <c r="F76" i="34" s="1"/>
  <c r="E94" i="34"/>
  <c r="F94" i="34" s="1"/>
  <c r="E87" i="34"/>
  <c r="F87" i="34" s="1"/>
  <c r="F50" i="33"/>
  <c r="G50" i="33" s="1"/>
  <c r="H50" i="33" s="1"/>
  <c r="F39" i="33"/>
  <c r="G39" i="33" s="1"/>
  <c r="H39" i="33" s="1"/>
  <c r="F46" i="33"/>
  <c r="G46" i="33" s="1"/>
  <c r="H46" i="33" s="1"/>
  <c r="F57" i="33"/>
  <c r="G57" i="33" s="1"/>
  <c r="H57" i="33" s="1"/>
  <c r="F44" i="33"/>
  <c r="G44" i="33" s="1"/>
  <c r="H44" i="33" s="1"/>
  <c r="F38" i="33"/>
  <c r="G38" i="33" s="1"/>
  <c r="H38" i="33" s="1"/>
  <c r="F56" i="33"/>
  <c r="G56" i="33" s="1"/>
  <c r="H56" i="33" s="1"/>
  <c r="F51" i="33"/>
  <c r="G51" i="33" s="1"/>
  <c r="H51" i="33" s="1"/>
  <c r="F40" i="33"/>
  <c r="G40" i="33" s="1"/>
  <c r="H40" i="33" s="1"/>
  <c r="F61" i="33"/>
  <c r="G61" i="33" s="1"/>
  <c r="H61" i="33" s="1"/>
  <c r="F43" i="33"/>
  <c r="G43" i="33" s="1"/>
  <c r="H43" i="33" s="1"/>
  <c r="F64" i="33"/>
  <c r="G64" i="33" s="1"/>
  <c r="H64" i="33" s="1"/>
  <c r="F58" i="33"/>
  <c r="G58" i="33" s="1"/>
  <c r="H58" i="33" s="1"/>
  <c r="F41" i="33"/>
  <c r="G41" i="33" s="1"/>
  <c r="H41" i="33" s="1"/>
  <c r="F54" i="33"/>
  <c r="G54" i="33" s="1"/>
  <c r="H54" i="33" s="1"/>
  <c r="K74" i="34" l="1"/>
  <c r="L74" i="34" s="1"/>
  <c r="E78" i="34"/>
  <c r="F78" i="34" s="1"/>
  <c r="E74" i="34"/>
  <c r="F74" i="34" s="1"/>
  <c r="E73" i="34"/>
  <c r="F73" i="34" s="1"/>
  <c r="E95" i="34"/>
  <c r="F95" i="34" s="1"/>
  <c r="E71" i="34"/>
  <c r="F71" i="34" s="1"/>
  <c r="E86" i="34"/>
  <c r="F86" i="34" s="1"/>
  <c r="E89" i="34"/>
  <c r="F89" i="34" s="1"/>
  <c r="E97" i="34"/>
  <c r="F97" i="34" s="1"/>
  <c r="E80" i="34"/>
  <c r="F80" i="34" s="1"/>
  <c r="E77" i="34"/>
  <c r="F77" i="34" s="1"/>
  <c r="E92" i="34"/>
  <c r="F92" i="34" s="1"/>
  <c r="E96" i="34"/>
  <c r="F96" i="34" s="1"/>
  <c r="E79" i="34"/>
  <c r="F79" i="34" s="1"/>
  <c r="E85" i="34"/>
  <c r="F85" i="34" s="1"/>
  <c r="E75" i="34"/>
  <c r="F75" i="34" s="1"/>
  <c r="E93" i="34"/>
  <c r="F93" i="34" s="1"/>
  <c r="E98" i="34"/>
  <c r="F98" i="34" s="1"/>
  <c r="M73" i="34"/>
  <c r="N73" i="34" s="1"/>
  <c r="O73" i="34" s="1"/>
  <c r="J75" i="34"/>
  <c r="K75" i="34" s="1"/>
  <c r="L75" i="34" s="1"/>
  <c r="I76" i="34"/>
  <c r="M74" i="34" l="1"/>
  <c r="N74" i="34"/>
  <c r="O74" i="34" s="1"/>
  <c r="G71" i="34" s="1"/>
  <c r="J76" i="34"/>
  <c r="K76" i="34" s="1"/>
  <c r="L76" i="34" s="1"/>
  <c r="I77" i="34"/>
  <c r="M75" i="34"/>
  <c r="N75" i="34" s="1"/>
  <c r="O75" i="34" s="1"/>
  <c r="M76" i="34" l="1"/>
  <c r="N76" i="34" s="1"/>
  <c r="O76" i="34" s="1"/>
  <c r="G72" i="34" s="1"/>
  <c r="I78" i="34"/>
  <c r="J77" i="34"/>
  <c r="K77" i="34" s="1"/>
  <c r="L77" i="34" s="1"/>
  <c r="M77" i="34" s="1"/>
  <c r="N77" i="34" l="1"/>
  <c r="O77" i="34" s="1"/>
  <c r="J78" i="34"/>
  <c r="K78" i="34" s="1"/>
  <c r="L78" i="34" s="1"/>
  <c r="I79" i="34"/>
  <c r="J79" i="34" l="1"/>
  <c r="K79" i="34" s="1"/>
  <c r="L79" i="34" s="1"/>
  <c r="I80" i="34"/>
  <c r="M78" i="34"/>
  <c r="N78" i="34" s="1"/>
  <c r="O78" i="34" s="1"/>
  <c r="M79" i="34" l="1"/>
  <c r="N79" i="34" s="1"/>
  <c r="O79" i="34" s="1"/>
  <c r="J80" i="34"/>
  <c r="K80" i="34" s="1"/>
  <c r="L80" i="34" s="1"/>
  <c r="I81" i="34"/>
  <c r="I82" i="34" l="1"/>
  <c r="J81" i="34"/>
  <c r="K81" i="34" s="1"/>
  <c r="L81" i="34" s="1"/>
  <c r="M80" i="34"/>
  <c r="N80" i="34" s="1"/>
  <c r="O80" i="34" s="1"/>
  <c r="M81" i="34" l="1"/>
  <c r="N81" i="34" s="1"/>
  <c r="O81" i="34" s="1"/>
  <c r="J82" i="34"/>
  <c r="K82" i="34" s="1"/>
  <c r="L82" i="34" s="1"/>
  <c r="I83" i="34"/>
  <c r="J83" i="34" l="1"/>
  <c r="K83" i="34" s="1"/>
  <c r="L83" i="34" s="1"/>
  <c r="I84" i="34"/>
  <c r="M82" i="34"/>
  <c r="N82" i="34" s="1"/>
  <c r="O82" i="34" s="1"/>
  <c r="I85" i="34" l="1"/>
  <c r="J84" i="34"/>
  <c r="K84" i="34" s="1"/>
  <c r="L84" i="34" s="1"/>
  <c r="M83" i="34"/>
  <c r="N83" i="34" s="1"/>
  <c r="O83" i="34" s="1"/>
  <c r="I86" i="34" l="1"/>
  <c r="J85" i="34"/>
  <c r="K85" i="34" s="1"/>
  <c r="L85" i="34" s="1"/>
  <c r="M84" i="34"/>
  <c r="N84" i="34" s="1"/>
  <c r="O84" i="34" s="1"/>
  <c r="M85" i="34" l="1"/>
  <c r="N85" i="34" s="1"/>
  <c r="O85" i="34" s="1"/>
  <c r="J86" i="34"/>
  <c r="K86" i="34" s="1"/>
  <c r="L86" i="34" s="1"/>
  <c r="I87" i="34"/>
  <c r="J87" i="34" l="1"/>
  <c r="K87" i="34" s="1"/>
  <c r="L87" i="34" s="1"/>
  <c r="I88" i="34"/>
  <c r="M86" i="34"/>
  <c r="N86" i="34" s="1"/>
  <c r="O86" i="34" s="1"/>
  <c r="J88" i="34" l="1"/>
  <c r="K88" i="34" s="1"/>
  <c r="L88" i="34" s="1"/>
  <c r="I89" i="34"/>
  <c r="M87" i="34"/>
  <c r="N87" i="34" s="1"/>
  <c r="O87" i="34" s="1"/>
  <c r="I90" i="34" l="1"/>
  <c r="J89" i="34"/>
  <c r="K89" i="34" s="1"/>
  <c r="L89" i="34" s="1"/>
  <c r="M88" i="34"/>
  <c r="N88" i="34" s="1"/>
  <c r="O88" i="34" s="1"/>
  <c r="M89" i="34" l="1"/>
  <c r="N89" i="34" s="1"/>
  <c r="O89" i="34" s="1"/>
  <c r="J90" i="34"/>
  <c r="K90" i="34" s="1"/>
  <c r="L90" i="34" s="1"/>
  <c r="I91" i="34"/>
  <c r="J91" i="34" l="1"/>
  <c r="K91" i="34" s="1"/>
  <c r="L91" i="34" s="1"/>
  <c r="I92" i="34"/>
  <c r="M90" i="34"/>
  <c r="N90" i="34" s="1"/>
  <c r="O90" i="34" s="1"/>
  <c r="J92" i="34" l="1"/>
  <c r="K92" i="34" s="1"/>
  <c r="L92" i="34" s="1"/>
  <c r="I93" i="34"/>
  <c r="M91" i="34"/>
  <c r="N91" i="34" s="1"/>
  <c r="O91" i="34" s="1"/>
  <c r="I94" i="34" l="1"/>
  <c r="J93" i="34"/>
  <c r="K93" i="34" s="1"/>
  <c r="L93" i="34" s="1"/>
  <c r="M92" i="34"/>
  <c r="N92" i="34" s="1"/>
  <c r="O92" i="34" s="1"/>
  <c r="M93" i="34" l="1"/>
  <c r="N93" i="34" s="1"/>
  <c r="O93" i="34" s="1"/>
  <c r="J94" i="34"/>
  <c r="K94" i="34" s="1"/>
  <c r="L94" i="34" s="1"/>
  <c r="I95" i="34"/>
  <c r="J95" i="34" l="1"/>
  <c r="K95" i="34" s="1"/>
  <c r="L95" i="34" s="1"/>
  <c r="I96" i="34"/>
  <c r="M94" i="34"/>
  <c r="N94" i="34" s="1"/>
  <c r="O94" i="34" s="1"/>
  <c r="J96" i="34" l="1"/>
  <c r="K96" i="34" s="1"/>
  <c r="L96" i="34" s="1"/>
  <c r="I97" i="34"/>
  <c r="M95" i="34"/>
  <c r="N95" i="34" s="1"/>
  <c r="O95" i="34" s="1"/>
  <c r="I98" i="34" l="1"/>
  <c r="J97" i="34"/>
  <c r="K97" i="34" s="1"/>
  <c r="L97" i="34" s="1"/>
  <c r="M96" i="34"/>
  <c r="N96" i="34" s="1"/>
  <c r="O96" i="34" s="1"/>
  <c r="M97" i="34" l="1"/>
  <c r="N97" i="34" s="1"/>
  <c r="O97" i="34" s="1"/>
  <c r="J98" i="34"/>
  <c r="K98" i="34" s="1"/>
  <c r="L98" i="34" s="1"/>
  <c r="I99" i="34"/>
  <c r="M98" i="34" l="1"/>
  <c r="N98" i="34" s="1"/>
  <c r="O98" i="34" s="1"/>
  <c r="J99" i="34"/>
  <c r="K99" i="34" s="1"/>
  <c r="L99" i="34" s="1"/>
  <c r="I100" i="34"/>
  <c r="M99" i="34" l="1"/>
  <c r="N99" i="34" s="1"/>
  <c r="O99" i="34" s="1"/>
  <c r="J100" i="34"/>
  <c r="K100" i="34" s="1"/>
  <c r="L100" i="34" s="1"/>
  <c r="I101" i="34"/>
  <c r="M100" i="34" l="1"/>
  <c r="N100" i="34" s="1"/>
  <c r="O100" i="34" s="1"/>
  <c r="J101" i="34"/>
  <c r="K101" i="34" s="1"/>
  <c r="L101" i="34" s="1"/>
  <c r="I102" i="34"/>
  <c r="J102" i="34" l="1"/>
  <c r="K102" i="34" s="1"/>
  <c r="L102" i="34" s="1"/>
  <c r="I103" i="34"/>
  <c r="M101" i="34"/>
  <c r="N101" i="34" s="1"/>
  <c r="O101" i="34" s="1"/>
  <c r="J103" i="34" l="1"/>
  <c r="K103" i="34" s="1"/>
  <c r="L103" i="34" s="1"/>
  <c r="I104" i="34"/>
  <c r="M102" i="34"/>
  <c r="N102" i="34" s="1"/>
  <c r="O102" i="34" s="1"/>
  <c r="I105" i="34" l="1"/>
  <c r="J104" i="34"/>
  <c r="K104" i="34" s="1"/>
  <c r="L104" i="34" s="1"/>
  <c r="M103" i="34"/>
  <c r="N103" i="34" s="1"/>
  <c r="O103" i="34" s="1"/>
  <c r="M104" i="34" l="1"/>
  <c r="N104" i="34" s="1"/>
  <c r="O104" i="34" s="1"/>
  <c r="I106" i="34"/>
  <c r="J105" i="34"/>
  <c r="K105" i="34" s="1"/>
  <c r="L105" i="34" s="1"/>
  <c r="I107" i="34" l="1"/>
  <c r="J106" i="34"/>
  <c r="K106" i="34" s="1"/>
  <c r="L106" i="34" s="1"/>
  <c r="M105" i="34"/>
  <c r="N105" i="34" s="1"/>
  <c r="O105" i="34" s="1"/>
  <c r="M106" i="34" l="1"/>
  <c r="N106" i="34" s="1"/>
  <c r="O106" i="34" s="1"/>
  <c r="J107" i="34"/>
  <c r="K107" i="34" s="1"/>
  <c r="L107" i="34" s="1"/>
  <c r="I108" i="34"/>
  <c r="M107" i="34" l="1"/>
  <c r="N107" i="34" s="1"/>
  <c r="O107" i="34" s="1"/>
  <c r="J108" i="34"/>
  <c r="K108" i="34" s="1"/>
  <c r="L108" i="34" s="1"/>
  <c r="I109" i="34"/>
  <c r="M108" i="34" l="1"/>
  <c r="N108" i="34" s="1"/>
  <c r="O108" i="34" s="1"/>
  <c r="J109" i="34"/>
  <c r="K109" i="34" s="1"/>
  <c r="L109" i="34" s="1"/>
  <c r="I110" i="34"/>
  <c r="J110" i="34" l="1"/>
  <c r="K110" i="34" s="1"/>
  <c r="L110" i="34" s="1"/>
  <c r="I111" i="34"/>
  <c r="M109" i="34"/>
  <c r="N109" i="34" s="1"/>
  <c r="O109" i="34" s="1"/>
  <c r="J111" i="34" l="1"/>
  <c r="K111" i="34" s="1"/>
  <c r="L111" i="34" s="1"/>
  <c r="I112" i="34"/>
  <c r="M110" i="34"/>
  <c r="N110" i="34" s="1"/>
  <c r="O110" i="34" s="1"/>
  <c r="I113" i="34" l="1"/>
  <c r="J112" i="34"/>
  <c r="K112" i="34" s="1"/>
  <c r="L112" i="34" s="1"/>
  <c r="M111" i="34"/>
  <c r="N111" i="34" s="1"/>
  <c r="O111" i="34" s="1"/>
  <c r="M112" i="34" l="1"/>
  <c r="N112" i="34" s="1"/>
  <c r="O112" i="34" s="1"/>
  <c r="I114" i="34"/>
  <c r="J113" i="34"/>
  <c r="K113" i="34" s="1"/>
  <c r="L113" i="34" s="1"/>
  <c r="M113" i="34" l="1"/>
  <c r="N113" i="34" s="1"/>
  <c r="O113" i="34" s="1"/>
  <c r="I115" i="34"/>
  <c r="J114" i="34"/>
  <c r="K114" i="34" s="1"/>
  <c r="L114" i="34" s="1"/>
  <c r="M114" i="34" l="1"/>
  <c r="N114" i="34" s="1"/>
  <c r="O114" i="34" s="1"/>
  <c r="J115" i="34"/>
  <c r="K115" i="34" s="1"/>
  <c r="L115" i="34" s="1"/>
  <c r="I116" i="34"/>
  <c r="J116" i="34" l="1"/>
  <c r="K116" i="34" s="1"/>
  <c r="L116" i="34" s="1"/>
  <c r="I117" i="34"/>
  <c r="M115" i="34"/>
  <c r="N115" i="34" s="1"/>
  <c r="O115" i="34" s="1"/>
  <c r="J117" i="34" l="1"/>
  <c r="K117" i="34" s="1"/>
  <c r="L117" i="34" s="1"/>
  <c r="I118" i="34"/>
  <c r="M116" i="34"/>
  <c r="N116" i="34" s="1"/>
  <c r="O116" i="34" s="1"/>
  <c r="J118" i="34" l="1"/>
  <c r="K118" i="34" s="1"/>
  <c r="L118" i="34" s="1"/>
  <c r="I119" i="34"/>
  <c r="M117" i="34"/>
  <c r="N117" i="34" s="1"/>
  <c r="O117" i="34" s="1"/>
  <c r="J119" i="34" l="1"/>
  <c r="K119" i="34" s="1"/>
  <c r="L119" i="34" s="1"/>
  <c r="I120" i="34"/>
  <c r="M118" i="34"/>
  <c r="N118" i="34" s="1"/>
  <c r="O118" i="34" s="1"/>
  <c r="J120" i="34" l="1"/>
  <c r="K120" i="34" s="1"/>
  <c r="L120" i="34" s="1"/>
  <c r="I121" i="34"/>
  <c r="M119" i="34"/>
  <c r="N119" i="34" s="1"/>
  <c r="O119" i="34" s="1"/>
  <c r="I122" i="34" l="1"/>
  <c r="J121" i="34"/>
  <c r="K121" i="34" s="1"/>
  <c r="L121" i="34" s="1"/>
  <c r="M120" i="34"/>
  <c r="N120" i="34" s="1"/>
  <c r="O120" i="34" s="1"/>
  <c r="M121" i="34" l="1"/>
  <c r="N121" i="34" s="1"/>
  <c r="O121" i="34" s="1"/>
  <c r="I123" i="34"/>
  <c r="J122" i="34"/>
  <c r="K122" i="34" s="1"/>
  <c r="L122" i="34" s="1"/>
  <c r="M122" i="34" l="1"/>
  <c r="N122" i="34" s="1"/>
  <c r="O122" i="34" s="1"/>
  <c r="J123" i="34"/>
  <c r="K123" i="34" s="1"/>
  <c r="L123" i="34" s="1"/>
  <c r="I124" i="34"/>
  <c r="M123" i="34" l="1"/>
  <c r="N123" i="34" s="1"/>
  <c r="O123" i="34" s="1"/>
  <c r="J124" i="34"/>
  <c r="K124" i="34" s="1"/>
  <c r="L124" i="34" s="1"/>
  <c r="I125" i="34"/>
  <c r="M124" i="34" l="1"/>
  <c r="N124" i="34" s="1"/>
  <c r="O124" i="34" s="1"/>
  <c r="J125" i="34"/>
  <c r="K125" i="34" s="1"/>
  <c r="L125" i="34" s="1"/>
  <c r="I126" i="34"/>
  <c r="J126" i="34" l="1"/>
  <c r="K126" i="34" s="1"/>
  <c r="L126" i="34" s="1"/>
  <c r="I127" i="34"/>
  <c r="M125" i="34"/>
  <c r="N125" i="34" s="1"/>
  <c r="O125" i="34" s="1"/>
  <c r="J127" i="34" l="1"/>
  <c r="K127" i="34" s="1"/>
  <c r="L127" i="34" s="1"/>
  <c r="I128" i="34"/>
  <c r="M126" i="34"/>
  <c r="N126" i="34" s="1"/>
  <c r="O126" i="34" s="1"/>
  <c r="J128" i="34" l="1"/>
  <c r="K128" i="34" s="1"/>
  <c r="L128" i="34" s="1"/>
  <c r="G74" i="34"/>
  <c r="G76" i="34"/>
  <c r="G77" i="34"/>
  <c r="G78" i="34"/>
  <c r="G79" i="34"/>
  <c r="G82" i="34"/>
  <c r="G81" i="34"/>
  <c r="G80" i="34"/>
  <c r="G83" i="34"/>
  <c r="G85" i="34"/>
  <c r="G86" i="34"/>
  <c r="G84" i="34"/>
  <c r="G88" i="34"/>
  <c r="G89" i="34"/>
  <c r="G90" i="34"/>
  <c r="G87" i="34"/>
  <c r="G93" i="34"/>
  <c r="G94" i="34"/>
  <c r="G91" i="34"/>
  <c r="G92" i="34"/>
  <c r="G95" i="34"/>
  <c r="G97" i="34"/>
  <c r="G96" i="34"/>
  <c r="M127" i="34"/>
  <c r="N127" i="34" s="1"/>
  <c r="O127" i="34" s="1"/>
  <c r="M128" i="34" l="1"/>
  <c r="N128" i="34" s="1"/>
  <c r="O128" i="34" s="1"/>
  <c r="G34" i="31"/>
  <c r="E34" i="31"/>
  <c r="G33" i="31"/>
  <c r="E33" i="31"/>
  <c r="G32" i="31"/>
  <c r="E32" i="31"/>
  <c r="G31" i="31"/>
  <c r="E31" i="31"/>
  <c r="G30" i="31"/>
  <c r="E30" i="31"/>
  <c r="G29" i="31"/>
  <c r="E29" i="31"/>
  <c r="G28" i="31"/>
  <c r="E28" i="31"/>
  <c r="G27" i="31"/>
  <c r="E27" i="31"/>
  <c r="G26" i="31"/>
  <c r="E26" i="31"/>
  <c r="G25" i="31"/>
  <c r="E25" i="31"/>
  <c r="G24" i="31"/>
  <c r="E24" i="31"/>
  <c r="G23" i="31"/>
  <c r="E23" i="31"/>
  <c r="G22" i="31"/>
  <c r="E22" i="31"/>
  <c r="G21" i="31"/>
  <c r="E21" i="31"/>
  <c r="G20" i="31"/>
  <c r="E20" i="31"/>
  <c r="G19" i="31"/>
  <c r="E19" i="31"/>
  <c r="G18" i="31"/>
  <c r="E18" i="31"/>
  <c r="G17" i="31"/>
  <c r="E17" i="31"/>
  <c r="G16" i="31"/>
  <c r="E16" i="31"/>
  <c r="G15" i="31"/>
  <c r="E15" i="31"/>
  <c r="G14" i="31"/>
  <c r="E14" i="31"/>
  <c r="G13" i="31"/>
  <c r="E13" i="31"/>
  <c r="G12" i="31"/>
  <c r="E12" i="31"/>
  <c r="G11" i="31"/>
  <c r="E11" i="31"/>
  <c r="G10" i="31"/>
  <c r="E10" i="31"/>
  <c r="H9" i="31"/>
  <c r="E9" i="31"/>
  <c r="I16" i="31"/>
  <c r="I14" i="31"/>
  <c r="I11" i="31"/>
  <c r="I18" i="31"/>
  <c r="I27" i="31"/>
  <c r="I9" i="31"/>
  <c r="I33" i="31"/>
  <c r="I13" i="31"/>
  <c r="I21" i="31"/>
  <c r="I20" i="31"/>
  <c r="I10" i="31"/>
  <c r="I24" i="31"/>
  <c r="I31" i="31"/>
  <c r="I28" i="31"/>
  <c r="I34" i="31"/>
  <c r="I26" i="31"/>
  <c r="I30" i="31"/>
  <c r="I23" i="31"/>
  <c r="I15" i="31"/>
  <c r="I12" i="31"/>
  <c r="I17" i="31"/>
  <c r="L9" i="31" a="1"/>
  <c r="I25" i="31"/>
  <c r="I29" i="31"/>
  <c r="I19" i="31"/>
  <c r="I32" i="31"/>
  <c r="I22" i="31"/>
  <c r="G73" i="34" l="1"/>
  <c r="G75" i="34"/>
  <c r="G98" i="34"/>
  <c r="L9" i="31"/>
  <c r="J25" i="31"/>
  <c r="J27" i="31"/>
  <c r="J12" i="31"/>
  <c r="J29" i="31"/>
  <c r="J31" i="31"/>
  <c r="J16" i="31"/>
  <c r="J33" i="31"/>
  <c r="J20" i="31"/>
  <c r="J22" i="31"/>
  <c r="J11" i="31"/>
  <c r="J24" i="31"/>
  <c r="J13" i="31"/>
  <c r="J15" i="31"/>
  <c r="J28" i="31"/>
  <c r="J30" i="31"/>
  <c r="J17" i="31"/>
  <c r="J19" i="31"/>
  <c r="J32" i="31"/>
  <c r="J34" i="31"/>
  <c r="J21" i="31"/>
  <c r="J23" i="31"/>
  <c r="J9" i="31"/>
  <c r="J14" i="31"/>
  <c r="J18" i="31"/>
  <c r="J26" i="31"/>
  <c r="J10" i="31"/>
  <c r="X35" i="30" l="1"/>
  <c r="X36" i="30" s="1"/>
  <c r="X37" i="30" s="1"/>
  <c r="X38" i="30" s="1"/>
  <c r="X39" i="30" s="1"/>
  <c r="X40" i="30" s="1"/>
  <c r="X41" i="30" s="1"/>
  <c r="X42" i="30" s="1"/>
  <c r="X43" i="30" s="1"/>
  <c r="X44" i="30" s="1"/>
  <c r="X45" i="30" s="1"/>
  <c r="X46" i="30" s="1"/>
  <c r="X47" i="30" s="1"/>
  <c r="X48" i="30" s="1"/>
  <c r="X49" i="30" s="1"/>
  <c r="X50" i="30" s="1"/>
  <c r="X51" i="30" s="1"/>
  <c r="X52" i="30" s="1"/>
  <c r="X53" i="30" s="1"/>
  <c r="X54" i="30" s="1"/>
  <c r="X55" i="30" s="1"/>
  <c r="X56" i="30" s="1"/>
  <c r="X57" i="30" s="1"/>
  <c r="X58" i="30" s="1"/>
  <c r="X59" i="30" s="1"/>
  <c r="X60" i="30" s="1"/>
  <c r="X61" i="30" s="1"/>
  <c r="X62" i="30" s="1"/>
  <c r="X63" i="30" s="1"/>
  <c r="X64" i="30" s="1"/>
  <c r="X65" i="30" s="1"/>
  <c r="X66" i="30" s="1"/>
  <c r="X67" i="30" s="1"/>
  <c r="X68" i="30" s="1"/>
  <c r="X69" i="30" s="1"/>
  <c r="X70" i="30" s="1"/>
  <c r="X71" i="30" s="1"/>
  <c r="X72" i="30" s="1"/>
  <c r="X73" i="30" s="1"/>
  <c r="X74" i="30" s="1"/>
  <c r="X75" i="30" s="1"/>
  <c r="X76" i="30" s="1"/>
  <c r="X77" i="30" s="1"/>
  <c r="X78" i="30" s="1"/>
  <c r="X79" i="30" s="1"/>
  <c r="X80" i="30" s="1"/>
  <c r="X81" i="30" s="1"/>
  <c r="X82" i="30" s="1"/>
  <c r="X83" i="30" s="1"/>
  <c r="X84" i="30" s="1"/>
  <c r="X85" i="30" s="1"/>
  <c r="X86" i="30" s="1"/>
  <c r="X87" i="30" s="1"/>
  <c r="X88" i="30" s="1"/>
  <c r="X89" i="30" s="1"/>
  <c r="X90" i="30" s="1"/>
  <c r="X91" i="30" s="1"/>
  <c r="X92" i="30" s="1"/>
  <c r="X93" i="30" s="1"/>
  <c r="X94" i="30" s="1"/>
  <c r="X95" i="30" s="1"/>
  <c r="X96" i="30" s="1"/>
  <c r="X97" i="30" s="1"/>
  <c r="X98" i="30" s="1"/>
  <c r="X99" i="30" s="1"/>
  <c r="X100" i="30" s="1"/>
  <c r="X101" i="30" s="1"/>
  <c r="X102" i="30" s="1"/>
  <c r="X103" i="30" s="1"/>
  <c r="X104" i="30" s="1"/>
  <c r="X105" i="30" s="1"/>
  <c r="X106" i="30" s="1"/>
  <c r="X107" i="30" s="1"/>
  <c r="X108" i="30" s="1"/>
  <c r="X109" i="30" s="1"/>
  <c r="X110" i="30" s="1"/>
  <c r="X111" i="30" s="1"/>
  <c r="X112" i="30" s="1"/>
  <c r="X113" i="30" s="1"/>
  <c r="X114" i="30" s="1"/>
  <c r="X115" i="30" s="1"/>
  <c r="X116" i="30" s="1"/>
  <c r="X117" i="30" s="1"/>
  <c r="X118" i="30" s="1"/>
  <c r="X119" i="30" s="1"/>
  <c r="X120" i="30" s="1"/>
  <c r="X121" i="30" s="1"/>
  <c r="X122" i="30" s="1"/>
  <c r="X123" i="30" s="1"/>
  <c r="X124" i="30" s="1"/>
  <c r="X125" i="30" s="1"/>
  <c r="X126" i="30" s="1"/>
  <c r="X127" i="30" s="1"/>
  <c r="X128" i="30" s="1"/>
  <c r="G21" i="30"/>
  <c r="G20" i="30"/>
  <c r="X19" i="30"/>
  <c r="X20" i="30" s="1"/>
  <c r="X21" i="30" s="1"/>
  <c r="X22" i="30" s="1"/>
  <c r="X23" i="30" s="1"/>
  <c r="X24" i="30" s="1"/>
  <c r="X25" i="30" s="1"/>
  <c r="X26" i="30" s="1"/>
  <c r="X27" i="30" s="1"/>
  <c r="X28" i="30" s="1"/>
  <c r="X29" i="30" s="1"/>
  <c r="X30" i="30" s="1"/>
  <c r="X31" i="30" s="1"/>
  <c r="X32" i="30" s="1"/>
  <c r="X33" i="30" s="1"/>
  <c r="X34" i="30" s="1"/>
  <c r="G19" i="30"/>
  <c r="G18" i="30"/>
  <c r="G17" i="30"/>
  <c r="G16" i="30"/>
  <c r="G15" i="30"/>
  <c r="G14" i="30"/>
  <c r="X13" i="30"/>
  <c r="X14" i="30" s="1"/>
  <c r="X15" i="30" s="1"/>
  <c r="X16" i="30" s="1"/>
  <c r="X17" i="30" s="1"/>
  <c r="X18" i="30" s="1"/>
  <c r="G13" i="30"/>
  <c r="X12" i="30"/>
  <c r="G12" i="30"/>
  <c r="A12" i="30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X11" i="30"/>
  <c r="G11" i="30"/>
  <c r="A11" i="30"/>
  <c r="X10" i="30"/>
  <c r="G10" i="30"/>
  <c r="A10" i="30"/>
  <c r="G9" i="30"/>
  <c r="Y127" i="30"/>
  <c r="Y98" i="30"/>
  <c r="Y117" i="30"/>
  <c r="Y96" i="30"/>
  <c r="Y124" i="30"/>
  <c r="P41" i="30"/>
  <c r="Y32" i="30"/>
  <c r="Y74" i="30"/>
  <c r="Y43" i="30"/>
  <c r="Y97" i="30"/>
  <c r="P38" i="30"/>
  <c r="Y77" i="30"/>
  <c r="Y44" i="30"/>
  <c r="Y113" i="30"/>
  <c r="P43" i="30"/>
  <c r="N9" i="30" a="1"/>
  <c r="Y57" i="30"/>
  <c r="Y66" i="30"/>
  <c r="P34" i="30"/>
  <c r="Y22" i="30"/>
  <c r="P33" i="30"/>
  <c r="Y46" i="30"/>
  <c r="Y45" i="30"/>
  <c r="Y125" i="30"/>
  <c r="P42" i="30"/>
  <c r="P47" i="30"/>
  <c r="Y19" i="30"/>
  <c r="U61" i="31"/>
  <c r="U29" i="31"/>
  <c r="U57" i="31"/>
  <c r="U25" i="31"/>
  <c r="U53" i="31"/>
  <c r="U21" i="31"/>
  <c r="U49" i="31"/>
  <c r="U17" i="31"/>
  <c r="U45" i="31"/>
  <c r="U13" i="31"/>
  <c r="U41" i="31"/>
  <c r="U9" i="31"/>
  <c r="U37" i="31"/>
  <c r="U5" i="31"/>
  <c r="U33" i="31"/>
  <c r="Y119" i="30"/>
  <c r="Y90" i="30"/>
  <c r="Y109" i="30"/>
  <c r="Y88" i="30"/>
  <c r="Y102" i="30"/>
  <c r="P36" i="30"/>
  <c r="P29" i="30"/>
  <c r="Y72" i="30"/>
  <c r="Y39" i="30"/>
  <c r="P66" i="30"/>
  <c r="Y33" i="30"/>
  <c r="Y70" i="30"/>
  <c r="Y40" i="30"/>
  <c r="Y89" i="30"/>
  <c r="P39" i="30"/>
  <c r="Y121" i="30"/>
  <c r="Y108" i="30"/>
  <c r="P52" i="30"/>
  <c r="P64" i="30"/>
  <c r="P60" i="30"/>
  <c r="Y116" i="30"/>
  <c r="P27" i="30"/>
  <c r="P15" i="30"/>
  <c r="Y10" i="30"/>
  <c r="Y76" i="30"/>
  <c r="U22" i="31"/>
  <c r="Y118" i="30"/>
  <c r="Y13" i="30"/>
  <c r="Y111" i="30"/>
  <c r="Y87" i="30"/>
  <c r="Y101" i="30"/>
  <c r="Y84" i="30"/>
  <c r="P65" i="30"/>
  <c r="Y31" i="30"/>
  <c r="Y24" i="30"/>
  <c r="Y67" i="30"/>
  <c r="P37" i="30"/>
  <c r="P62" i="30"/>
  <c r="P30" i="30"/>
  <c r="Y68" i="30"/>
  <c r="Y34" i="30"/>
  <c r="P67" i="30"/>
  <c r="Y35" i="30"/>
  <c r="Y100" i="30"/>
  <c r="Y91" i="30"/>
  <c r="Y28" i="30"/>
  <c r="Y54" i="30"/>
  <c r="P48" i="30"/>
  <c r="Y85" i="30"/>
  <c r="P10" i="30"/>
  <c r="P40" i="30"/>
  <c r="Y62" i="30"/>
  <c r="U14" i="31"/>
  <c r="Y9" i="30"/>
  <c r="Y61" i="30"/>
  <c r="U60" i="31"/>
  <c r="U28" i="31"/>
  <c r="U24" i="31"/>
  <c r="U52" i="31"/>
  <c r="U48" i="31"/>
  <c r="U44" i="31"/>
  <c r="U40" i="31"/>
  <c r="U36" i="31"/>
  <c r="U32" i="31"/>
  <c r="U56" i="31"/>
  <c r="U20" i="31"/>
  <c r="U16" i="31"/>
  <c r="U12" i="31"/>
  <c r="U8" i="31"/>
  <c r="U4" i="31"/>
  <c r="Y103" i="30"/>
  <c r="Y83" i="30"/>
  <c r="Y93" i="30"/>
  <c r="Y80" i="30"/>
  <c r="P61" i="30"/>
  <c r="P28" i="30"/>
  <c r="P20" i="30"/>
  <c r="Y63" i="30"/>
  <c r="P21" i="30"/>
  <c r="P58" i="30"/>
  <c r="Y25" i="30"/>
  <c r="Y64" i="30"/>
  <c r="P31" i="30"/>
  <c r="P63" i="30"/>
  <c r="P32" i="30"/>
  <c r="Y92" i="30"/>
  <c r="P56" i="30"/>
  <c r="Y18" i="30"/>
  <c r="Y37" i="30"/>
  <c r="I9" i="30" a="1"/>
  <c r="U2" i="31"/>
  <c r="P45" i="30"/>
  <c r="Y14" i="30"/>
  <c r="Y49" i="30"/>
  <c r="Y95" i="30"/>
  <c r="Y79" i="30"/>
  <c r="Y128" i="30"/>
  <c r="Y123" i="30"/>
  <c r="P57" i="30"/>
  <c r="Y23" i="30"/>
  <c r="P18" i="30"/>
  <c r="Y59" i="30"/>
  <c r="P19" i="30"/>
  <c r="P54" i="30"/>
  <c r="P22" i="30"/>
  <c r="Y60" i="30"/>
  <c r="Y26" i="30"/>
  <c r="P59" i="30"/>
  <c r="Y27" i="30"/>
  <c r="Y86" i="30"/>
  <c r="Y41" i="30"/>
  <c r="P14" i="30"/>
  <c r="Y21" i="30"/>
  <c r="P25" i="30"/>
  <c r="Y69" i="30"/>
  <c r="Y11" i="30"/>
  <c r="Y42" i="30"/>
  <c r="P68" i="30"/>
  <c r="U26" i="31"/>
  <c r="Y47" i="30"/>
  <c r="P44" i="30"/>
  <c r="U59" i="31"/>
  <c r="U27" i="31"/>
  <c r="U23" i="31"/>
  <c r="U19" i="31"/>
  <c r="U15" i="31"/>
  <c r="U11" i="31"/>
  <c r="U7" i="31"/>
  <c r="U3" i="31"/>
  <c r="U55" i="31"/>
  <c r="U51" i="31"/>
  <c r="U47" i="31"/>
  <c r="U43" i="31"/>
  <c r="U39" i="31"/>
  <c r="U35" i="31"/>
  <c r="U31" i="31"/>
  <c r="Y122" i="30"/>
  <c r="Y75" i="30"/>
  <c r="Y120" i="30"/>
  <c r="Y115" i="30"/>
  <c r="P53" i="30"/>
  <c r="Y17" i="30"/>
  <c r="Y15" i="30"/>
  <c r="Y55" i="30"/>
  <c r="Y16" i="30"/>
  <c r="P50" i="30"/>
  <c r="Y126" i="30"/>
  <c r="Y56" i="30"/>
  <c r="P23" i="30"/>
  <c r="P55" i="30"/>
  <c r="P24" i="30"/>
  <c r="Y73" i="30"/>
  <c r="Y38" i="30"/>
  <c r="Y12" i="30"/>
  <c r="Y50" i="30"/>
  <c r="Y36" i="30"/>
  <c r="Y58" i="30"/>
  <c r="P9" i="30"/>
  <c r="Y29" i="30"/>
  <c r="Y53" i="30"/>
  <c r="U18" i="31"/>
  <c r="Y82" i="30"/>
  <c r="P35" i="30"/>
  <c r="Y114" i="30"/>
  <c r="Y71" i="30"/>
  <c r="Y112" i="30"/>
  <c r="Y107" i="30"/>
  <c r="P49" i="30"/>
  <c r="P12" i="30"/>
  <c r="Y110" i="30"/>
  <c r="Y51" i="30"/>
  <c r="P11" i="30"/>
  <c r="P46" i="30"/>
  <c r="Y105" i="30"/>
  <c r="Y52" i="30"/>
  <c r="P17" i="30"/>
  <c r="P51" i="30"/>
  <c r="P16" i="30"/>
  <c r="Y65" i="30"/>
  <c r="P26" i="30"/>
  <c r="Y78" i="30"/>
  <c r="Y30" i="30"/>
  <c r="P13" i="30"/>
  <c r="U6" i="31"/>
  <c r="Y104" i="30"/>
  <c r="Y48" i="30"/>
  <c r="Y94" i="30"/>
  <c r="U58" i="31"/>
  <c r="U10" i="31"/>
  <c r="U54" i="31"/>
  <c r="U50" i="31"/>
  <c r="U46" i="31"/>
  <c r="U42" i="31"/>
  <c r="U38" i="31"/>
  <c r="U34" i="31"/>
  <c r="U30" i="31"/>
  <c r="Y106" i="30"/>
  <c r="Y99" i="30"/>
  <c r="Y81" i="30"/>
  <c r="Y20" i="30"/>
  <c r="AA29" i="30" l="1"/>
  <c r="AA42" i="30"/>
  <c r="I18" i="30"/>
  <c r="I10" i="30"/>
  <c r="I17" i="30"/>
  <c r="I9" i="30"/>
  <c r="I15" i="30"/>
  <c r="I14" i="30"/>
  <c r="I19" i="30"/>
  <c r="I13" i="30"/>
  <c r="I12" i="30"/>
  <c r="I11" i="30"/>
  <c r="I16" i="30"/>
  <c r="I20" i="30"/>
  <c r="I21" i="30"/>
  <c r="AA10" i="30"/>
  <c r="AA45" i="30"/>
  <c r="AA94" i="30"/>
  <c r="AA11" i="30"/>
  <c r="AA62" i="30"/>
  <c r="AA46" i="30"/>
  <c r="AA49" i="30"/>
  <c r="AA58" i="30"/>
  <c r="AA69" i="30"/>
  <c r="AA76" i="30"/>
  <c r="AA85" i="30"/>
  <c r="AA116" i="30"/>
  <c r="AA19" i="30"/>
  <c r="AA53" i="30"/>
  <c r="AA36" i="30"/>
  <c r="AA37" i="30"/>
  <c r="AA22" i="30"/>
  <c r="AA30" i="30"/>
  <c r="AA50" i="30"/>
  <c r="AA21" i="30"/>
  <c r="AA54" i="30"/>
  <c r="AA78" i="30"/>
  <c r="AA12" i="30"/>
  <c r="AA18" i="30"/>
  <c r="AA28" i="30"/>
  <c r="AA66" i="30"/>
  <c r="AA20" i="30"/>
  <c r="AA38" i="30"/>
  <c r="AA41" i="30"/>
  <c r="AA91" i="30"/>
  <c r="AA108" i="30"/>
  <c r="AA57" i="30"/>
  <c r="AA61" i="30"/>
  <c r="AA65" i="30"/>
  <c r="AA73" i="30"/>
  <c r="AA86" i="30"/>
  <c r="AA92" i="30"/>
  <c r="AA100" i="30"/>
  <c r="AA121" i="30"/>
  <c r="N9" i="30"/>
  <c r="AA13" i="30"/>
  <c r="AA27" i="30"/>
  <c r="AA35" i="30"/>
  <c r="AA89" i="30"/>
  <c r="AA113" i="30"/>
  <c r="AA14" i="30"/>
  <c r="AA26" i="30"/>
  <c r="AA34" i="30"/>
  <c r="AA40" i="30"/>
  <c r="AA44" i="30"/>
  <c r="AA48" i="30"/>
  <c r="AA52" i="30"/>
  <c r="AA56" i="30"/>
  <c r="AA60" i="30"/>
  <c r="AA64" i="30"/>
  <c r="AA68" i="30"/>
  <c r="AA70" i="30"/>
  <c r="AA77" i="30"/>
  <c r="AA81" i="30"/>
  <c r="AA105" i="30"/>
  <c r="AA126" i="30"/>
  <c r="AA25" i="30"/>
  <c r="AA33" i="30"/>
  <c r="AA97" i="30"/>
  <c r="AA118" i="30"/>
  <c r="AA16" i="30"/>
  <c r="AA39" i="30"/>
  <c r="AA43" i="30"/>
  <c r="AA47" i="30"/>
  <c r="AA51" i="30"/>
  <c r="AA55" i="30"/>
  <c r="AA59" i="30"/>
  <c r="AA63" i="30"/>
  <c r="AA67" i="30"/>
  <c r="AA72" i="30"/>
  <c r="AA74" i="30"/>
  <c r="AA82" i="30"/>
  <c r="AA110" i="30"/>
  <c r="AA15" i="30"/>
  <c r="AA24" i="30"/>
  <c r="AA32" i="30"/>
  <c r="AA9" i="30"/>
  <c r="AA17" i="30"/>
  <c r="AA23" i="30"/>
  <c r="AA31" i="30"/>
  <c r="AA102" i="30"/>
  <c r="AA124" i="30"/>
  <c r="AA99" i="30"/>
  <c r="AA107" i="30"/>
  <c r="AA115" i="30"/>
  <c r="AA123" i="30"/>
  <c r="AA80" i="30"/>
  <c r="AA84" i="30"/>
  <c r="AA88" i="30"/>
  <c r="AA96" i="30"/>
  <c r="AA104" i="30"/>
  <c r="AA112" i="30"/>
  <c r="AA120" i="30"/>
  <c r="AA128" i="30"/>
  <c r="AA93" i="30"/>
  <c r="AA101" i="30"/>
  <c r="AA109" i="30"/>
  <c r="AA117" i="30"/>
  <c r="AA125" i="30"/>
  <c r="AA71" i="30"/>
  <c r="AA75" i="30"/>
  <c r="AA79" i="30"/>
  <c r="AA83" i="30"/>
  <c r="AA87" i="30"/>
  <c r="AA90" i="30"/>
  <c r="AA98" i="30"/>
  <c r="AA106" i="30"/>
  <c r="AA114" i="30"/>
  <c r="AA122" i="30"/>
  <c r="AA95" i="30"/>
  <c r="AA103" i="30"/>
  <c r="AA111" i="30"/>
  <c r="AA119" i="30"/>
  <c r="AA127" i="30"/>
  <c r="Z86" i="30"/>
  <c r="Z88" i="30"/>
  <c r="Z50" i="30"/>
  <c r="Z65" i="30"/>
  <c r="Z59" i="30"/>
  <c r="Z30" i="30"/>
  <c r="Z76" i="30"/>
  <c r="Z82" i="30"/>
  <c r="Z14" i="30"/>
  <c r="Z49" i="30"/>
  <c r="Z103" i="30"/>
  <c r="Z115" i="30"/>
  <c r="Z121" i="30"/>
  <c r="Z125" i="30"/>
  <c r="Z25" i="30"/>
  <c r="Z87" i="30"/>
  <c r="Z34" i="30"/>
  <c r="Z42" i="30"/>
  <c r="Z126" i="30"/>
  <c r="Z53" i="30"/>
  <c r="Z81" i="30"/>
  <c r="Z28" i="30"/>
  <c r="Z57" i="30"/>
  <c r="Z83" i="30"/>
  <c r="Z27" i="30"/>
  <c r="Z99" i="30"/>
  <c r="Z78" i="30"/>
  <c r="Z124" i="30"/>
  <c r="Z92" i="30"/>
  <c r="Z96" i="30"/>
  <c r="Z58" i="30"/>
  <c r="Z52" i="30"/>
  <c r="Z63" i="30"/>
  <c r="Z37" i="30"/>
  <c r="Z85" i="30"/>
  <c r="Z80" i="30"/>
  <c r="Z15" i="30"/>
  <c r="Z40" i="30"/>
  <c r="Z108" i="30"/>
  <c r="Z104" i="30"/>
  <c r="Z127" i="30"/>
  <c r="Z122" i="30"/>
  <c r="Z24" i="30"/>
  <c r="Z66" i="30"/>
  <c r="Z19" i="30"/>
  <c r="Z75" i="30"/>
  <c r="Z117" i="30"/>
  <c r="Z90" i="30"/>
  <c r="Z46" i="30"/>
  <c r="Z123" i="30"/>
  <c r="Z51" i="30"/>
  <c r="Z41" i="30"/>
  <c r="Z13" i="30"/>
  <c r="Z62" i="30"/>
  <c r="Z31" i="30"/>
  <c r="Z107" i="30"/>
  <c r="Z100" i="30"/>
  <c r="Z93" i="30"/>
  <c r="Z69" i="30"/>
  <c r="Z56" i="30"/>
  <c r="Z67" i="30"/>
  <c r="Z36" i="30"/>
  <c r="Z73" i="30"/>
  <c r="Z84" i="30"/>
  <c r="Z16" i="30"/>
  <c r="Z44" i="30"/>
  <c r="Z113" i="30"/>
  <c r="Z112" i="30"/>
  <c r="Z119" i="30"/>
  <c r="Z29" i="30"/>
  <c r="Z9" i="30"/>
  <c r="Z97" i="30"/>
  <c r="Z77" i="30"/>
  <c r="Z111" i="30"/>
  <c r="Z10" i="30"/>
  <c r="Z33" i="30"/>
  <c r="Z43" i="30"/>
  <c r="Z91" i="30"/>
  <c r="Z32" i="30"/>
  <c r="Z120" i="30"/>
  <c r="Z45" i="30"/>
  <c r="Z89" i="30"/>
  <c r="Z101" i="30"/>
  <c r="Z54" i="30"/>
  <c r="Z60" i="30"/>
  <c r="Z20" i="30"/>
  <c r="Z35" i="30"/>
  <c r="Z70" i="30"/>
  <c r="Z71" i="30"/>
  <c r="Z38" i="30"/>
  <c r="Z48" i="30"/>
  <c r="Z105" i="30"/>
  <c r="Z109" i="30"/>
  <c r="Z118" i="30"/>
  <c r="Z23" i="30"/>
  <c r="Z11" i="30"/>
  <c r="Z39" i="30"/>
  <c r="Z22" i="30"/>
  <c r="Z21" i="30"/>
  <c r="Z102" i="30"/>
  <c r="Z47" i="30"/>
  <c r="Z95" i="30"/>
  <c r="Z55" i="30"/>
  <c r="Z74" i="30"/>
  <c r="Z128" i="30"/>
  <c r="Z64" i="30"/>
  <c r="Z106" i="30"/>
  <c r="Z98" i="30"/>
  <c r="Z110" i="30"/>
  <c r="Z17" i="30"/>
  <c r="Z94" i="30"/>
  <c r="Z68" i="30"/>
  <c r="Z79" i="30"/>
  <c r="Z12" i="30"/>
  <c r="Z18" i="30"/>
  <c r="Z114" i="30"/>
  <c r="Z116" i="30"/>
  <c r="Z72" i="30"/>
  <c r="Z26" i="30"/>
  <c r="Z61" i="30"/>
  <c r="AB13" i="30" l="1"/>
  <c r="AB12" i="30"/>
  <c r="AB10" i="30"/>
  <c r="AB11" i="30"/>
  <c r="AB9" i="30"/>
  <c r="AB24" i="30"/>
  <c r="AB25" i="30"/>
  <c r="AB26" i="30"/>
  <c r="AB27" i="30"/>
  <c r="AB28" i="30"/>
  <c r="AB22" i="30"/>
  <c r="AB23" i="30"/>
  <c r="AB29" i="30"/>
  <c r="AB122" i="30"/>
  <c r="AB125" i="30"/>
  <c r="AB128" i="30"/>
  <c r="AB120" i="30"/>
  <c r="AB123" i="30"/>
  <c r="AB126" i="30"/>
  <c r="AB118" i="30"/>
  <c r="AB119" i="30"/>
  <c r="AB127" i="30"/>
  <c r="AB121" i="30"/>
  <c r="AB124" i="30"/>
  <c r="AB114" i="30"/>
  <c r="AB106" i="30"/>
  <c r="AB117" i="30"/>
  <c r="AB109" i="30"/>
  <c r="AB112" i="30"/>
  <c r="AB104" i="30"/>
  <c r="AB115" i="30"/>
  <c r="AB107" i="30"/>
  <c r="AB110" i="30"/>
  <c r="AB102" i="30"/>
  <c r="AB111" i="30"/>
  <c r="AB105" i="30"/>
  <c r="AB113" i="30"/>
  <c r="AB108" i="30"/>
  <c r="AB103" i="30"/>
  <c r="AB116" i="30"/>
  <c r="AB47" i="30"/>
  <c r="AB43" i="30"/>
  <c r="AB39" i="30"/>
  <c r="AB48" i="30"/>
  <c r="AB44" i="30"/>
  <c r="AB40" i="30"/>
  <c r="AB49" i="30"/>
  <c r="AB45" i="30"/>
  <c r="AB41" i="30"/>
  <c r="AB46" i="30"/>
  <c r="AB42" i="30"/>
  <c r="AB38" i="30"/>
  <c r="AB16" i="30"/>
  <c r="AB15" i="30"/>
  <c r="AB14" i="30"/>
  <c r="AB17" i="30"/>
  <c r="AB83" i="30"/>
  <c r="AB79" i="30"/>
  <c r="AB75" i="30"/>
  <c r="AB71" i="30"/>
  <c r="AB84" i="30"/>
  <c r="AB80" i="30"/>
  <c r="AB82" i="30"/>
  <c r="AB74" i="30"/>
  <c r="AB72" i="30"/>
  <c r="AB81" i="30"/>
  <c r="AB77" i="30"/>
  <c r="AB70" i="30"/>
  <c r="AB73" i="30"/>
  <c r="AB85" i="30"/>
  <c r="AB76" i="30"/>
  <c r="AB78" i="30"/>
  <c r="AB32" i="30"/>
  <c r="AB33" i="30"/>
  <c r="AB34" i="30"/>
  <c r="AB35" i="30"/>
  <c r="AB36" i="30"/>
  <c r="AB37" i="30"/>
  <c r="AB30" i="30"/>
  <c r="AB31" i="30"/>
  <c r="AB18" i="30"/>
  <c r="AB21" i="30"/>
  <c r="AB19" i="30"/>
  <c r="AB20" i="30"/>
  <c r="AB67" i="30"/>
  <c r="AB63" i="30"/>
  <c r="AB59" i="30"/>
  <c r="AB55" i="30"/>
  <c r="AB51" i="30"/>
  <c r="AB68" i="30"/>
  <c r="AB64" i="30"/>
  <c r="AB60" i="30"/>
  <c r="AB56" i="30"/>
  <c r="AB52" i="30"/>
  <c r="AB65" i="30"/>
  <c r="AB61" i="30"/>
  <c r="AB57" i="30"/>
  <c r="AB53" i="30"/>
  <c r="AB66" i="30"/>
  <c r="AB54" i="30"/>
  <c r="AB69" i="30"/>
  <c r="AB58" i="30"/>
  <c r="AB50" i="30"/>
  <c r="AB62" i="30"/>
  <c r="AB98" i="30"/>
  <c r="AB90" i="30"/>
  <c r="AB87" i="30"/>
  <c r="AB101" i="30"/>
  <c r="AB93" i="30"/>
  <c r="AB96" i="30"/>
  <c r="AB88" i="30"/>
  <c r="AB99" i="30"/>
  <c r="AB91" i="30"/>
  <c r="AB94" i="30"/>
  <c r="AB97" i="30"/>
  <c r="AB89" i="30"/>
  <c r="AB100" i="30"/>
  <c r="AB92" i="30"/>
  <c r="AB86" i="30"/>
  <c r="AB95" i="30"/>
  <c r="V61" i="31"/>
  <c r="V29" i="31"/>
  <c r="V56" i="31"/>
  <c r="V24" i="31"/>
  <c r="V51" i="31"/>
  <c r="V46" i="31"/>
  <c r="V19" i="31"/>
  <c r="V14" i="31"/>
  <c r="Q16" i="30"/>
  <c r="Q49" i="30"/>
  <c r="Q15" i="30"/>
  <c r="Q32" i="30"/>
  <c r="Q20" i="30"/>
  <c r="Q45" i="30"/>
  <c r="Q23" i="30"/>
  <c r="Q53" i="30"/>
  <c r="Q9" i="30"/>
  <c r="Q67" i="30"/>
  <c r="Q35" i="30"/>
  <c r="Q59" i="30"/>
  <c r="Q44" i="30"/>
  <c r="V57" i="31"/>
  <c r="V25" i="31"/>
  <c r="V52" i="31"/>
  <c r="V20" i="31"/>
  <c r="V47" i="31"/>
  <c r="V15" i="31"/>
  <c r="V42" i="31"/>
  <c r="V10" i="31"/>
  <c r="Q52" i="30"/>
  <c r="Q28" i="30"/>
  <c r="Q63" i="30"/>
  <c r="Q26" i="30"/>
  <c r="Q58" i="30"/>
  <c r="V53" i="31"/>
  <c r="V21" i="31"/>
  <c r="V48" i="31"/>
  <c r="V16" i="31"/>
  <c r="V43" i="31"/>
  <c r="V11" i="31"/>
  <c r="V38" i="31"/>
  <c r="V6" i="31"/>
  <c r="Q40" i="30"/>
  <c r="Q57" i="30"/>
  <c r="Q19" i="30"/>
  <c r="Q56" i="30"/>
  <c r="Q14" i="30"/>
  <c r="Q25" i="30"/>
  <c r="Q60" i="30"/>
  <c r="Q30" i="30"/>
  <c r="Q10" i="30"/>
  <c r="Q55" i="30"/>
  <c r="Q34" i="30"/>
  <c r="Q22" i="30"/>
  <c r="V17" i="31"/>
  <c r="V12" i="31"/>
  <c r="V7" i="31"/>
  <c r="V49" i="31"/>
  <c r="V44" i="31"/>
  <c r="V39" i="31"/>
  <c r="V34" i="31"/>
  <c r="V2" i="31"/>
  <c r="Q36" i="30"/>
  <c r="Q62" i="30"/>
  <c r="Q31" i="30"/>
  <c r="Q29" i="30"/>
  <c r="Q43" i="30"/>
  <c r="Q41" i="30"/>
  <c r="Q42" i="30"/>
  <c r="Q17" i="30"/>
  <c r="Q61" i="30"/>
  <c r="Q18" i="30"/>
  <c r="Q11" i="30"/>
  <c r="Q13" i="30"/>
  <c r="V45" i="31"/>
  <c r="V13" i="31"/>
  <c r="V40" i="31"/>
  <c r="V8" i="31"/>
  <c r="V35" i="31"/>
  <c r="V3" i="31"/>
  <c r="V30" i="31"/>
  <c r="Q37" i="30"/>
  <c r="Q66" i="30"/>
  <c r="Q51" i="30"/>
  <c r="Q68" i="30"/>
  <c r="Q21" i="30"/>
  <c r="Q50" i="30"/>
  <c r="Q27" i="30"/>
  <c r="Q24" i="30"/>
  <c r="Q39" i="30"/>
  <c r="Q65" i="30"/>
  <c r="Q33" i="30"/>
  <c r="Q48" i="30"/>
  <c r="V9" i="31"/>
  <c r="V31" i="31"/>
  <c r="V58" i="31"/>
  <c r="V41" i="31"/>
  <c r="V36" i="31"/>
  <c r="V4" i="31"/>
  <c r="V26" i="31"/>
  <c r="Q12" i="30"/>
  <c r="Q54" i="30"/>
  <c r="Q64" i="30"/>
  <c r="V37" i="31"/>
  <c r="V32" i="31"/>
  <c r="V59" i="31"/>
  <c r="V54" i="31"/>
  <c r="V5" i="31"/>
  <c r="V27" i="31"/>
  <c r="V22" i="31"/>
  <c r="Q38" i="30"/>
  <c r="Q46" i="30"/>
  <c r="V60" i="31"/>
  <c r="V23" i="31"/>
  <c r="V50" i="31"/>
  <c r="V33" i="31"/>
  <c r="V28" i="31"/>
  <c r="V55" i="31"/>
  <c r="V18" i="31"/>
  <c r="Q47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<sst xmlns="http://schemas.openxmlformats.org/spreadsheetml/2006/main" count="119" uniqueCount="59">
  <si>
    <t>Today:</t>
  </si>
  <si>
    <t>Coupon (%)</t>
  </si>
  <si>
    <t>Mat. Date</t>
  </si>
  <si>
    <t>Mat (yrs)</t>
  </si>
  <si>
    <t>Par:</t>
  </si>
  <si>
    <t>Price ($)</t>
  </si>
  <si>
    <t>Yield (%)</t>
  </si>
  <si>
    <t>Spot rate</t>
  </si>
  <si>
    <t>Canada Bonds, Closing Prices/Yields as of market close on Feb. 5, 2010</t>
  </si>
  <si>
    <t>Coups/yr:</t>
  </si>
  <si>
    <t>Bootstrapped</t>
  </si>
  <si>
    <t>Cubic splines</t>
  </si>
  <si>
    <t>CubicSpline</t>
  </si>
  <si>
    <t xml:space="preserve">    tvec - vector of interest rate maturies (yrs)</t>
  </si>
  <si>
    <t xml:space="preserve">  This array function calculates 2nd order derivatives of interest rates:</t>
  </si>
  <si>
    <t xml:space="preserve">  This function calculates interest rate at a given maturity (given vector of 2nd order derivatives):</t>
  </si>
  <si>
    <t xml:space="preserve">    t - a given maturity of interest rate (yrs)</t>
  </si>
  <si>
    <t>Note: This is an array function and must be used accordingly:</t>
  </si>
  <si>
    <t>1. highlight the cells where the output values are to be stored in</t>
  </si>
  <si>
    <t>2. enter the function as you usually do</t>
  </si>
  <si>
    <t>Use 2 VBA functions to implement "financial cubic splines":</t>
  </si>
  <si>
    <t>3. hit ctrl+shift+enter to complete</t>
  </si>
  <si>
    <t>Spline(tvec, zvec, zp1, zpn)</t>
  </si>
  <si>
    <t xml:space="preserve">    zvec - vector of interest rates</t>
  </si>
  <si>
    <t xml:space="preserve">    zp1 - 1st order derivative at the first interest rate (shortest maturity), usually set equal to 0</t>
  </si>
  <si>
    <t xml:space="preserve">    zpn - 1st order derivative at the last interest rate (longest maturity), usually set equal to 0</t>
  </si>
  <si>
    <t>Splint(tvec, zvec, zp2, t)</t>
  </si>
  <si>
    <t xml:space="preserve">    zp2 - vector of 2nd order derivatives of interest rate</t>
  </si>
  <si>
    <t>zp2</t>
  </si>
  <si>
    <t>3-month forward rates</t>
  </si>
  <si>
    <t>Comparing spot rates</t>
  </si>
  <si>
    <t>spot rate</t>
  </si>
  <si>
    <t>years to maturity</t>
  </si>
  <si>
    <t>mat</t>
  </si>
  <si>
    <t>rate</t>
  </si>
  <si>
    <t>cubic splines</t>
  </si>
  <si>
    <t>cubic spline</t>
  </si>
  <si>
    <t>bootstrapped spot rate</t>
  </si>
  <si>
    <t>cubic splines zp2</t>
  </si>
  <si>
    <t>bootstrapping rate</t>
  </si>
  <si>
    <t>cubic spline rate</t>
  </si>
  <si>
    <t>Example 4: Bootstrapping Canada Bonds, step by step approach</t>
  </si>
  <si>
    <t>Freq:</t>
  </si>
  <si>
    <t>Type</t>
  </si>
  <si>
    <t>coupon/period</t>
  </si>
  <si>
    <t>Full price</t>
  </si>
  <si>
    <t>Model price</t>
  </si>
  <si>
    <t>Error</t>
  </si>
  <si>
    <t>T-bond</t>
  </si>
  <si>
    <t>Frequency</t>
    <phoneticPr fontId="10" type="noConversion"/>
  </si>
  <si>
    <t>nu</t>
    <phoneticPr fontId="10" type="noConversion"/>
  </si>
  <si>
    <t>frac</t>
    <phoneticPr fontId="10" type="noConversion"/>
  </si>
  <si>
    <t>-1</t>
    <phoneticPr fontId="10" type="noConversion"/>
  </si>
  <si>
    <t>*2</t>
    <phoneticPr fontId="10" type="noConversion"/>
  </si>
  <si>
    <t>∑</t>
  </si>
  <si>
    <t>forward rate</t>
  </si>
  <si>
    <t>discounted factor</t>
  </si>
  <si>
    <t>par yield</t>
  </si>
  <si>
    <t>par yield (apr)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</si>
</sst>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000"/>
  </numFmts>
  <fonts count="14" x14ac:knownFonts="1">
    <font>
      <sz val="10"/>
      <name val="Arial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rgb="FF555555"/>
      <name val="Calibri"/>
      <family val="1"/>
      <scheme val="minor"/>
    </font>
    <font>
      <sz val="12"/>
      <color theme="1"/>
      <name val="Calibri"/>
      <family val="1"/>
      <scheme val="minor"/>
    </font>
    <font>
      <b/>
      <sz val="13"/>
      <color theme="3"/>
      <name val="Calibri"/>
      <family val="2"/>
      <scheme val="minor"/>
    </font>
    <font>
      <sz val="12"/>
      <name val="Calibri"/>
      <family val="1"/>
      <scheme val="minor"/>
    </font>
    <font>
      <sz val="12"/>
      <name val="Calibri"/>
      <family val="1"/>
      <charset val="128"/>
      <scheme val="minor"/>
    </font>
    <font>
      <sz val="12"/>
      <color rgb="FFFF0000"/>
      <name val="Calibri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/>
    <xf numFmtId="0" fontId="5" fillId="0" borderId="0"/>
    <xf numFmtId="0" fontId="5" fillId="0" borderId="0"/>
    <xf numFmtId="0" fontId="2" fillId="0" borderId="0"/>
    <xf numFmtId="0" fontId="7" fillId="0" borderId="0"/>
    <xf numFmtId="0" fontId="2" fillId="0" borderId="0"/>
  </cellStyleXfs>
  <cellXfs count="46">
    <xf numFmtId="0" fontId="0" fillId="0" borderId="0" xfId="0"/>
    <xf numFmtId="164" fontId="0" fillId="0" borderId="0" xfId="0" applyNumberFormat="1"/>
    <xf numFmtId="0" fontId="4" fillId="0" borderId="0" xfId="2" applyFont="1"/>
    <xf numFmtId="0" fontId="5" fillId="0" borderId="0" xfId="2"/>
    <xf numFmtId="164" fontId="5" fillId="0" borderId="0" xfId="2" applyNumberFormat="1"/>
    <xf numFmtId="0" fontId="5" fillId="2" borderId="0" xfId="2" applyFill="1"/>
    <xf numFmtId="165" fontId="5" fillId="0" borderId="0" xfId="2" applyNumberFormat="1"/>
    <xf numFmtId="14" fontId="5" fillId="0" borderId="0" xfId="2" applyNumberFormat="1"/>
    <xf numFmtId="0" fontId="4" fillId="0" borderId="0" xfId="2" applyFont="1" applyAlignment="1">
      <alignment horizontal="center"/>
    </xf>
    <xf numFmtId="0" fontId="5" fillId="2" borderId="0" xfId="2" applyFill="1" applyAlignment="1">
      <alignment horizontal="right" wrapText="1"/>
    </xf>
    <xf numFmtId="14" fontId="5" fillId="2" borderId="0" xfId="2" applyNumberFormat="1" applyFill="1" applyAlignment="1">
      <alignment horizontal="right" wrapText="1"/>
    </xf>
    <xf numFmtId="0" fontId="5" fillId="0" borderId="0" xfId="2" applyAlignment="1">
      <alignment horizontal="right" wrapText="1"/>
    </xf>
    <xf numFmtId="2" fontId="5" fillId="0" borderId="0" xfId="2" applyNumberFormat="1"/>
    <xf numFmtId="0" fontId="4" fillId="2" borderId="0" xfId="2" applyFont="1" applyFill="1"/>
    <xf numFmtId="0" fontId="4" fillId="4" borderId="0" xfId="2" applyFont="1" applyFill="1"/>
    <xf numFmtId="0" fontId="5" fillId="4" borderId="0" xfId="2" applyFill="1"/>
    <xf numFmtId="0" fontId="4" fillId="3" borderId="0" xfId="2" applyFont="1" applyFill="1" applyAlignment="1">
      <alignment horizontal="center"/>
    </xf>
    <xf numFmtId="164" fontId="2" fillId="0" borderId="0" xfId="4" applyNumberFormat="1"/>
    <xf numFmtId="165" fontId="0" fillId="0" borderId="0" xfId="0" applyNumberFormat="1"/>
    <xf numFmtId="14" fontId="5" fillId="0" borderId="0" xfId="2" applyNumberFormat="1" applyAlignment="1">
      <alignment horizontal="right" wrapText="1"/>
    </xf>
    <xf numFmtId="165" fontId="6" fillId="0" borderId="0" xfId="2" applyNumberFormat="1" applyFont="1"/>
    <xf numFmtId="165" fontId="2" fillId="0" borderId="0" xfId="4" applyNumberFormat="1"/>
    <xf numFmtId="0" fontId="4" fillId="4" borderId="0" xfId="2" applyFont="1" applyFill="1" applyAlignment="1">
      <alignment horizontal="left"/>
    </xf>
    <xf numFmtId="0" fontId="4" fillId="4" borderId="0" xfId="2" applyFont="1" applyFill="1" applyAlignment="1">
      <alignment horizontal="center"/>
    </xf>
    <xf numFmtId="164" fontId="5" fillId="4" borderId="0" xfId="2" applyNumberFormat="1" applyFill="1"/>
    <xf numFmtId="0" fontId="4" fillId="2" borderId="0" xfId="2" applyFont="1" applyFill="1" applyAlignment="1">
      <alignment horizontal="left"/>
    </xf>
    <xf numFmtId="0" fontId="4" fillId="5" borderId="0" xfId="2" applyFont="1" applyFill="1"/>
    <xf numFmtId="0" fontId="5" fillId="5" borderId="0" xfId="2" applyFill="1"/>
    <xf numFmtId="165" fontId="6" fillId="0" borderId="0" xfId="4" applyNumberFormat="1" applyFont="1"/>
    <xf numFmtId="2" fontId="4" fillId="4" borderId="0" xfId="2" applyNumberFormat="1" applyFont="1" applyFill="1" applyAlignment="1">
      <alignment horizontal="center"/>
    </xf>
    <xf numFmtId="2" fontId="4" fillId="3" borderId="0" xfId="2" applyNumberFormat="1" applyFont="1" applyFill="1" applyAlignment="1">
      <alignment horizontal="center"/>
    </xf>
    <xf numFmtId="166" fontId="5" fillId="0" borderId="0" xfId="2" applyNumberFormat="1"/>
    <xf numFmtId="0" fontId="8" fillId="0" borderId="0" xfId="5" applyFont="1" applyAlignment="1">
      <alignment horizontal="righ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2" fontId="0" fillId="0" borderId="0" xfId="0" applyNumberFormat="1"/>
    <xf numFmtId="0" fontId="11" fillId="0" borderId="0" xfId="2" applyFont="1"/>
    <xf numFmtId="0" fontId="1" fillId="0" borderId="0" xfId="6" applyFont="1"/>
    <xf numFmtId="0" fontId="11" fillId="0" borderId="0" xfId="2" quotePrefix="1" applyFont="1"/>
    <xf numFmtId="0" fontId="9" fillId="0" borderId="0" xfId="6" applyFont="1" applyAlignment="1">
      <alignment horizontal="left" vertical="center"/>
    </xf>
    <xf numFmtId="0" fontId="12" fillId="0" borderId="0" xfId="2" quotePrefix="1" applyFont="1"/>
    <xf numFmtId="0" fontId="13" fillId="0" borderId="0" xfId="2" applyFont="1"/>
    <xf numFmtId="0" fontId="9" fillId="0" borderId="0" xfId="2" applyFont="1"/>
    <xf numFmtId="2" fontId="4" fillId="4" borderId="0" xfId="2" applyNumberFormat="1" applyFont="1" applyFill="1" applyAlignment="1">
      <alignment horizontal="center"/>
    </xf>
    <xf numFmtId="0" fontId="4" fillId="3" borderId="0" xfId="2" applyFont="1" applyFill="1" applyAlignment="1">
      <alignment horizontal="center"/>
    </xf>
    <xf numFmtId="14" fontId="0" fillId="0" borderId="0" xfId="0" applyNumberFormat="1"/>
  </cellXfs>
  <cellStyles count="7">
    <cellStyle name="Normal" xfId="0" builtinId="0"/>
    <cellStyle name="Normal 2" xfId="1" xr:uid="{00000000-0005-0000-0000-000001000000}"/>
    <cellStyle name="Normal 3" xfId="2" xr:uid="{00000000-0005-0000-0000-000002000000}"/>
    <cellStyle name="Normal 3 2" xfId="3" xr:uid="{00000000-0005-0000-0000-000003000000}"/>
    <cellStyle name="Normal 4" xfId="5" xr:uid="{DE78F0CB-A378-48A6-A318-43EB5DE74516}"/>
    <cellStyle name="Normal 4 2" xfId="6" xr:uid="{32BE8D42-5C36-D343-ADF3-514C932FFC56}"/>
    <cellStyle name="Normal 5" xfId="4" xr:uid="{0B376528-1DA7-48C9-A087-17761E079C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spot</a:t>
            </a:r>
            <a:r>
              <a:rPr lang="en-CA" baseline="0"/>
              <a:t> rates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'Q3'!$U$1</c:f>
              <c:strCache>
                <c:ptCount val="1"/>
                <c:pt idx="0">
                  <c:v>bootstrapping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'Q3'!$T$2:$T$61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cat>
          <c:val>
            <c:numRef>
              <c:f>'Q3'!$U$2:$U$61</c:f>
              <c:numCache>
                <c:formatCode>0.00000</c:formatCode>
                <c:ptCount val="60"/>
                <c:pt idx="0">
                  <c:v>4.5612933158117465E-2</c:v>
                </c:pt>
                <c:pt idx="1">
                  <c:v>4.6976906298536632E-2</c:v>
                </c:pt>
                <c:pt idx="2">
                  <c:v>4.5007236082164073E-2</c:v>
                </c:pt>
                <c:pt idx="3">
                  <c:v>4.210320439069648E-2</c:v>
                </c:pt>
                <c:pt idx="4">
                  <c:v>4.0289618534001086E-2</c:v>
                </c:pt>
                <c:pt idx="5">
                  <c:v>3.8946241419840155E-2</c:v>
                </c:pt>
                <c:pt idx="6">
                  <c:v>3.8152267195714011E-2</c:v>
                </c:pt>
                <c:pt idx="7">
                  <c:v>3.7377097839757872E-2</c:v>
                </c:pt>
                <c:pt idx="8">
                  <c:v>3.6892549173701814E-2</c:v>
                </c:pt>
                <c:pt idx="9">
                  <c:v>3.6440530673478341E-2</c:v>
                </c:pt>
                <c:pt idx="10">
                  <c:v>3.6491251099758572E-2</c:v>
                </c:pt>
                <c:pt idx="11">
                  <c:v>3.6438449122215666E-2</c:v>
                </c:pt>
                <c:pt idx="12">
                  <c:v>3.6160440511794366E-2</c:v>
                </c:pt>
                <c:pt idx="13">
                  <c:v>3.5892557270482427E-2</c:v>
                </c:pt>
                <c:pt idx="14">
                  <c:v>3.5781157006315255E-2</c:v>
                </c:pt>
                <c:pt idx="15">
                  <c:v>3.5669756742148083E-2</c:v>
                </c:pt>
                <c:pt idx="16">
                  <c:v>3.5558356477980911E-2</c:v>
                </c:pt>
                <c:pt idx="17">
                  <c:v>3.5446956213813739E-2</c:v>
                </c:pt>
                <c:pt idx="18">
                  <c:v>3.533555594964656E-2</c:v>
                </c:pt>
                <c:pt idx="19">
                  <c:v>3.5239102040210475E-2</c:v>
                </c:pt>
                <c:pt idx="20">
                  <c:v>3.517516300773324E-2</c:v>
                </c:pt>
                <c:pt idx="21">
                  <c:v>3.5111223975256012E-2</c:v>
                </c:pt>
                <c:pt idx="22">
                  <c:v>3.5047284942778777E-2</c:v>
                </c:pt>
                <c:pt idx="23">
                  <c:v>3.4983345910301542E-2</c:v>
                </c:pt>
                <c:pt idx="24">
                  <c:v>3.4919406877824313E-2</c:v>
                </c:pt>
                <c:pt idx="25">
                  <c:v>3.4855467845347078E-2</c:v>
                </c:pt>
                <c:pt idx="26">
                  <c:v>3.5146745898038734E-2</c:v>
                </c:pt>
                <c:pt idx="27">
                  <c:v>3.552146420563583E-2</c:v>
                </c:pt>
                <c:pt idx="28">
                  <c:v>3.5917895276930949E-2</c:v>
                </c:pt>
                <c:pt idx="29">
                  <c:v>3.6319426661846399E-2</c:v>
                </c:pt>
                <c:pt idx="30">
                  <c:v>3.6657351431063391E-2</c:v>
                </c:pt>
                <c:pt idx="31">
                  <c:v>3.6980335048941826E-2</c:v>
                </c:pt>
                <c:pt idx="32">
                  <c:v>3.7275641275287166E-2</c:v>
                </c:pt>
                <c:pt idx="33">
                  <c:v>3.7564446100936816E-2</c:v>
                </c:pt>
                <c:pt idx="34">
                  <c:v>3.7853250926586465E-2</c:v>
                </c:pt>
                <c:pt idx="35">
                  <c:v>3.8310937856650983E-2</c:v>
                </c:pt>
                <c:pt idx="36">
                  <c:v>3.8808295079698865E-2</c:v>
                </c:pt>
                <c:pt idx="37">
                  <c:v>3.9069630910528161E-2</c:v>
                </c:pt>
                <c:pt idx="38">
                  <c:v>3.9275525474728921E-2</c:v>
                </c:pt>
                <c:pt idx="39">
                  <c:v>3.9481420038929682E-2</c:v>
                </c:pt>
                <c:pt idx="40">
                  <c:v>3.9687314603130443E-2</c:v>
                </c:pt>
                <c:pt idx="41">
                  <c:v>3.9893872004135134E-2</c:v>
                </c:pt>
                <c:pt idx="42">
                  <c:v>3.9900713628729635E-2</c:v>
                </c:pt>
                <c:pt idx="43">
                  <c:v>3.9860303435866544E-2</c:v>
                </c:pt>
                <c:pt idx="44">
                  <c:v>3.9781552050266504E-2</c:v>
                </c:pt>
                <c:pt idx="45">
                  <c:v>3.9619391754151016E-2</c:v>
                </c:pt>
                <c:pt idx="46">
                  <c:v>3.9457231458035522E-2</c:v>
                </c:pt>
                <c:pt idx="47">
                  <c:v>3.9295071161920034E-2</c:v>
                </c:pt>
                <c:pt idx="48">
                  <c:v>3.9048446614298273E-2</c:v>
                </c:pt>
                <c:pt idx="49">
                  <c:v>3.8781981470685109E-2</c:v>
                </c:pt>
                <c:pt idx="50">
                  <c:v>3.8515516327071952E-2</c:v>
                </c:pt>
                <c:pt idx="51">
                  <c:v>3.8166454951223658E-2</c:v>
                </c:pt>
                <c:pt idx="52">
                  <c:v>3.7868644271686479E-2</c:v>
                </c:pt>
                <c:pt idx="53">
                  <c:v>3.7625079769829886E-2</c:v>
                </c:pt>
                <c:pt idx="54">
                  <c:v>3.7381515267973293E-2</c:v>
                </c:pt>
                <c:pt idx="55">
                  <c:v>3.7137950766116694E-2</c:v>
                </c:pt>
                <c:pt idx="56">
                  <c:v>3.6894386264260101E-2</c:v>
                </c:pt>
                <c:pt idx="57">
                  <c:v>3.6650821762403508E-2</c:v>
                </c:pt>
                <c:pt idx="58">
                  <c:v>3.6407257260546909E-2</c:v>
                </c:pt>
                <c:pt idx="59">
                  <c:v>3.6240395391871676E-2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D-FB42-B97E-EEC5662E72F5}"/>
            </c:ext>
          </c:extLst>
        </c:ser>
        <c:ser>
          <c:idx val="1"/>
          <c:order val="1"/>
          <c:tx>
            <c:strRef>
              <c:f>'Q3'!$V$1</c:f>
              <c:strCache>
                <c:ptCount val="1"/>
                <c:pt idx="0">
                  <c:v>cubic spline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'Q3'!$T$2:$T$61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cat>
          <c:val>
            <c:numRef>
              <c:f>'Q3'!$V$2:$V$61</c:f>
              <c:numCache>
                <c:formatCode>0.00000</c:formatCode>
                <c:ptCount val="60"/>
                <c:pt idx="0">
                  <c:v>4.5453242720259156E-2</c:v>
                </c:pt>
                <c:pt idx="1">
                  <c:v>4.7037525938040392E-2</c:v>
                </c:pt>
                <c:pt idx="2">
                  <c:v>4.5014110931500137E-2</c:v>
                </c:pt>
                <c:pt idx="3">
                  <c:v>4.2064819704079791E-2</c:v>
                </c:pt>
                <c:pt idx="4">
                  <c:v>4.0283063028748262E-2</c:v>
                </c:pt>
                <c:pt idx="5">
                  <c:v>3.8924173073892225E-2</c:v>
                </c:pt>
                <c:pt idx="6">
                  <c:v>3.8019571005966681E-2</c:v>
                </c:pt>
                <c:pt idx="7">
                  <c:v>3.7368225618895162E-2</c:v>
                </c:pt>
                <c:pt idx="8">
                  <c:v>3.6768715521272574E-2</c:v>
                </c:pt>
                <c:pt idx="9">
                  <c:v>3.6429673956847611E-2</c:v>
                </c:pt>
                <c:pt idx="10">
                  <c:v>3.6479507423566246E-2</c:v>
                </c:pt>
                <c:pt idx="11">
                  <c:v>3.6498221326462806E-2</c:v>
                </c:pt>
                <c:pt idx="12">
                  <c:v>3.6231132675064184E-2</c:v>
                </c:pt>
                <c:pt idx="13">
                  <c:v>3.588008526494918E-2</c:v>
                </c:pt>
                <c:pt idx="14">
                  <c:v>3.5632931217944037E-2</c:v>
                </c:pt>
                <c:pt idx="15">
                  <c:v>3.5490897888378961E-2</c:v>
                </c:pt>
                <c:pt idx="16">
                  <c:v>3.5416347552035092E-2</c:v>
                </c:pt>
                <c:pt idx="17">
                  <c:v>3.53716424846936E-2</c:v>
                </c:pt>
                <c:pt idx="18">
                  <c:v>3.5319144962135639E-2</c:v>
                </c:pt>
                <c:pt idx="19">
                  <c:v>3.5221617303785327E-2</c:v>
                </c:pt>
                <c:pt idx="20">
                  <c:v>3.5069343150247637E-2</c:v>
                </c:pt>
                <c:pt idx="21">
                  <c:v>3.4897420778873936E-2</c:v>
                </c:pt>
                <c:pt idx="22">
                  <c:v>3.4745067050389489E-2</c:v>
                </c:pt>
                <c:pt idx="23">
                  <c:v>3.4651498825519551E-2</c:v>
                </c:pt>
                <c:pt idx="24">
                  <c:v>3.4655932964989401E-2</c:v>
                </c:pt>
                <c:pt idx="25">
                  <c:v>3.4797586329524281E-2</c:v>
                </c:pt>
                <c:pt idx="26">
                  <c:v>3.5103339275066391E-2</c:v>
                </c:pt>
                <c:pt idx="27">
                  <c:v>3.5511708002781701E-2</c:v>
                </c:pt>
                <c:pt idx="28">
                  <c:v>3.5930605533396838E-2</c:v>
                </c:pt>
                <c:pt idx="29">
                  <c:v>3.6324574165743494E-2</c:v>
                </c:pt>
                <c:pt idx="30">
                  <c:v>3.6682485043720015E-2</c:v>
                </c:pt>
                <c:pt idx="31">
                  <c:v>3.6990201413376153E-2</c:v>
                </c:pt>
                <c:pt idx="32">
                  <c:v>3.7241099586196556E-2</c:v>
                </c:pt>
                <c:pt idx="33">
                  <c:v>3.7492080722308876E-2</c:v>
                </c:pt>
                <c:pt idx="34">
                  <c:v>3.7827748674993236E-2</c:v>
                </c:pt>
                <c:pt idx="35">
                  <c:v>3.8308309339682871E-2</c:v>
                </c:pt>
                <c:pt idx="36">
                  <c:v>3.8818387016583543E-2</c:v>
                </c:pt>
                <c:pt idx="37">
                  <c:v>3.9189013300013176E-2</c:v>
                </c:pt>
                <c:pt idx="38">
                  <c:v>3.941543403383839E-2</c:v>
                </c:pt>
                <c:pt idx="39">
                  <c:v>3.9564639817606363E-2</c:v>
                </c:pt>
                <c:pt idx="40">
                  <c:v>3.9703918973338755E-2</c:v>
                </c:pt>
                <c:pt idx="41">
                  <c:v>3.989654197685874E-2</c:v>
                </c:pt>
                <c:pt idx="42">
                  <c:v>4.0000285284274219E-2</c:v>
                </c:pt>
                <c:pt idx="43">
                  <c:v>3.9930793685938305E-2</c:v>
                </c:pt>
                <c:pt idx="44">
                  <c:v>3.9783374523005774E-2</c:v>
                </c:pt>
                <c:pt idx="45">
                  <c:v>3.9621758620555739E-2</c:v>
                </c:pt>
                <c:pt idx="46">
                  <c:v>3.9456762109236813E-2</c:v>
                </c:pt>
                <c:pt idx="47">
                  <c:v>3.9294338119648144E-2</c:v>
                </c:pt>
                <c:pt idx="48">
                  <c:v>3.9134438571584843E-2</c:v>
                </c:pt>
                <c:pt idx="49">
                  <c:v>3.8934029796164157E-2</c:v>
                </c:pt>
                <c:pt idx="50">
                  <c:v>3.863133410397062E-2</c:v>
                </c:pt>
                <c:pt idx="51">
                  <c:v>3.8167858333707533E-2</c:v>
                </c:pt>
                <c:pt idx="52">
                  <c:v>3.7664311510450271E-2</c:v>
                </c:pt>
                <c:pt idx="53">
                  <c:v>3.7244804044257035E-2</c:v>
                </c:pt>
                <c:pt idx="54">
                  <c:v>3.690530136585151E-2</c:v>
                </c:pt>
                <c:pt idx="55">
                  <c:v>3.664109348882811E-2</c:v>
                </c:pt>
                <c:pt idx="56">
                  <c:v>3.644747042678121E-2</c:v>
                </c:pt>
                <c:pt idx="57">
                  <c:v>3.6319722193305225E-2</c:v>
                </c:pt>
                <c:pt idx="58">
                  <c:v>3.6253138801994551E-2</c:v>
                </c:pt>
                <c:pt idx="59">
                  <c:v>3.6243010266443582E-2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D-FB42-B97E-EEC5662E7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791983"/>
        <c:axId val="268794063"/>
      </c:lineChart>
      <c:catAx>
        <c:axId val="26879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94063"/>
        <c:crosses val="autoZero"/>
        <c:auto val="1"/>
        <c:lblAlgn val="ctr"/>
        <c:lblOffset val="100"/>
        <c:noMultiLvlLbl val="0"/>
      </c:catAx>
      <c:valAx>
        <c:axId val="268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9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spot</a:t>
            </a:r>
            <a:r>
              <a:rPr lang="en-GB" baseline="0"/>
              <a:t>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 (b)'!$B$35</c:f>
              <c:strCache>
                <c:ptCount val="1"/>
                <c:pt idx="0">
                  <c:v>bootstrapping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'Q4 (b)'!$A$36:$A$65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'Q4 (b)'!$B$36:$B$65</c:f>
              <c:numCache>
                <c:formatCode>General</c:formatCode>
                <c:ptCount val="30"/>
                <c:pt idx="0">
                  <c:v>4.6976899932084398E-2</c:v>
                </c:pt>
                <c:pt idx="1">
                  <c:v>4.2103204486929696E-2</c:v>
                </c:pt>
                <c:pt idx="2">
                  <c:v>3.8946241693508112E-2</c:v>
                </c:pt>
                <c:pt idx="3">
                  <c:v>3.7377099703683137E-2</c:v>
                </c:pt>
                <c:pt idx="4">
                  <c:v>3.6440531570222916E-2</c:v>
                </c:pt>
                <c:pt idx="5">
                  <c:v>3.6438449399079871E-2</c:v>
                </c:pt>
                <c:pt idx="6">
                  <c:v>3.5892557485239104E-2</c:v>
                </c:pt>
                <c:pt idx="7">
                  <c:v>3.5669756766838125E-2</c:v>
                </c:pt>
                <c:pt idx="8">
                  <c:v>3.5446956048437145E-2</c:v>
                </c:pt>
                <c:pt idx="9">
                  <c:v>3.5239101716638611E-2</c:v>
                </c:pt>
                <c:pt idx="10">
                  <c:v>3.5111223664028614E-2</c:v>
                </c:pt>
                <c:pt idx="11">
                  <c:v>3.4983345611418623E-2</c:v>
                </c:pt>
                <c:pt idx="12">
                  <c:v>3.4855467558808625E-2</c:v>
                </c:pt>
                <c:pt idx="13">
                  <c:v>3.5521464120698475E-2</c:v>
                </c:pt>
                <c:pt idx="14">
                  <c:v>3.6319426905345127E-2</c:v>
                </c:pt>
                <c:pt idx="15">
                  <c:v>3.6980334394054681E-2</c:v>
                </c:pt>
                <c:pt idx="16">
                  <c:v>3.7564445823970817E-2</c:v>
                </c:pt>
                <c:pt idx="17">
                  <c:v>3.8310937891640473E-2</c:v>
                </c:pt>
                <c:pt idx="18">
                  <c:v>3.9069630943248307E-2</c:v>
                </c:pt>
                <c:pt idx="19">
                  <c:v>3.9481420069383405E-2</c:v>
                </c:pt>
                <c:pt idx="20">
                  <c:v>3.9893872033070557E-2</c:v>
                </c:pt>
                <c:pt idx="21">
                  <c:v>3.9860302772191179E-2</c:v>
                </c:pt>
                <c:pt idx="22">
                  <c:v>3.9619390881372916E-2</c:v>
                </c:pt>
                <c:pt idx="23">
                  <c:v>3.9295070370014847E-2</c:v>
                </c:pt>
                <c:pt idx="24">
                  <c:v>3.8781981149881781E-2</c:v>
                </c:pt>
                <c:pt idx="25">
                  <c:v>3.8166454519314441E-2</c:v>
                </c:pt>
                <c:pt idx="26">
                  <c:v>3.7625079150024637E-2</c:v>
                </c:pt>
                <c:pt idx="27">
                  <c:v>3.7137950300847676E-2</c:v>
                </c:pt>
                <c:pt idx="28">
                  <c:v>3.6650821451670722E-2</c:v>
                </c:pt>
                <c:pt idx="29">
                  <c:v>3.624039521134207E-2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C-A74A-8764-CA3177AEEDD4}"/>
            </c:ext>
          </c:extLst>
        </c:ser>
        <c:ser>
          <c:idx val="1"/>
          <c:order val="1"/>
          <c:tx>
            <c:strRef>
              <c:f>'Q4 (b)'!$C$35</c:f>
              <c:strCache>
                <c:ptCount val="1"/>
                <c:pt idx="0">
                  <c:v>forward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'Q4 (b)'!$A$36:$A$65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'Q4 (b)'!$C$36:$C$65</c:f>
              <c:numCache>
                <c:formatCode>General</c:formatCode>
                <c:ptCount val="30"/>
                <c:pt idx="0">
                  <c:v>4.6976899932084398E-2</c:v>
                </c:pt>
                <c:pt idx="1">
                  <c:v>3.7241112937887788E-2</c:v>
                </c:pt>
                <c:pt idx="2">
                  <c:v>3.264694995804085E-2</c:v>
                </c:pt>
                <c:pt idx="3">
                  <c:v>3.2676915544294527E-2</c:v>
                </c:pt>
                <c:pt idx="4">
                  <c:v>3.2698562396505704E-2</c:v>
                </c:pt>
                <c:pt idx="5">
                  <c:v>3.6428038575298416E-2</c:v>
                </c:pt>
                <c:pt idx="6">
                  <c:v>3.2620277620929006E-2</c:v>
                </c:pt>
                <c:pt idx="7">
                  <c:v>3.4110834298761272E-2</c:v>
                </c:pt>
                <c:pt idx="8">
                  <c:v>3.3665427943322168E-2</c:v>
                </c:pt>
                <c:pt idx="9">
                  <c:v>3.3369367618868662E-2</c:v>
                </c:pt>
                <c:pt idx="10">
                  <c:v>3.3832884970188104E-2</c:v>
                </c:pt>
                <c:pt idx="11">
                  <c:v>3.3577217253619729E-2</c:v>
                </c:pt>
                <c:pt idx="12">
                  <c:v>3.3321557578445127E-2</c:v>
                </c:pt>
                <c:pt idx="13">
                  <c:v>4.4199281312291561E-2</c:v>
                </c:pt>
                <c:pt idx="14">
                  <c:v>4.7523807480330582E-2</c:v>
                </c:pt>
                <c:pt idx="15">
                  <c:v>4.6919726235437498E-2</c:v>
                </c:pt>
                <c:pt idx="16">
                  <c:v>4.6933040858875952E-2</c:v>
                </c:pt>
                <c:pt idx="17">
                  <c:v>5.1043228652607908E-2</c:v>
                </c:pt>
                <c:pt idx="18">
                  <c:v>5.2774497954721777E-2</c:v>
                </c:pt>
                <c:pt idx="19">
                  <c:v>4.7321233144676622E-2</c:v>
                </c:pt>
                <c:pt idx="20">
                  <c:v>4.8160450220582796E-2</c:v>
                </c:pt>
                <c:pt idx="21">
                  <c:v>3.9155475890690017E-2</c:v>
                </c:pt>
                <c:pt idx="22">
                  <c:v>3.4326521745653871E-2</c:v>
                </c:pt>
                <c:pt idx="23">
                  <c:v>3.1849915429577713E-2</c:v>
                </c:pt>
                <c:pt idx="24">
                  <c:v>2.6506493434636624E-2</c:v>
                </c:pt>
                <c:pt idx="25">
                  <c:v>2.2838538870625591E-2</c:v>
                </c:pt>
                <c:pt idx="26">
                  <c:v>2.3599681623376334E-2</c:v>
                </c:pt>
                <c:pt idx="27">
                  <c:v>2.4029400828055714E-2</c:v>
                </c:pt>
                <c:pt idx="28">
                  <c:v>2.3058404664836996E-2</c:v>
                </c:pt>
                <c:pt idx="29">
                  <c:v>2.4373945152337484E-2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C-A74A-8764-CA3177AEEDD4}"/>
            </c:ext>
          </c:extLst>
        </c:ser>
        <c:ser>
          <c:idx val="2"/>
          <c:order val="2"/>
          <c:tx>
            <c:strRef>
              <c:f>'Q4 (b)'!$G$68</c:f>
              <c:strCache>
                <c:ptCount val="1"/>
                <c:pt idx="0">
                  <c:v>par yield (apr)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'Q4 (b)'!$G$69:$G$98</c:f>
              <c:numCache>
                <c:formatCode>General</c:formatCode>
                <c:ptCount val="30"/>
                <c:pt idx="0">
                  <c:v>4.6961061852174177E-2</c:v>
                </c:pt>
                <c:pt idx="1">
                  <c:v>4.2217014101603091E-2</c:v>
                </c:pt>
                <c:pt idx="2">
                  <c:v>3.9140115240914646E-2</c:v>
                </c:pt>
                <c:pt idx="3">
                  <c:v>3.7606982375895597E-2</c:v>
                </c:pt>
                <c:pt idx="4">
                  <c:v>3.6690057135674192E-2</c:v>
                </c:pt>
                <c:pt idx="5">
                  <c:v>3.6650793325449238E-2</c:v>
                </c:pt>
                <c:pt idx="6">
                  <c:v>3.6131819828197347E-2</c:v>
                </c:pt>
                <c:pt idx="7">
                  <c:v>3.5908041897204257E-2</c:v>
                </c:pt>
                <c:pt idx="8">
                  <c:v>3.5691128930930925E-2</c:v>
                </c:pt>
                <c:pt idx="9">
                  <c:v>3.549236550722578E-2</c:v>
                </c:pt>
                <c:pt idx="10">
                  <c:v>3.5365536116263932E-2</c:v>
                </c:pt>
                <c:pt idx="11">
                  <c:v>3.5242443063421516E-2</c:v>
                </c:pt>
                <c:pt idx="12">
                  <c:v>3.5122516702708488E-2</c:v>
                </c:pt>
                <c:pt idx="13">
                  <c:v>3.5635087391196911E-2</c:v>
                </c:pt>
                <c:pt idx="14">
                  <c:v>3.6243965661977885E-2</c:v>
                </c:pt>
                <c:pt idx="15">
                  <c:v>3.6741666522317466E-2</c:v>
                </c:pt>
                <c:pt idx="16">
                  <c:v>3.7175883961730993E-2</c:v>
                </c:pt>
                <c:pt idx="17">
                  <c:v>3.7715202271620507E-2</c:v>
                </c:pt>
                <c:pt idx="18">
                  <c:v>3.8254079121430848E-2</c:v>
                </c:pt>
                <c:pt idx="19">
                  <c:v>3.8552316026626732E-2</c:v>
                </c:pt>
                <c:pt idx="20">
                  <c:v>3.8844550942431617E-2</c:v>
                </c:pt>
                <c:pt idx="21">
                  <c:v>3.8853653974023898E-2</c:v>
                </c:pt>
                <c:pt idx="22">
                  <c:v>3.8733473734636037E-2</c:v>
                </c:pt>
                <c:pt idx="23">
                  <c:v>3.8560288911607066E-2</c:v>
                </c:pt>
                <c:pt idx="24">
                  <c:v>3.8272449051234787E-2</c:v>
                </c:pt>
                <c:pt idx="25">
                  <c:v>3.7921013400194402E-2</c:v>
                </c:pt>
                <c:pt idx="26">
                  <c:v>3.7608659893319331E-2</c:v>
                </c:pt>
                <c:pt idx="27">
                  <c:v>3.7325740053133334E-2</c:v>
                </c:pt>
                <c:pt idx="28">
                  <c:v>3.7041084773430891E-2</c:v>
                </c:pt>
                <c:pt idx="29">
                  <c:v>3.6798644539839415E-2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2C-A74A-8764-CA3177AEE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346640"/>
        <c:axId val="564347472"/>
      </c:lineChart>
      <c:catAx>
        <c:axId val="56434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47472"/>
        <c:crosses val="autoZero"/>
        <c:auto val="1"/>
        <c:lblAlgn val="ctr"/>
        <c:lblOffset val="100"/>
        <c:noMultiLvlLbl val="0"/>
      </c:catAx>
      <c:valAx>
        <c:axId val="56434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34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Spot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'Q3 (2)'!$X$9:$X$128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'Q3 (2)'!$Z$9:$Z$128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2.3073562733822539E-3</c:v>
                </c:pt>
                <c:pt idx="2">
                  <c:v>3.8850701943631129E-3</c:v>
                </c:pt>
                <c:pt idx="3">
                  <c:v>5.7687467009021566E-3</c:v>
                </c:pt>
                <c:pt idx="4">
                  <c:v>7.7142892890307959E-3</c:v>
                </c:pt>
                <c:pt idx="5">
                  <c:v>9.4976453452542721E-3</c:v>
                </c:pt>
                <c:pt idx="6">
                  <c:v>1.108439118341868E-2</c:v>
                </c:pt>
                <c:pt idx="7">
                  <c:v>1.2544569563200405E-2</c:v>
                </c:pt>
                <c:pt idx="8">
                  <c:v>1.3949312601305681E-2</c:v>
                </c:pt>
                <c:pt idx="9">
                  <c:v>1.53622659246078E-2</c:v>
                </c:pt>
                <c:pt idx="10">
                  <c:v>1.67762478403824E-2</c:v>
                </c:pt>
                <c:pt idx="11">
                  <c:v>1.8145057934184711E-2</c:v>
                </c:pt>
                <c:pt idx="12">
                  <c:v>1.9422088911461577E-2</c:v>
                </c:pt>
                <c:pt idx="13">
                  <c:v>2.0565003952277536E-2</c:v>
                </c:pt>
                <c:pt idx="14">
                  <c:v>2.1571867850447943E-2</c:v>
                </c:pt>
                <c:pt idx="15">
                  <c:v>2.2463002621054686E-2</c:v>
                </c:pt>
                <c:pt idx="16">
                  <c:v>2.3258962373420608E-2</c:v>
                </c:pt>
                <c:pt idx="17">
                  <c:v>2.3980301216868567E-2</c:v>
                </c:pt>
                <c:pt idx="18">
                  <c:v>2.4647573260721398E-2</c:v>
                </c:pt>
                <c:pt idx="19">
                  <c:v>2.5281332614301971E-2</c:v>
                </c:pt>
                <c:pt idx="20">
                  <c:v>2.5902133386933111E-2</c:v>
                </c:pt>
                <c:pt idx="21">
                  <c:v>2.6528882863559058E-2</c:v>
                </c:pt>
                <c:pt idx="22">
                  <c:v>2.7164908242970316E-2</c:v>
                </c:pt>
                <c:pt idx="23">
                  <c:v>2.7804953665196107E-2</c:v>
                </c:pt>
                <c:pt idx="24">
                  <c:v>2.8443673767695465E-2</c:v>
                </c:pt>
                <c:pt idx="25">
                  <c:v>2.9075723187927432E-2</c:v>
                </c:pt>
                <c:pt idx="26">
                  <c:v>2.9695756563351043E-2</c:v>
                </c:pt>
                <c:pt idx="27">
                  <c:v>3.029842853142534E-2</c:v>
                </c:pt>
                <c:pt idx="28">
                  <c:v>3.0878393729609366E-2</c:v>
                </c:pt>
                <c:pt idx="29">
                  <c:v>3.1430852903337365E-2</c:v>
                </c:pt>
                <c:pt idx="30">
                  <c:v>3.1956173353393139E-2</c:v>
                </c:pt>
                <c:pt idx="31">
                  <c:v>3.2457568632354009E-2</c:v>
                </c:pt>
                <c:pt idx="32">
                  <c:v>3.2938281972991514E-2</c:v>
                </c:pt>
                <c:pt idx="33">
                  <c:v>3.3401556608077178E-2</c:v>
                </c:pt>
                <c:pt idx="34">
                  <c:v>3.3850635770382533E-2</c:v>
                </c:pt>
                <c:pt idx="35">
                  <c:v>3.428876269267913E-2</c:v>
                </c:pt>
                <c:pt idx="36">
                  <c:v>3.471918060773848E-2</c:v>
                </c:pt>
                <c:pt idx="37">
                  <c:v>3.5145132748332121E-2</c:v>
                </c:pt>
                <c:pt idx="38">
                  <c:v>3.5569862347231598E-2</c:v>
                </c:pt>
                <c:pt idx="39">
                  <c:v>3.5996612637208429E-2</c:v>
                </c:pt>
                <c:pt idx="40">
                  <c:v>3.6428626851034145E-2</c:v>
                </c:pt>
                <c:pt idx="41">
                  <c:v>3.6868779434958747E-2</c:v>
                </c:pt>
                <c:pt idx="42">
                  <c:v>3.7316455862241207E-2</c:v>
                </c:pt>
                <c:pt idx="43">
                  <c:v>3.7769119533316055E-2</c:v>
                </c:pt>
                <c:pt idx="44">
                  <c:v>3.8224213805593217E-2</c:v>
                </c:pt>
                <c:pt idx="45">
                  <c:v>3.8679182036482657E-2</c:v>
                </c:pt>
                <c:pt idx="46">
                  <c:v>3.9131467583394294E-2</c:v>
                </c:pt>
                <c:pt idx="47">
                  <c:v>3.9578513803738058E-2</c:v>
                </c:pt>
                <c:pt idx="48">
                  <c:v>4.001776405492391E-2</c:v>
                </c:pt>
                <c:pt idx="49">
                  <c:v>4.0446661694361785E-2</c:v>
                </c:pt>
                <c:pt idx="50">
                  <c:v>4.0862650079461604E-2</c:v>
                </c:pt>
                <c:pt idx="51">
                  <c:v>4.1263172567633316E-2</c:v>
                </c:pt>
                <c:pt idx="52">
                  <c:v>4.1645672516286862E-2</c:v>
                </c:pt>
                <c:pt idx="53">
                  <c:v>4.200759328283217E-2</c:v>
                </c:pt>
                <c:pt idx="54">
                  <c:v>4.2346378224679196E-2</c:v>
                </c:pt>
                <c:pt idx="55">
                  <c:v>4.2659470699237853E-2</c:v>
                </c:pt>
                <c:pt idx="56">
                  <c:v>4.2944314063918104E-2</c:v>
                </c:pt>
                <c:pt idx="57">
                  <c:v>4.3198351676129884E-2</c:v>
                </c:pt>
                <c:pt idx="58">
                  <c:v>4.3419026893283114E-2</c:v>
                </c:pt>
                <c:pt idx="59">
                  <c:v>4.3603783072787734E-2</c:v>
                </c:pt>
                <c:pt idx="60">
                  <c:v>4.3750063572053702E-2</c:v>
                </c:pt>
                <c:pt idx="61">
                  <c:v>4.3855721536245798E-2</c:v>
                </c:pt>
                <c:pt idx="62">
                  <c:v>4.392248698325938E-2</c:v>
                </c:pt>
                <c:pt idx="63">
                  <c:v>4.3954225697514254E-2</c:v>
                </c:pt>
                <c:pt idx="64">
                  <c:v>4.3954825734813817E-2</c:v>
                </c:pt>
                <c:pt idx="65">
                  <c:v>4.3928175150961382E-2</c:v>
                </c:pt>
                <c:pt idx="66">
                  <c:v>4.3878162001760326E-2</c:v>
                </c:pt>
                <c:pt idx="67">
                  <c:v>4.380867434301397E-2</c:v>
                </c:pt>
                <c:pt idx="68">
                  <c:v>4.3723600230525669E-2</c:v>
                </c:pt>
                <c:pt idx="69">
                  <c:v>4.3626827720098793E-2</c:v>
                </c:pt>
                <c:pt idx="70">
                  <c:v>4.3522244867536662E-2</c:v>
                </c:pt>
                <c:pt idx="71">
                  <c:v>4.3413739728642646E-2</c:v>
                </c:pt>
                <c:pt idx="72">
                  <c:v>4.3305200359220072E-2</c:v>
                </c:pt>
                <c:pt idx="73">
                  <c:v>4.3200514815072304E-2</c:v>
                </c:pt>
                <c:pt idx="74">
                  <c:v>4.3103571152002675E-2</c:v>
                </c:pt>
                <c:pt idx="75">
                  <c:v>4.3018257425814561E-2</c:v>
                </c:pt>
                <c:pt idx="76">
                  <c:v>4.2948461692311285E-2</c:v>
                </c:pt>
                <c:pt idx="77">
                  <c:v>4.2897665356789953E-2</c:v>
                </c:pt>
                <c:pt idx="78">
                  <c:v>4.2865502632337106E-2</c:v>
                </c:pt>
                <c:pt idx="79">
                  <c:v>4.2849488316492795E-2</c:v>
                </c:pt>
                <c:pt idx="80">
                  <c:v>4.2847115105918585E-2</c:v>
                </c:pt>
                <c:pt idx="81">
                  <c:v>4.2855875697276072E-2</c:v>
                </c:pt>
                <c:pt idx="82">
                  <c:v>4.2873262787226814E-2</c:v>
                </c:pt>
                <c:pt idx="83">
                  <c:v>4.2896769072432395E-2</c:v>
                </c:pt>
                <c:pt idx="84">
                  <c:v>4.2923887249554385E-2</c:v>
                </c:pt>
                <c:pt idx="85">
                  <c:v>4.2952110015254362E-2</c:v>
                </c:pt>
                <c:pt idx="86">
                  <c:v>4.2978930066193903E-2</c:v>
                </c:pt>
                <c:pt idx="87">
                  <c:v>4.3001840099034586E-2</c:v>
                </c:pt>
                <c:pt idx="88">
                  <c:v>4.301833281043798E-2</c:v>
                </c:pt>
                <c:pt idx="89">
                  <c:v>4.3025900897065664E-2</c:v>
                </c:pt>
                <c:pt idx="90">
                  <c:v>4.3022037055579214E-2</c:v>
                </c:pt>
                <c:pt idx="91">
                  <c:v>4.3004233982640201E-2</c:v>
                </c:pt>
                <c:pt idx="92">
                  <c:v>4.296998437491021E-2</c:v>
                </c:pt>
                <c:pt idx="93">
                  <c:v>4.2917069003676617E-2</c:v>
                </c:pt>
                <c:pt idx="94">
                  <c:v>4.2845994023423151E-2</c:v>
                </c:pt>
                <c:pt idx="95">
                  <c:v>4.2758767000364517E-2</c:v>
                </c:pt>
                <c:pt idx="96">
                  <c:v>4.2657411157162942E-2</c:v>
                </c:pt>
                <c:pt idx="97">
                  <c:v>4.2543949716480636E-2</c:v>
                </c:pt>
                <c:pt idx="98">
                  <c:v>4.242040590097982E-2</c:v>
                </c:pt>
                <c:pt idx="99">
                  <c:v>4.2288802933322697E-2</c:v>
                </c:pt>
                <c:pt idx="100">
                  <c:v>4.2151164036171473E-2</c:v>
                </c:pt>
                <c:pt idx="101">
                  <c:v>4.2009512432188381E-2</c:v>
                </c:pt>
                <c:pt idx="102">
                  <c:v>4.1865871344035611E-2</c:v>
                </c:pt>
                <c:pt idx="103">
                  <c:v>4.1722263994375404E-2</c:v>
                </c:pt>
                <c:pt idx="104">
                  <c:v>4.1580713605869943E-2</c:v>
                </c:pt>
                <c:pt idx="105">
                  <c:v>4.1443243401181468E-2</c:v>
                </c:pt>
                <c:pt idx="106">
                  <c:v>4.1311876602972177E-2</c:v>
                </c:pt>
                <c:pt idx="107">
                  <c:v>4.1188636433904295E-2</c:v>
                </c:pt>
                <c:pt idx="108">
                  <c:v>4.1075546116640008E-2</c:v>
                </c:pt>
                <c:pt idx="109">
                  <c:v>4.0974450678864315E-2</c:v>
                </c:pt>
                <c:pt idx="110">
                  <c:v>4.0885509301772677E-2</c:v>
                </c:pt>
                <c:pt idx="111">
                  <c:v>4.0807952434887371E-2</c:v>
                </c:pt>
                <c:pt idx="112">
                  <c:v>4.0741000843086288E-2</c:v>
                </c:pt>
                <c:pt idx="113">
                  <c:v>4.0683875291247319E-2</c:v>
                </c:pt>
                <c:pt idx="114">
                  <c:v>4.0635796544248384E-2</c:v>
                </c:pt>
                <c:pt idx="115">
                  <c:v>4.0595985366967374E-2</c:v>
                </c:pt>
                <c:pt idx="116">
                  <c:v>4.056366252428218E-2</c:v>
                </c:pt>
                <c:pt idx="117">
                  <c:v>4.0538048781070708E-2</c:v>
                </c:pt>
                <c:pt idx="118">
                  <c:v>4.0518364902210856E-2</c:v>
                </c:pt>
                <c:pt idx="119">
                  <c:v>4.0503831652580521E-2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13-BC48-BD14-8C63393D0B05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'Q3 (2)'!$G$9:$G$30</c:f>
              <c:numCache>
                <c:formatCode>0.0000</c:formatCode>
                <c:ptCount val="22"/>
                <c:pt idx="0">
                  <c:v>0.24931506849315069</c:v>
                </c:pt>
                <c:pt idx="1">
                  <c:v>0.49863013698630138</c:v>
                </c:pt>
                <c:pt idx="2">
                  <c:v>1.3186813186813187</c:v>
                </c:pt>
                <c:pt idx="3">
                  <c:v>2.3186813186813189</c:v>
                </c:pt>
                <c:pt idx="4">
                  <c:v>3.3186813186813189</c:v>
                </c:pt>
                <c:pt idx="5">
                  <c:v>5.3186813186813184</c:v>
                </c:pt>
                <c:pt idx="6">
                  <c:v>7.3186813186813184</c:v>
                </c:pt>
                <c:pt idx="7">
                  <c:v>10.318681318681319</c:v>
                </c:pt>
                <c:pt idx="8">
                  <c:v>15.318681318681319</c:v>
                </c:pt>
                <c:pt idx="9">
                  <c:v>19.318681318681318</c:v>
                </c:pt>
                <c:pt idx="10">
                  <c:v>23.318681318681318</c:v>
                </c:pt>
                <c:pt idx="11">
                  <c:v>27.318681318681318</c:v>
                </c:pt>
                <c:pt idx="12">
                  <c:v>31.318681318681318</c:v>
                </c:pt>
              </c:numCache>
            </c:numRef>
          </c:xVal>
          <c:yVal>
            <c:numRef>
              <c:f>'Q3 (2)'!$H$9:$H$30</c:f>
              <c:numCache>
                <c:formatCode>0.00000</c:formatCode>
                <c:ptCount val="22"/>
                <c:pt idx="0">
                  <c:v>1.5002820207405954E-3</c:v>
                </c:pt>
                <c:pt idx="1">
                  <c:v>2.3000036219071873E-3</c:v>
                </c:pt>
                <c:pt idx="2">
                  <c:v>8.2272035712298471E-3</c:v>
                </c:pt>
                <c:pt idx="3">
                  <c:v>1.4334968368852466E-2</c:v>
                </c:pt>
                <c:pt idx="4">
                  <c:v>1.9750663158380807E-2</c:v>
                </c:pt>
                <c:pt idx="5">
                  <c:v>2.6073142931933434E-2</c:v>
                </c:pt>
                <c:pt idx="6">
                  <c:v>3.103303918882263E-2</c:v>
                </c:pt>
                <c:pt idx="7">
                  <c:v>3.6548664382743734E-2</c:v>
                </c:pt>
                <c:pt idx="8">
                  <c:v>4.3783174005260272E-2</c:v>
                </c:pt>
                <c:pt idx="9">
                  <c:v>4.2932520443761869E-2</c:v>
                </c:pt>
                <c:pt idx="10">
                  <c:v>4.2957362470663653E-2</c:v>
                </c:pt>
                <c:pt idx="11">
                  <c:v>4.1046523202330945E-2</c:v>
                </c:pt>
                <c:pt idx="12">
                  <c:v>4.0481139065995111E-2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13-BC48-BD14-8C63393D0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66885389326334"/>
          <c:y val="0.10525082789530145"/>
          <c:w val="0.80781036745406831"/>
          <c:h val="0.74437476413994297"/>
        </c:manualLayout>
      </c:layout>
      <c:scatterChart>
        <c:scatterStyle val="lineMarker"/>
        <c:varyColors val="0"/>
        <c:ser>
          <c:idx val="0"/>
          <c:order val="0"/>
          <c:tx>
            <c:v>Cubic splines</c:v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'Q3 (2)'!$X$9:$X$128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'Q3 (2)'!$AB$9:$AB$128</c:f>
              <c:numCache>
                <c:formatCode>0.00000</c:formatCode>
                <c:ptCount val="120"/>
                <c:pt idx="0">
                  <c:v>1.5002900343083199E-3</c:v>
                </c:pt>
                <c:pt idx="1">
                  <c:v>3.1147479462916294E-3</c:v>
                </c:pt>
                <c:pt idx="2">
                  <c:v>7.0442284850846804E-3</c:v>
                </c:pt>
                <c:pt idx="3">
                  <c:v>1.1430406953830907E-2</c:v>
                </c:pt>
                <c:pt idx="4">
                  <c:v>1.5515349203123474E-2</c:v>
                </c:pt>
                <c:pt idx="5">
                  <c:v>1.8438214827577681E-2</c:v>
                </c:pt>
                <c:pt idx="6">
                  <c:v>2.0631212422598022E-2</c:v>
                </c:pt>
                <c:pt idx="7">
                  <c:v>2.2795546539139622E-2</c:v>
                </c:pt>
                <c:pt idx="8">
                  <c:v>2.5222612509213427E-2</c:v>
                </c:pt>
                <c:pt idx="9">
                  <c:v>2.8123538099045664E-2</c:v>
                </c:pt>
                <c:pt idx="10">
                  <c:v>3.097074488256224E-2</c:v>
                </c:pt>
                <c:pt idx="11">
                  <c:v>3.32634237279823E-2</c:v>
                </c:pt>
                <c:pt idx="12">
                  <c:v>3.4809636788170728E-2</c:v>
                </c:pt>
                <c:pt idx="13">
                  <c:v>3.5481895919237338E-2</c:v>
                </c:pt>
                <c:pt idx="14">
                  <c:v>3.5720757837323536E-2</c:v>
                </c:pt>
                <c:pt idx="15">
                  <c:v>3.5877260124181909E-2</c:v>
                </c:pt>
                <c:pt idx="16">
                  <c:v>3.6037005396063471E-2</c:v>
                </c:pt>
                <c:pt idx="17">
                  <c:v>3.6282484105031099E-2</c:v>
                </c:pt>
                <c:pt idx="18">
                  <c:v>3.6696158419799563E-2</c:v>
                </c:pt>
                <c:pt idx="19">
                  <c:v>3.7360523542839363E-2</c:v>
                </c:pt>
                <c:pt idx="20">
                  <c:v>3.8358187716347025E-2</c:v>
                </c:pt>
                <c:pt idx="21">
                  <c:v>3.9735504428870527E-2</c:v>
                </c:pt>
                <c:pt idx="22">
                  <c:v>4.1208080651246703E-2</c:v>
                </c:pt>
                <c:pt idx="23">
                  <c:v>4.2581902990681986E-2</c:v>
                </c:pt>
                <c:pt idx="24">
                  <c:v>4.3833457645697571E-2</c:v>
                </c:pt>
                <c:pt idx="25">
                  <c:v>4.4941124796012311E-2</c:v>
                </c:pt>
                <c:pt idx="26">
                  <c:v>4.5883296638066895E-2</c:v>
                </c:pt>
                <c:pt idx="27">
                  <c:v>4.6638389060075447E-2</c:v>
                </c:pt>
                <c:pt idx="28">
                  <c:v>4.7184854562118961E-2</c:v>
                </c:pt>
                <c:pt idx="29">
                  <c:v>4.7517709326879931E-2</c:v>
                </c:pt>
                <c:pt idx="30">
                  <c:v>4.7779113395964856E-2</c:v>
                </c:pt>
                <c:pt idx="31">
                  <c:v>4.8062339975779356E-2</c:v>
                </c:pt>
                <c:pt idx="32">
                  <c:v>4.8381288126791766E-2</c:v>
                </c:pt>
                <c:pt idx="33">
                  <c:v>4.8748990237540646E-2</c:v>
                </c:pt>
                <c:pt idx="34">
                  <c:v>4.9178482807016088E-2</c:v>
                </c:pt>
                <c:pt idx="35">
                  <c:v>4.9682809912525272E-2</c:v>
                </c:pt>
                <c:pt idx="36">
                  <c:v>5.0275027141427842E-2</c:v>
                </c:pt>
                <c:pt idx="37">
                  <c:v>5.0968205987522719E-2</c:v>
                </c:pt>
                <c:pt idx="38">
                  <c:v>5.1775438713423494E-2</c:v>
                </c:pt>
                <c:pt idx="39">
                  <c:v>5.270984368060061E-2</c:v>
                </c:pt>
                <c:pt idx="40">
                  <c:v>5.3784571148307148E-2</c:v>
                </c:pt>
                <c:pt idx="41">
                  <c:v>5.4997182597513294E-2</c:v>
                </c:pt>
                <c:pt idx="42">
                  <c:v>5.6207982400717782E-2</c:v>
                </c:pt>
                <c:pt idx="43">
                  <c:v>5.7329098574120163E-2</c:v>
                </c:pt>
                <c:pt idx="44">
                  <c:v>5.8349304317822703E-2</c:v>
                </c:pt>
                <c:pt idx="45">
                  <c:v>5.9258208948240743E-2</c:v>
                </c:pt>
                <c:pt idx="46">
                  <c:v>6.0045432730526649E-2</c:v>
                </c:pt>
                <c:pt idx="47">
                  <c:v>6.0700611250382952E-2</c:v>
                </c:pt>
                <c:pt idx="48">
                  <c:v>6.1213400067370749E-2</c:v>
                </c:pt>
                <c:pt idx="49">
                  <c:v>6.1573479646102047E-2</c:v>
                </c:pt>
                <c:pt idx="50">
                  <c:v>6.1770560564733845E-2</c:v>
                </c:pt>
                <c:pt idx="51">
                  <c:v>6.1794388996732508E-2</c:v>
                </c:pt>
                <c:pt idx="52">
                  <c:v>6.1634752464398979E-2</c:v>
                </c:pt>
                <c:pt idx="53">
                  <c:v>6.1281485861006679E-2</c:v>
                </c:pt>
                <c:pt idx="54">
                  <c:v>6.0724477738659743E-2</c:v>
                </c:pt>
                <c:pt idx="55">
                  <c:v>5.9953676858830018E-2</c:v>
                </c:pt>
                <c:pt idx="56">
                  <c:v>5.8959099003024207E-2</c:v>
                </c:pt>
                <c:pt idx="57">
                  <c:v>5.7730834039046997E-2</c:v>
                </c:pt>
                <c:pt idx="58">
                  <c:v>5.625905324116065E-2</c:v>
                </c:pt>
                <c:pt idx="59">
                  <c:v>5.4534016858676537E-2</c:v>
                </c:pt>
                <c:pt idx="60">
                  <c:v>5.2546081931185373E-2</c:v>
                </c:pt>
                <c:pt idx="61">
                  <c:v>5.0311197276670772E-2</c:v>
                </c:pt>
                <c:pt idx="62">
                  <c:v>4.8066206998377048E-2</c:v>
                </c:pt>
                <c:pt idx="63">
                  <c:v>4.5954758598917511E-2</c:v>
                </c:pt>
                <c:pt idx="64">
                  <c:v>4.3993228488369951E-2</c:v>
                </c:pt>
                <c:pt idx="65">
                  <c:v>4.2196632359075004E-2</c:v>
                </c:pt>
                <c:pt idx="66">
                  <c:v>4.0579998494518765E-2</c:v>
                </c:pt>
                <c:pt idx="67">
                  <c:v>3.9158378816988026E-2</c:v>
                </c:pt>
                <c:pt idx="68">
                  <c:v>3.7946860598271126E-2</c:v>
                </c:pt>
                <c:pt idx="69">
                  <c:v>3.6960578844897896E-2</c:v>
                </c:pt>
                <c:pt idx="70">
                  <c:v>3.6214729367576748E-2</c:v>
                </c:pt>
                <c:pt idx="71">
                  <c:v>3.5724582547820738E-2</c:v>
                </c:pt>
                <c:pt idx="72">
                  <c:v>3.5505497813846265E-2</c:v>
                </c:pt>
                <c:pt idx="73">
                  <c:v>3.5572938839255386E-2</c:v>
                </c:pt>
                <c:pt idx="74">
                  <c:v>3.5942489479829032E-2</c:v>
                </c:pt>
                <c:pt idx="75">
                  <c:v>3.6629870463284142E-2</c:v>
                </c:pt>
                <c:pt idx="76">
                  <c:v>3.7650956848149786E-2</c:v>
                </c:pt>
                <c:pt idx="77">
                  <c:v>3.8990137957657378E-2</c:v>
                </c:pt>
                <c:pt idx="78">
                  <c:v>4.0358369588699983E-2</c:v>
                </c:pt>
                <c:pt idx="79">
                  <c:v>4.1584753985684397E-2</c:v>
                </c:pt>
                <c:pt idx="80">
                  <c:v>4.2657267192377279E-2</c:v>
                </c:pt>
                <c:pt idx="81">
                  <c:v>4.3565608378515641E-2</c:v>
                </c:pt>
                <c:pt idx="82">
                  <c:v>4.4299507870019905E-2</c:v>
                </c:pt>
                <c:pt idx="83">
                  <c:v>4.4848733915760608E-2</c:v>
                </c:pt>
                <c:pt idx="84">
                  <c:v>4.5203099717225914E-2</c:v>
                </c:pt>
                <c:pt idx="85">
                  <c:v>4.5352470715041893E-2</c:v>
                </c:pt>
                <c:pt idx="86">
                  <c:v>4.5286772127978825E-2</c:v>
                </c:pt>
                <c:pt idx="87">
                  <c:v>4.4995996738663724E-2</c:v>
                </c:pt>
                <c:pt idx="88">
                  <c:v>4.4470212920411978E-2</c:v>
                </c:pt>
                <c:pt idx="89">
                  <c:v>4.3699572899135841E-2</c:v>
                </c:pt>
                <c:pt idx="90">
                  <c:v>4.2674321244060565E-2</c:v>
                </c:pt>
                <c:pt idx="91">
                  <c:v>4.1384803581182794E-2</c:v>
                </c:pt>
                <c:pt idx="92">
                  <c:v>3.9821475522557215E-2</c:v>
                </c:pt>
                <c:pt idx="93">
                  <c:v>3.8001925491452759E-2</c:v>
                </c:pt>
                <c:pt idx="94">
                  <c:v>3.6175974874848915E-2</c:v>
                </c:pt>
                <c:pt idx="95">
                  <c:v>3.4489160771132177E-2</c:v>
                </c:pt>
                <c:pt idx="96">
                  <c:v>3.2950628425597817E-2</c:v>
                </c:pt>
                <c:pt idx="97">
                  <c:v>3.1568091764876627E-2</c:v>
                </c:pt>
                <c:pt idx="98">
                  <c:v>3.0349290680529606E-2</c:v>
                </c:pt>
                <c:pt idx="99">
                  <c:v>2.9301995990531182E-2</c:v>
                </c:pt>
                <c:pt idx="100">
                  <c:v>2.8434014592753076E-2</c:v>
                </c:pt>
                <c:pt idx="101">
                  <c:v>2.7753194813407323E-2</c:v>
                </c:pt>
                <c:pt idx="102">
                  <c:v>2.7267431954113963E-2</c:v>
                </c:pt>
                <c:pt idx="103">
                  <c:v>2.6984674041924617E-2</c:v>
                </c:pt>
                <c:pt idx="104">
                  <c:v>2.6912927785901264E-2</c:v>
                </c:pt>
                <c:pt idx="105">
                  <c:v>2.706026474438028E-2</c:v>
                </c:pt>
                <c:pt idx="106">
                  <c:v>2.7434827708915144E-2</c:v>
                </c:pt>
                <c:pt idx="107">
                  <c:v>2.804483730696683E-2</c:v>
                </c:pt>
                <c:pt idx="108">
                  <c:v>2.8898598830960243E-2</c:v>
                </c:pt>
                <c:pt idx="109">
                  <c:v>2.998501329847203E-2</c:v>
                </c:pt>
                <c:pt idx="110">
                  <c:v>3.1125582637533178E-2</c:v>
                </c:pt>
                <c:pt idx="111">
                  <c:v>3.2217435022142471E-2</c:v>
                </c:pt>
                <c:pt idx="112">
                  <c:v>3.3256304788267688E-2</c:v>
                </c:pt>
                <c:pt idx="113">
                  <c:v>3.4238976917186914E-2</c:v>
                </c:pt>
                <c:pt idx="114">
                  <c:v>3.5162237917440109E-2</c:v>
                </c:pt>
                <c:pt idx="115">
                  <c:v>3.6022876625660505E-2</c:v>
                </c:pt>
                <c:pt idx="116">
                  <c:v>3.6817685033010861E-2</c:v>
                </c:pt>
                <c:pt idx="117">
                  <c:v>3.7543459139577795E-2</c:v>
                </c:pt>
                <c:pt idx="118">
                  <c:v>3.8196999834949175E-2</c:v>
                </c:pt>
                <c:pt idx="119">
                  <c:v>3.8775113805480821E-2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67-4643-A48D-6D5D205CCFA6}"/>
            </c:ext>
          </c:extLst>
        </c:ser>
        <c:ser>
          <c:idx val="1"/>
          <c:order val="1"/>
          <c:tx>
            <c:v>Bootstrapping</c:v>
          </c:tx>
          <c:spPr>
            <a:ln w="22225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'Q3 (2)'!$X$9:$X$128</c:f>
              <c:numCache>
                <c:formatCode>General</c:formatCode>
                <c:ptCount val="1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  <c:pt idx="119">
                  <c:v>30</c:v>
                </c:pt>
              </c:numCache>
            </c:numRef>
          </c:xVal>
          <c:yVal>
            <c:numRef>
              <c:f>'Q3 (2)'!$AA$9:$AA$128</c:f>
              <c:numCache>
                <c:formatCode>0.00000</c:formatCode>
                <c:ptCount val="120"/>
                <c:pt idx="0">
                  <c:v>1.5024790581064376E-3</c:v>
                </c:pt>
                <c:pt idx="1">
                  <c:v>3.1176562145880382E-3</c:v>
                </c:pt>
                <c:pt idx="2">
                  <c:v>7.7356793671650159E-3</c:v>
                </c:pt>
                <c:pt idx="3">
                  <c:v>1.1354487701290772E-2</c:v>
                </c:pt>
                <c:pt idx="4">
                  <c:v>1.4974919356377736E-2</c:v>
                </c:pt>
                <c:pt idx="5">
                  <c:v>1.7373242322277438E-2</c:v>
                </c:pt>
                <c:pt idx="6">
                  <c:v>2.0047642249588105E-2</c:v>
                </c:pt>
                <c:pt idx="7">
                  <c:v>2.3109640955623068E-2</c:v>
                </c:pt>
                <c:pt idx="8">
                  <c:v>2.6172792082594043E-2</c:v>
                </c:pt>
                <c:pt idx="9">
                  <c:v>2.7974006773094917E-2</c:v>
                </c:pt>
                <c:pt idx="10">
                  <c:v>3.0260224015888681E-2</c:v>
                </c:pt>
                <c:pt idx="11">
                  <c:v>3.2978070077825716E-2</c:v>
                </c:pt>
                <c:pt idx="12">
                  <c:v>3.5696817772619127E-2</c:v>
                </c:pt>
                <c:pt idx="13">
                  <c:v>3.2651121657784721E-2</c:v>
                </c:pt>
                <c:pt idx="14">
                  <c:v>3.221102077109661E-2</c:v>
                </c:pt>
                <c:pt idx="15">
                  <c:v>3.3796276174616224E-2</c:v>
                </c:pt>
                <c:pt idx="16">
                  <c:v>3.53818386722482E-2</c:v>
                </c:pt>
                <c:pt idx="17">
                  <c:v>3.6967708023242896E-2</c:v>
                </c:pt>
                <c:pt idx="18">
                  <c:v>3.8553883987132664E-2</c:v>
                </c:pt>
                <c:pt idx="19">
                  <c:v>4.0140366323667909E-2</c:v>
                </c:pt>
                <c:pt idx="20">
                  <c:v>4.1727154792801979E-2</c:v>
                </c:pt>
                <c:pt idx="21">
                  <c:v>4.0575970538287986E-2</c:v>
                </c:pt>
                <c:pt idx="22">
                  <c:v>4.0830596696957766E-2</c:v>
                </c:pt>
                <c:pt idx="23">
                  <c:v>4.2074931952298833E-2</c:v>
                </c:pt>
                <c:pt idx="24">
                  <c:v>4.3319455429903453E-2</c:v>
                </c:pt>
                <c:pt idx="25">
                  <c:v>4.4564167014303546E-2</c:v>
                </c:pt>
                <c:pt idx="26">
                  <c:v>4.580906659009365E-2</c:v>
                </c:pt>
                <c:pt idx="27">
                  <c:v>4.7054154041982432E-2</c:v>
                </c:pt>
                <c:pt idx="28">
                  <c:v>4.8299429254706094E-2</c:v>
                </c:pt>
                <c:pt idx="29">
                  <c:v>4.6027822732633172E-2</c:v>
                </c:pt>
                <c:pt idx="30">
                  <c:v>4.5663566115027976E-2</c:v>
                </c:pt>
                <c:pt idx="31">
                  <c:v>4.6586060264939277E-2</c:v>
                </c:pt>
                <c:pt idx="32">
                  <c:v>4.7508657637436613E-2</c:v>
                </c:pt>
                <c:pt idx="33">
                  <c:v>4.8431358185724083E-2</c:v>
                </c:pt>
                <c:pt idx="34">
                  <c:v>4.9354161862919188E-2</c:v>
                </c:pt>
                <c:pt idx="35">
                  <c:v>5.0277068622284649E-2</c:v>
                </c:pt>
                <c:pt idx="36">
                  <c:v>5.1200078417001471E-2</c:v>
                </c:pt>
                <c:pt idx="37">
                  <c:v>5.2123191200358132E-2</c:v>
                </c:pt>
                <c:pt idx="38">
                  <c:v>5.3046406925649325E-2</c:v>
                </c:pt>
                <c:pt idx="39">
                  <c:v>5.3969725546127112E-2</c:v>
                </c:pt>
                <c:pt idx="40">
                  <c:v>5.4893147015200761E-2</c:v>
                </c:pt>
                <c:pt idx="41">
                  <c:v>5.2808608995985828E-2</c:v>
                </c:pt>
                <c:pt idx="42">
                  <c:v>5.2423360444125322E-2</c:v>
                </c:pt>
                <c:pt idx="43">
                  <c:v>5.3149573221282331E-2</c:v>
                </c:pt>
                <c:pt idx="44">
                  <c:v>5.3875849723710623E-2</c:v>
                </c:pt>
                <c:pt idx="45">
                  <c:v>5.4602189928703027E-2</c:v>
                </c:pt>
                <c:pt idx="46">
                  <c:v>5.5328593813502192E-2</c:v>
                </c:pt>
                <c:pt idx="47">
                  <c:v>5.6055061355465341E-2</c:v>
                </c:pt>
                <c:pt idx="48">
                  <c:v>5.6781592531936376E-2</c:v>
                </c:pt>
                <c:pt idx="49">
                  <c:v>5.7508187320156168E-2</c:v>
                </c:pt>
                <c:pt idx="50">
                  <c:v>5.8234845697541449E-2</c:v>
                </c:pt>
                <c:pt idx="51">
                  <c:v>5.8961567641446333E-2</c:v>
                </c:pt>
                <c:pt idx="52">
                  <c:v>5.9688353129151661E-2</c:v>
                </c:pt>
                <c:pt idx="53">
                  <c:v>6.0415202138107027E-2</c:v>
                </c:pt>
                <c:pt idx="54">
                  <c:v>6.1142114645689638E-2</c:v>
                </c:pt>
                <c:pt idx="55">
                  <c:v>6.1869090629214085E-2</c:v>
                </c:pt>
                <c:pt idx="56">
                  <c:v>6.2596130066156164E-2</c:v>
                </c:pt>
                <c:pt idx="57">
                  <c:v>6.3323232933930385E-2</c:v>
                </c:pt>
                <c:pt idx="58">
                  <c:v>6.4050399209875764E-2</c:v>
                </c:pt>
                <c:pt idx="59">
                  <c:v>6.4777628871503179E-2</c:v>
                </c:pt>
                <c:pt idx="60">
                  <c:v>6.5504921896254675E-2</c:v>
                </c:pt>
                <c:pt idx="61">
                  <c:v>4.7457770868117866E-2</c:v>
                </c:pt>
                <c:pt idx="62">
                  <c:v>4.0397865435911839E-2</c:v>
                </c:pt>
                <c:pt idx="63">
                  <c:v>4.0291620875274603E-2</c:v>
                </c:pt>
                <c:pt idx="64">
                  <c:v>4.0185377700045599E-2</c:v>
                </c:pt>
                <c:pt idx="65">
                  <c:v>4.0079135910285668E-2</c:v>
                </c:pt>
                <c:pt idx="66">
                  <c:v>3.9972895506059647E-2</c:v>
                </c:pt>
                <c:pt idx="67">
                  <c:v>3.98666564874679E-2</c:v>
                </c:pt>
                <c:pt idx="68">
                  <c:v>3.976041885449666E-2</c:v>
                </c:pt>
                <c:pt idx="69">
                  <c:v>3.9654182607300026E-2</c:v>
                </c:pt>
                <c:pt idx="70">
                  <c:v>3.9547947745931289E-2</c:v>
                </c:pt>
                <c:pt idx="71">
                  <c:v>3.9441714270457506E-2</c:v>
                </c:pt>
                <c:pt idx="72">
                  <c:v>3.9335482180973713E-2</c:v>
                </c:pt>
                <c:pt idx="73">
                  <c:v>3.9229251477472804E-2</c:v>
                </c:pt>
                <c:pt idx="74">
                  <c:v>3.9123022160112875E-2</c:v>
                </c:pt>
                <c:pt idx="75">
                  <c:v>3.9016794228934781E-2</c:v>
                </c:pt>
                <c:pt idx="76">
                  <c:v>3.8910567684005137E-2</c:v>
                </c:pt>
                <c:pt idx="77">
                  <c:v>4.1895959647306302E-2</c:v>
                </c:pt>
                <c:pt idx="78">
                  <c:v>4.3056307668118077E-2</c:v>
                </c:pt>
                <c:pt idx="79">
                  <c:v>4.3059413014664649E-2</c:v>
                </c:pt>
                <c:pt idx="80">
                  <c:v>4.3062518362463109E-2</c:v>
                </c:pt>
                <c:pt idx="81">
                  <c:v>4.3065623711405987E-2</c:v>
                </c:pt>
                <c:pt idx="82">
                  <c:v>4.3068729061525257E-2</c:v>
                </c:pt>
                <c:pt idx="83">
                  <c:v>4.3071834412837351E-2</c:v>
                </c:pt>
                <c:pt idx="84">
                  <c:v>4.3074939765303188E-2</c:v>
                </c:pt>
                <c:pt idx="85">
                  <c:v>4.3078045118934316E-2</c:v>
                </c:pt>
                <c:pt idx="86">
                  <c:v>4.3081150473814223E-2</c:v>
                </c:pt>
                <c:pt idx="87">
                  <c:v>4.3084255829833218E-2</c:v>
                </c:pt>
                <c:pt idx="88">
                  <c:v>4.3087361187040596E-2</c:v>
                </c:pt>
                <c:pt idx="89">
                  <c:v>4.3090466545419481E-2</c:v>
                </c:pt>
                <c:pt idx="90">
                  <c:v>4.3093571904939232E-2</c:v>
                </c:pt>
                <c:pt idx="91">
                  <c:v>4.3096677265715755E-2</c:v>
                </c:pt>
                <c:pt idx="92">
                  <c:v>4.3099782627647354E-2</c:v>
                </c:pt>
                <c:pt idx="93">
                  <c:v>3.4870840069874731E-2</c:v>
                </c:pt>
                <c:pt idx="94">
                  <c:v>3.1556253922305544E-2</c:v>
                </c:pt>
                <c:pt idx="95">
                  <c:v>3.1318062320218498E-2</c:v>
                </c:pt>
                <c:pt idx="96">
                  <c:v>3.1079877739491835E-2</c:v>
                </c:pt>
                <c:pt idx="97">
                  <c:v>3.0841700180762377E-2</c:v>
                </c:pt>
                <c:pt idx="98">
                  <c:v>3.0603529645012451E-2</c:v>
                </c:pt>
                <c:pt idx="99">
                  <c:v>3.0365366133015659E-2</c:v>
                </c:pt>
                <c:pt idx="100">
                  <c:v>3.0127209645564701E-2</c:v>
                </c:pt>
                <c:pt idx="101">
                  <c:v>2.9889060183517557E-2</c:v>
                </c:pt>
                <c:pt idx="102">
                  <c:v>2.9650917747674033E-2</c:v>
                </c:pt>
                <c:pt idx="103">
                  <c:v>2.9412782338841037E-2</c:v>
                </c:pt>
                <c:pt idx="104">
                  <c:v>2.9174653957926733E-2</c:v>
                </c:pt>
                <c:pt idx="105">
                  <c:v>2.8936532605554621E-2</c:v>
                </c:pt>
                <c:pt idx="106">
                  <c:v>2.8698418282724791E-2</c:v>
                </c:pt>
                <c:pt idx="107">
                  <c:v>2.8460310990200632E-2</c:v>
                </c:pt>
                <c:pt idx="108">
                  <c:v>2.8222210728785058E-2</c:v>
                </c:pt>
                <c:pt idx="109">
                  <c:v>3.4661127358522226E-2</c:v>
                </c:pt>
                <c:pt idx="110">
                  <c:v>3.7102274687675241E-2</c:v>
                </c:pt>
                <c:pt idx="111">
                  <c:v>3.7031669579999704E-2</c:v>
                </c:pt>
                <c:pt idx="112">
                  <c:v>3.6961065085386657E-2</c:v>
                </c:pt>
                <c:pt idx="113">
                  <c:v>3.689046120374373E-2</c:v>
                </c:pt>
                <c:pt idx="114">
                  <c:v>3.6819857935135758E-2</c:v>
                </c:pt>
                <c:pt idx="115">
                  <c:v>3.6749255279588056E-2</c:v>
                </c:pt>
                <c:pt idx="116">
                  <c:v>3.6678653237069536E-2</c:v>
                </c:pt>
                <c:pt idx="117">
                  <c:v>3.6608051807727637E-2</c:v>
                </c:pt>
                <c:pt idx="118">
                  <c:v>3.6537450991380283E-2</c:v>
                </c:pt>
                <c:pt idx="119">
                  <c:v>3.6466850788221095E-2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67-4643-A48D-6D5D205CC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85824"/>
        <c:axId val="183887744"/>
      </c:scatterChart>
      <c:valAx>
        <c:axId val="18388582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to maturity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3887744"/>
        <c:crosses val="autoZero"/>
        <c:crossBetween val="midCat"/>
      </c:valAx>
      <c:valAx>
        <c:axId val="183887744"/>
        <c:scaling>
          <c:orientation val="minMax"/>
        </c:scaling>
        <c:delete val="0"/>
        <c:axPos val="l"/>
        <c:majorGridlines/>
        <c:numFmt formatCode="0.000" sourceLinked="0"/>
        <c:majorTickMark val="out"/>
        <c:minorTickMark val="none"/>
        <c:tickLblPos val="nextTo"/>
        <c:crossAx val="1838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766673722757537"/>
          <c:y val="0.13131755138039086"/>
          <c:w val="0.23268574756165844"/>
          <c:h val="8.293961756902876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'Q3 (2)'!$P$8</c:f>
              <c:strCache>
                <c:ptCount val="1"/>
                <c:pt idx="0">
                  <c:v>spot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 (2)'!$O$9:$O$68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cat>
          <c:val>
            <c:numRef>
              <c:f>'Q3 (2)'!$P$9:$P$68</c:f>
              <c:numCache>
                <c:formatCode>0.00000</c:formatCode>
                <c:ptCount val="60"/>
                <c:pt idx="0">
                  <c:v>4.5612933158117465E-2</c:v>
                </c:pt>
                <c:pt idx="1">
                  <c:v>4.6976906298536632E-2</c:v>
                </c:pt>
                <c:pt idx="2">
                  <c:v>4.5007236082164073E-2</c:v>
                </c:pt>
                <c:pt idx="3">
                  <c:v>4.210320439069648E-2</c:v>
                </c:pt>
                <c:pt idx="4">
                  <c:v>4.0289618534001086E-2</c:v>
                </c:pt>
                <c:pt idx="5">
                  <c:v>3.8946241419840155E-2</c:v>
                </c:pt>
                <c:pt idx="6">
                  <c:v>3.8152267195714011E-2</c:v>
                </c:pt>
                <c:pt idx="7">
                  <c:v>3.7377097839757872E-2</c:v>
                </c:pt>
                <c:pt idx="8">
                  <c:v>3.6892549173701814E-2</c:v>
                </c:pt>
                <c:pt idx="9">
                  <c:v>3.6440530673478341E-2</c:v>
                </c:pt>
                <c:pt idx="10">
                  <c:v>3.6491251099758572E-2</c:v>
                </c:pt>
                <c:pt idx="11">
                  <c:v>3.6438449122215666E-2</c:v>
                </c:pt>
                <c:pt idx="12">
                  <c:v>3.6160440511794366E-2</c:v>
                </c:pt>
                <c:pt idx="13">
                  <c:v>3.5892557270482427E-2</c:v>
                </c:pt>
                <c:pt idx="14">
                  <c:v>3.5781157006315255E-2</c:v>
                </c:pt>
                <c:pt idx="15">
                  <c:v>3.5669756742148083E-2</c:v>
                </c:pt>
                <c:pt idx="16">
                  <c:v>3.5558356477980911E-2</c:v>
                </c:pt>
                <c:pt idx="17">
                  <c:v>3.5446956213813739E-2</c:v>
                </c:pt>
                <c:pt idx="18">
                  <c:v>3.533555594964656E-2</c:v>
                </c:pt>
                <c:pt idx="19">
                  <c:v>3.5239102040210475E-2</c:v>
                </c:pt>
                <c:pt idx="20">
                  <c:v>3.517516300773324E-2</c:v>
                </c:pt>
                <c:pt idx="21">
                  <c:v>3.5111223975256012E-2</c:v>
                </c:pt>
                <c:pt idx="22">
                  <c:v>3.5047284942778777E-2</c:v>
                </c:pt>
                <c:pt idx="23">
                  <c:v>3.4983345910301542E-2</c:v>
                </c:pt>
                <c:pt idx="24">
                  <c:v>3.4919406877824313E-2</c:v>
                </c:pt>
                <c:pt idx="25">
                  <c:v>3.4855467845347078E-2</c:v>
                </c:pt>
                <c:pt idx="26">
                  <c:v>3.5146745898038734E-2</c:v>
                </c:pt>
                <c:pt idx="27">
                  <c:v>3.552146420563583E-2</c:v>
                </c:pt>
                <c:pt idx="28">
                  <c:v>3.5917895276930949E-2</c:v>
                </c:pt>
                <c:pt idx="29">
                  <c:v>3.6319426661846399E-2</c:v>
                </c:pt>
                <c:pt idx="30">
                  <c:v>3.6657351431063391E-2</c:v>
                </c:pt>
                <c:pt idx="31">
                  <c:v>3.6980335048941826E-2</c:v>
                </c:pt>
                <c:pt idx="32">
                  <c:v>3.7275641275287166E-2</c:v>
                </c:pt>
                <c:pt idx="33">
                  <c:v>3.7564446100936816E-2</c:v>
                </c:pt>
                <c:pt idx="34">
                  <c:v>3.7853250926586465E-2</c:v>
                </c:pt>
                <c:pt idx="35">
                  <c:v>3.8310937856650983E-2</c:v>
                </c:pt>
                <c:pt idx="36">
                  <c:v>3.8808295079698865E-2</c:v>
                </c:pt>
                <c:pt idx="37">
                  <c:v>3.9069630910528161E-2</c:v>
                </c:pt>
                <c:pt idx="38">
                  <c:v>3.9275525474728921E-2</c:v>
                </c:pt>
                <c:pt idx="39">
                  <c:v>3.9481420038929682E-2</c:v>
                </c:pt>
                <c:pt idx="40">
                  <c:v>3.9687314603130443E-2</c:v>
                </c:pt>
                <c:pt idx="41">
                  <c:v>3.9893872004135134E-2</c:v>
                </c:pt>
                <c:pt idx="42">
                  <c:v>3.9900713628729635E-2</c:v>
                </c:pt>
                <c:pt idx="43">
                  <c:v>3.9860303435866544E-2</c:v>
                </c:pt>
                <c:pt idx="44">
                  <c:v>3.9781552050266504E-2</c:v>
                </c:pt>
                <c:pt idx="45">
                  <c:v>3.9619391754151016E-2</c:v>
                </c:pt>
                <c:pt idx="46">
                  <c:v>3.9457231458035522E-2</c:v>
                </c:pt>
                <c:pt idx="47">
                  <c:v>3.9295071161920034E-2</c:v>
                </c:pt>
                <c:pt idx="48">
                  <c:v>3.9048446614298273E-2</c:v>
                </c:pt>
                <c:pt idx="49">
                  <c:v>3.8781981470685109E-2</c:v>
                </c:pt>
                <c:pt idx="50">
                  <c:v>3.8515516327071952E-2</c:v>
                </c:pt>
                <c:pt idx="51">
                  <c:v>3.8166454951223658E-2</c:v>
                </c:pt>
                <c:pt idx="52">
                  <c:v>3.7868644271686479E-2</c:v>
                </c:pt>
                <c:pt idx="53">
                  <c:v>3.7625079769829886E-2</c:v>
                </c:pt>
                <c:pt idx="54">
                  <c:v>3.7381515267973293E-2</c:v>
                </c:pt>
                <c:pt idx="55">
                  <c:v>3.7137950766116694E-2</c:v>
                </c:pt>
                <c:pt idx="56">
                  <c:v>3.6894386264260101E-2</c:v>
                </c:pt>
                <c:pt idx="57">
                  <c:v>3.6650821762403508E-2</c:v>
                </c:pt>
                <c:pt idx="58">
                  <c:v>3.6407257260546909E-2</c:v>
                </c:pt>
                <c:pt idx="59">
                  <c:v>3.6240395391871676E-2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A-5243-B9D4-FA387746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518031"/>
        <c:axId val="235518447"/>
      </c:lineChart>
      <c:catAx>
        <c:axId val="23551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8447"/>
        <c:crosses val="autoZero"/>
        <c:auto val="1"/>
        <c:lblAlgn val="ctr"/>
        <c:lblOffset val="100"/>
        <c:noMultiLvlLbl val="0"/>
      </c:catAx>
      <c:valAx>
        <c:axId val="23551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1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spot</a:t>
            </a:r>
            <a:r>
              <a:rPr lang="en-CA" baseline="0"/>
              <a:t> rates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'Q3 (2)'!$P$8</c:f>
              <c:strCache>
                <c:ptCount val="1"/>
                <c:pt idx="0">
                  <c:v>spot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'Q3 (2)'!$O$9:$O$68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cat>
          <c:val>
            <c:numRef>
              <c:f>'Q3 (2)'!$P$9:$P$68</c:f>
              <c:numCache>
                <c:formatCode>0.00000</c:formatCode>
                <c:ptCount val="60"/>
                <c:pt idx="0">
                  <c:v>4.5612933158117465E-2</c:v>
                </c:pt>
                <c:pt idx="1">
                  <c:v>4.6976906298536632E-2</c:v>
                </c:pt>
                <c:pt idx="2">
                  <c:v>4.5007236082164073E-2</c:v>
                </c:pt>
                <c:pt idx="3">
                  <c:v>4.210320439069648E-2</c:v>
                </c:pt>
                <c:pt idx="4">
                  <c:v>4.0289618534001086E-2</c:v>
                </c:pt>
                <c:pt idx="5">
                  <c:v>3.8946241419840155E-2</c:v>
                </c:pt>
                <c:pt idx="6">
                  <c:v>3.8152267195714011E-2</c:v>
                </c:pt>
                <c:pt idx="7">
                  <c:v>3.7377097839757872E-2</c:v>
                </c:pt>
                <c:pt idx="8">
                  <c:v>3.6892549173701814E-2</c:v>
                </c:pt>
                <c:pt idx="9">
                  <c:v>3.6440530673478341E-2</c:v>
                </c:pt>
                <c:pt idx="10">
                  <c:v>3.6491251099758572E-2</c:v>
                </c:pt>
                <c:pt idx="11">
                  <c:v>3.6438449122215666E-2</c:v>
                </c:pt>
                <c:pt idx="12">
                  <c:v>3.6160440511794366E-2</c:v>
                </c:pt>
                <c:pt idx="13">
                  <c:v>3.5892557270482427E-2</c:v>
                </c:pt>
                <c:pt idx="14">
                  <c:v>3.5781157006315255E-2</c:v>
                </c:pt>
                <c:pt idx="15">
                  <c:v>3.5669756742148083E-2</c:v>
                </c:pt>
                <c:pt idx="16">
                  <c:v>3.5558356477980911E-2</c:v>
                </c:pt>
                <c:pt idx="17">
                  <c:v>3.5446956213813739E-2</c:v>
                </c:pt>
                <c:pt idx="18">
                  <c:v>3.533555594964656E-2</c:v>
                </c:pt>
                <c:pt idx="19">
                  <c:v>3.5239102040210475E-2</c:v>
                </c:pt>
                <c:pt idx="20">
                  <c:v>3.517516300773324E-2</c:v>
                </c:pt>
                <c:pt idx="21">
                  <c:v>3.5111223975256012E-2</c:v>
                </c:pt>
                <c:pt idx="22">
                  <c:v>3.5047284942778777E-2</c:v>
                </c:pt>
                <c:pt idx="23">
                  <c:v>3.4983345910301542E-2</c:v>
                </c:pt>
                <c:pt idx="24">
                  <c:v>3.4919406877824313E-2</c:v>
                </c:pt>
                <c:pt idx="25">
                  <c:v>3.4855467845347078E-2</c:v>
                </c:pt>
                <c:pt idx="26">
                  <c:v>3.5146745898038734E-2</c:v>
                </c:pt>
                <c:pt idx="27">
                  <c:v>3.552146420563583E-2</c:v>
                </c:pt>
                <c:pt idx="28">
                  <c:v>3.5917895276930949E-2</c:v>
                </c:pt>
                <c:pt idx="29">
                  <c:v>3.6319426661846399E-2</c:v>
                </c:pt>
                <c:pt idx="30">
                  <c:v>3.6657351431063391E-2</c:v>
                </c:pt>
                <c:pt idx="31">
                  <c:v>3.6980335048941826E-2</c:v>
                </c:pt>
                <c:pt idx="32">
                  <c:v>3.7275641275287166E-2</c:v>
                </c:pt>
                <c:pt idx="33">
                  <c:v>3.7564446100936816E-2</c:v>
                </c:pt>
                <c:pt idx="34">
                  <c:v>3.7853250926586465E-2</c:v>
                </c:pt>
                <c:pt idx="35">
                  <c:v>3.8310937856650983E-2</c:v>
                </c:pt>
                <c:pt idx="36">
                  <c:v>3.8808295079698865E-2</c:v>
                </c:pt>
                <c:pt idx="37">
                  <c:v>3.9069630910528161E-2</c:v>
                </c:pt>
                <c:pt idx="38">
                  <c:v>3.9275525474728921E-2</c:v>
                </c:pt>
                <c:pt idx="39">
                  <c:v>3.9481420038929682E-2</c:v>
                </c:pt>
                <c:pt idx="40">
                  <c:v>3.9687314603130443E-2</c:v>
                </c:pt>
                <c:pt idx="41">
                  <c:v>3.9893872004135134E-2</c:v>
                </c:pt>
                <c:pt idx="42">
                  <c:v>3.9900713628729635E-2</c:v>
                </c:pt>
                <c:pt idx="43">
                  <c:v>3.9860303435866544E-2</c:v>
                </c:pt>
                <c:pt idx="44">
                  <c:v>3.9781552050266504E-2</c:v>
                </c:pt>
                <c:pt idx="45">
                  <c:v>3.9619391754151016E-2</c:v>
                </c:pt>
                <c:pt idx="46">
                  <c:v>3.9457231458035522E-2</c:v>
                </c:pt>
                <c:pt idx="47">
                  <c:v>3.9295071161920034E-2</c:v>
                </c:pt>
                <c:pt idx="48">
                  <c:v>3.9048446614298273E-2</c:v>
                </c:pt>
                <c:pt idx="49">
                  <c:v>3.8781981470685109E-2</c:v>
                </c:pt>
                <c:pt idx="50">
                  <c:v>3.8515516327071952E-2</c:v>
                </c:pt>
                <c:pt idx="51">
                  <c:v>3.8166454951223658E-2</c:v>
                </c:pt>
                <c:pt idx="52">
                  <c:v>3.7868644271686479E-2</c:v>
                </c:pt>
                <c:pt idx="53">
                  <c:v>3.7625079769829886E-2</c:v>
                </c:pt>
                <c:pt idx="54">
                  <c:v>3.7381515267973293E-2</c:v>
                </c:pt>
                <c:pt idx="55">
                  <c:v>3.7137950766116694E-2</c:v>
                </c:pt>
                <c:pt idx="56">
                  <c:v>3.6894386264260101E-2</c:v>
                </c:pt>
                <c:pt idx="57">
                  <c:v>3.6650821762403508E-2</c:v>
                </c:pt>
                <c:pt idx="58">
                  <c:v>3.6407257260546909E-2</c:v>
                </c:pt>
                <c:pt idx="59">
                  <c:v>3.6240395391871676E-2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D747-923A-8DF087F0CF10}"/>
            </c:ext>
          </c:extLst>
        </c:ser>
        <c:ser>
          <c:idx val="1"/>
          <c:order val="1"/>
          <c:tx>
            <c:strRef>
              <c:f>'Q3 (2)'!$Q$8</c:f>
              <c:strCache>
                <c:ptCount val="1"/>
                <c:pt idx="0">
                  <c:v>cubic spline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'Q3 (2)'!$O$9:$O$68</c:f>
              <c:numCache>
                <c:formatCode>General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cat>
          <c:val>
            <c:numRef>
              <c:f>'Q3 (2)'!$Q$9:$Q$68</c:f>
              <c:numCache>
                <c:formatCode>0.00000</c:formatCode>
                <c:ptCount val="60"/>
                <c:pt idx="0">
                  <c:v>4.5453242720259156E-2</c:v>
                </c:pt>
                <c:pt idx="1">
                  <c:v>4.7037525938040392E-2</c:v>
                </c:pt>
                <c:pt idx="2">
                  <c:v>4.5014110931500137E-2</c:v>
                </c:pt>
                <c:pt idx="3">
                  <c:v>4.2064819704079791E-2</c:v>
                </c:pt>
                <c:pt idx="4">
                  <c:v>4.0283063028748262E-2</c:v>
                </c:pt>
                <c:pt idx="5">
                  <c:v>3.8924173073892225E-2</c:v>
                </c:pt>
                <c:pt idx="6">
                  <c:v>3.8019571005966681E-2</c:v>
                </c:pt>
                <c:pt idx="7">
                  <c:v>3.7368225618895162E-2</c:v>
                </c:pt>
                <c:pt idx="8">
                  <c:v>3.6768715521272574E-2</c:v>
                </c:pt>
                <c:pt idx="9">
                  <c:v>3.6429673956847611E-2</c:v>
                </c:pt>
                <c:pt idx="10">
                  <c:v>3.6479507423566246E-2</c:v>
                </c:pt>
                <c:pt idx="11">
                  <c:v>3.6498221326462806E-2</c:v>
                </c:pt>
                <c:pt idx="12">
                  <c:v>3.6231132675064184E-2</c:v>
                </c:pt>
                <c:pt idx="13">
                  <c:v>3.588008526494918E-2</c:v>
                </c:pt>
                <c:pt idx="14">
                  <c:v>3.5632931217944037E-2</c:v>
                </c:pt>
                <c:pt idx="15">
                  <c:v>3.5490897888378961E-2</c:v>
                </c:pt>
                <c:pt idx="16">
                  <c:v>3.5416347552035092E-2</c:v>
                </c:pt>
                <c:pt idx="17">
                  <c:v>3.53716424846936E-2</c:v>
                </c:pt>
                <c:pt idx="18">
                  <c:v>3.5319144962135639E-2</c:v>
                </c:pt>
                <c:pt idx="19">
                  <c:v>3.5221617303785327E-2</c:v>
                </c:pt>
                <c:pt idx="20">
                  <c:v>3.5069343150247637E-2</c:v>
                </c:pt>
                <c:pt idx="21">
                  <c:v>3.4897420778873936E-2</c:v>
                </c:pt>
                <c:pt idx="22">
                  <c:v>3.4745067050389489E-2</c:v>
                </c:pt>
                <c:pt idx="23">
                  <c:v>3.4651498825519551E-2</c:v>
                </c:pt>
                <c:pt idx="24">
                  <c:v>3.4655932964989401E-2</c:v>
                </c:pt>
                <c:pt idx="25">
                  <c:v>3.4797586329524281E-2</c:v>
                </c:pt>
                <c:pt idx="26">
                  <c:v>3.5103339275066391E-2</c:v>
                </c:pt>
                <c:pt idx="27">
                  <c:v>3.5511708002781701E-2</c:v>
                </c:pt>
                <c:pt idx="28">
                  <c:v>3.5930605533396838E-2</c:v>
                </c:pt>
                <c:pt idx="29">
                  <c:v>3.6324574165743494E-2</c:v>
                </c:pt>
                <c:pt idx="30">
                  <c:v>3.6682485043720015E-2</c:v>
                </c:pt>
                <c:pt idx="31">
                  <c:v>3.6990201413376153E-2</c:v>
                </c:pt>
                <c:pt idx="32">
                  <c:v>3.7241099586196556E-2</c:v>
                </c:pt>
                <c:pt idx="33">
                  <c:v>3.7492080722308876E-2</c:v>
                </c:pt>
                <c:pt idx="34">
                  <c:v>3.7827748674993236E-2</c:v>
                </c:pt>
                <c:pt idx="35">
                  <c:v>3.8308309339682871E-2</c:v>
                </c:pt>
                <c:pt idx="36">
                  <c:v>3.8818387016583543E-2</c:v>
                </c:pt>
                <c:pt idx="37">
                  <c:v>3.9189013300013176E-2</c:v>
                </c:pt>
                <c:pt idx="38">
                  <c:v>3.941543403383839E-2</c:v>
                </c:pt>
                <c:pt idx="39">
                  <c:v>3.9564639817606363E-2</c:v>
                </c:pt>
                <c:pt idx="40">
                  <c:v>3.9703918973338755E-2</c:v>
                </c:pt>
                <c:pt idx="41">
                  <c:v>3.989654197685874E-2</c:v>
                </c:pt>
                <c:pt idx="42">
                  <c:v>4.0000285284274219E-2</c:v>
                </c:pt>
                <c:pt idx="43">
                  <c:v>3.9930793685938305E-2</c:v>
                </c:pt>
                <c:pt idx="44">
                  <c:v>3.9783374523005774E-2</c:v>
                </c:pt>
                <c:pt idx="45">
                  <c:v>3.9621758620555739E-2</c:v>
                </c:pt>
                <c:pt idx="46">
                  <c:v>3.9456762109236813E-2</c:v>
                </c:pt>
                <c:pt idx="47">
                  <c:v>3.9294338119648144E-2</c:v>
                </c:pt>
                <c:pt idx="48">
                  <c:v>3.9134438571584843E-2</c:v>
                </c:pt>
                <c:pt idx="49">
                  <c:v>3.8934029796164157E-2</c:v>
                </c:pt>
                <c:pt idx="50">
                  <c:v>3.863133410397062E-2</c:v>
                </c:pt>
                <c:pt idx="51">
                  <c:v>3.8167858333707533E-2</c:v>
                </c:pt>
                <c:pt idx="52">
                  <c:v>3.7664311510450271E-2</c:v>
                </c:pt>
                <c:pt idx="53">
                  <c:v>3.7244804044257035E-2</c:v>
                </c:pt>
                <c:pt idx="54">
                  <c:v>3.690530136585151E-2</c:v>
                </c:pt>
                <c:pt idx="55">
                  <c:v>3.664109348882811E-2</c:v>
                </c:pt>
                <c:pt idx="56">
                  <c:v>3.644747042678121E-2</c:v>
                </c:pt>
                <c:pt idx="57">
                  <c:v>3.6319722193305225E-2</c:v>
                </c:pt>
                <c:pt idx="58">
                  <c:v>3.6253138801994551E-2</c:v>
                </c:pt>
                <c:pt idx="59">
                  <c:v>3.6243010266443582E-2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D747-923A-8DF087F0C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791983"/>
        <c:axId val="268794063"/>
      </c:lineChart>
      <c:catAx>
        <c:axId val="26879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94063"/>
        <c:crosses val="autoZero"/>
        <c:auto val="1"/>
        <c:lblAlgn val="ctr"/>
        <c:lblOffset val="100"/>
        <c:noMultiLvlLbl val="0"/>
      </c:catAx>
      <c:valAx>
        <c:axId val="268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9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1065877</xdr:colOff>
      <xdr:row>1</xdr:row>
      <xdr:rowOff>104408</xdr:rowOff>
    </xdr:from>
    <xdr:to>
      <xdr:col>33</xdr:col>
      <xdr:colOff>402683</xdr:colOff>
      <xdr:row>38</xdr:row>
      <xdr:rowOff>123901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DDCA82-0C58-3946-AD68-54EAD77B1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534457</xdr:colOff>
      <xdr:row>67</xdr:row>
      <xdr:rowOff>118533</xdr:rowOff>
    </xdr:from>
    <xdr:to>
      <xdr:col>27</xdr:col>
      <xdr:colOff>372533</xdr:colOff>
      <xdr:row>90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EED587-19C1-1F42-BD82-AB7A20DAF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7620</xdr:colOff>
      <xdr:row>20</xdr:row>
      <xdr:rowOff>30480</xdr:rowOff>
    </xdr:from>
    <xdr:to>
      <xdr:col>38</xdr:col>
      <xdr:colOff>350519</xdr:colOff>
      <xdr:row>47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1CD808-79C8-2E48-9B49-08765B23A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49</xdr:row>
      <xdr:rowOff>0</xdr:rowOff>
    </xdr:from>
    <xdr:to>
      <xdr:col>38</xdr:col>
      <xdr:colOff>342899</xdr:colOff>
      <xdr:row>77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79F37B-4A70-A248-B09A-F97BAF2D0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146538</xdr:colOff>
      <xdr:row>7</xdr:row>
      <xdr:rowOff>24585</xdr:rowOff>
    </xdr:from>
    <xdr:to>
      <xdr:col>22</xdr:col>
      <xdr:colOff>1050192</xdr:colOff>
      <xdr:row>30</xdr:row>
      <xdr:rowOff>154679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D0556E-C6C5-B646-9256-C9F9F6EA9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260512</xdr:colOff>
      <xdr:row>33</xdr:row>
      <xdr:rowOff>73433</xdr:rowOff>
    </xdr:from>
    <xdr:to>
      <xdr:col>22</xdr:col>
      <xdr:colOff>1009487</xdr:colOff>
      <xdr:row>62</xdr:row>
      <xdr:rowOff>154680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8F4192-B1AF-8C48-B6B0-D2FDA7B7F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6850%20Assignment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1"/>
      <sheetName val="Ex2"/>
      <sheetName val="Ex3"/>
      <sheetName val="Ex4"/>
      <sheetName val="Ex5"/>
      <sheetName val="Extra1"/>
      <sheetName val="Extra2"/>
      <sheetName val="Sheet1"/>
      <sheetName val="Sheet2"/>
      <sheetName val="Sheet3"/>
      <sheetName val="Sheet4"/>
      <sheetName val="Sheet5"/>
      <sheetName val="Convexit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5">
          <cell r="A45">
            <v>0.5</v>
          </cell>
          <cell r="B45">
            <v>4.5612926645635543E-2</v>
          </cell>
        </row>
        <row r="46">
          <cell r="A46">
            <v>1</v>
          </cell>
          <cell r="B46">
            <v>4.6976899932084398E-2</v>
          </cell>
        </row>
        <row r="47">
          <cell r="A47">
            <v>1.5</v>
          </cell>
          <cell r="B47">
            <v>4.5007234161166018E-2</v>
          </cell>
        </row>
        <row r="48">
          <cell r="A48">
            <v>2</v>
          </cell>
          <cell r="B48">
            <v>4.2103204486929696E-2</v>
          </cell>
        </row>
        <row r="49">
          <cell r="A49">
            <v>2.5</v>
          </cell>
          <cell r="B49">
            <v>4.0289618671465043E-2</v>
          </cell>
        </row>
        <row r="50">
          <cell r="A50">
            <v>3</v>
          </cell>
          <cell r="B50">
            <v>3.8946241693508112E-2</v>
          </cell>
        </row>
        <row r="51">
          <cell r="A51">
            <v>3.5</v>
          </cell>
          <cell r="B51">
            <v>3.8152268304703425E-2</v>
          </cell>
        </row>
        <row r="52">
          <cell r="A52">
            <v>4</v>
          </cell>
          <cell r="B52">
            <v>3.7377099703683137E-2</v>
          </cell>
        </row>
        <row r="53">
          <cell r="A53">
            <v>4.5</v>
          </cell>
          <cell r="B53">
            <v>3.6892550550239829E-2</v>
          </cell>
        </row>
        <row r="54">
          <cell r="A54">
            <v>5</v>
          </cell>
          <cell r="B54">
            <v>3.6440531570222916E-2</v>
          </cell>
        </row>
        <row r="55">
          <cell r="A55">
            <v>5.5</v>
          </cell>
          <cell r="B55">
            <v>3.6491251634068488E-2</v>
          </cell>
        </row>
        <row r="56">
          <cell r="A56">
            <v>6</v>
          </cell>
          <cell r="B56">
            <v>3.6438449399079871E-2</v>
          </cell>
        </row>
        <row r="57">
          <cell r="A57">
            <v>6.5</v>
          </cell>
          <cell r="B57">
            <v>3.6160440759609863E-2</v>
          </cell>
        </row>
        <row r="58">
          <cell r="A58">
            <v>7</v>
          </cell>
          <cell r="B58">
            <v>3.5892557485239104E-2</v>
          </cell>
        </row>
        <row r="59">
          <cell r="A59">
            <v>7.5</v>
          </cell>
          <cell r="B59">
            <v>3.5781157126038618E-2</v>
          </cell>
        </row>
        <row r="60">
          <cell r="A60">
            <v>8</v>
          </cell>
          <cell r="B60">
            <v>3.5669756766838125E-2</v>
          </cell>
        </row>
        <row r="61">
          <cell r="A61">
            <v>8.5</v>
          </cell>
          <cell r="B61">
            <v>3.5558356407637631E-2</v>
          </cell>
        </row>
        <row r="62">
          <cell r="A62">
            <v>9</v>
          </cell>
          <cell r="B62">
            <v>3.5446956048437145E-2</v>
          </cell>
        </row>
        <row r="63">
          <cell r="A63">
            <v>9.5</v>
          </cell>
          <cell r="B63">
            <v>3.5335555689236652E-2</v>
          </cell>
        </row>
        <row r="64">
          <cell r="A64">
            <v>10</v>
          </cell>
          <cell r="B64">
            <v>3.5239101716638611E-2</v>
          </cell>
        </row>
        <row r="65">
          <cell r="A65">
            <v>10.5</v>
          </cell>
          <cell r="B65">
            <v>3.5175162690333613E-2</v>
          </cell>
        </row>
        <row r="66">
          <cell r="A66">
            <v>11</v>
          </cell>
          <cell r="B66">
            <v>3.5111223664028614E-2</v>
          </cell>
        </row>
        <row r="67">
          <cell r="A67">
            <v>11.5</v>
          </cell>
          <cell r="B67">
            <v>3.5047284637723615E-2</v>
          </cell>
        </row>
        <row r="68">
          <cell r="A68">
            <v>12</v>
          </cell>
          <cell r="B68">
            <v>3.4983345611418623E-2</v>
          </cell>
        </row>
        <row r="69">
          <cell r="A69">
            <v>12.5</v>
          </cell>
          <cell r="B69">
            <v>3.4919406585113624E-2</v>
          </cell>
        </row>
        <row r="70">
          <cell r="A70">
            <v>13</v>
          </cell>
          <cell r="B70">
            <v>3.4855467558808625E-2</v>
          </cell>
        </row>
        <row r="71">
          <cell r="A71">
            <v>13.5</v>
          </cell>
          <cell r="B71">
            <v>3.514674570235491E-2</v>
          </cell>
        </row>
        <row r="72">
          <cell r="A72">
            <v>14</v>
          </cell>
          <cell r="B72">
            <v>3.5521464120698475E-2</v>
          </cell>
        </row>
        <row r="73">
          <cell r="A73">
            <v>14.5</v>
          </cell>
          <cell r="B73">
            <v>3.5917895350591492E-2</v>
          </cell>
        </row>
        <row r="74">
          <cell r="A74">
            <v>15</v>
          </cell>
          <cell r="B74">
            <v>3.6319426905345127E-2</v>
          </cell>
        </row>
        <row r="75">
          <cell r="A75">
            <v>15.5</v>
          </cell>
          <cell r="B75">
            <v>3.6657351290432516E-2</v>
          </cell>
        </row>
        <row r="76">
          <cell r="A76">
            <v>16</v>
          </cell>
          <cell r="B76">
            <v>3.6980334394054681E-2</v>
          </cell>
        </row>
        <row r="77">
          <cell r="A77">
            <v>16.5</v>
          </cell>
          <cell r="B77">
            <v>3.7275640735448916E-2</v>
          </cell>
        </row>
        <row r="78">
          <cell r="A78">
            <v>17</v>
          </cell>
          <cell r="B78">
            <v>3.7564445823970817E-2</v>
          </cell>
        </row>
        <row r="79">
          <cell r="A79">
            <v>17.5</v>
          </cell>
          <cell r="B79">
            <v>3.7853250912492718E-2</v>
          </cell>
        </row>
        <row r="80">
          <cell r="A80">
            <v>18</v>
          </cell>
          <cell r="B80">
            <v>3.8310937891640473E-2</v>
          </cell>
        </row>
        <row r="81">
          <cell r="A81">
            <v>18.5</v>
          </cell>
          <cell r="B81">
            <v>3.8808295113552688E-2</v>
          </cell>
        </row>
        <row r="82">
          <cell r="A82">
            <v>19</v>
          </cell>
          <cell r="B82">
            <v>3.9069630943248307E-2</v>
          </cell>
        </row>
        <row r="83">
          <cell r="A83">
            <v>19.5</v>
          </cell>
          <cell r="B83">
            <v>3.9275525506315856E-2</v>
          </cell>
        </row>
        <row r="84">
          <cell r="A84">
            <v>20</v>
          </cell>
          <cell r="B84">
            <v>3.9481420069383405E-2</v>
          </cell>
        </row>
        <row r="85">
          <cell r="A85">
            <v>20.5</v>
          </cell>
          <cell r="B85">
            <v>3.9687314632450954E-2</v>
          </cell>
        </row>
        <row r="86">
          <cell r="A86">
            <v>21</v>
          </cell>
          <cell r="B86">
            <v>3.9893872033070557E-2</v>
          </cell>
        </row>
        <row r="87">
          <cell r="A87">
            <v>21.5</v>
          </cell>
          <cell r="B87">
            <v>3.9900713347888715E-2</v>
          </cell>
        </row>
        <row r="88">
          <cell r="A88">
            <v>22</v>
          </cell>
          <cell r="B88">
            <v>3.9860302772191179E-2</v>
          </cell>
        </row>
        <row r="89">
          <cell r="A89">
            <v>22.5</v>
          </cell>
          <cell r="B89">
            <v>3.9781551137051951E-2</v>
          </cell>
        </row>
        <row r="90">
          <cell r="A90">
            <v>23</v>
          </cell>
          <cell r="B90">
            <v>3.9619390881372916E-2</v>
          </cell>
        </row>
        <row r="91">
          <cell r="A91">
            <v>23.5</v>
          </cell>
          <cell r="B91">
            <v>3.9457230625693882E-2</v>
          </cell>
        </row>
        <row r="92">
          <cell r="A92">
            <v>24</v>
          </cell>
          <cell r="B92">
            <v>3.9295070370014847E-2</v>
          </cell>
        </row>
        <row r="93">
          <cell r="A93">
            <v>24.5</v>
          </cell>
          <cell r="B93">
            <v>3.9048446037436492E-2</v>
          </cell>
        </row>
        <row r="94">
          <cell r="A94">
            <v>25</v>
          </cell>
          <cell r="B94">
            <v>3.8781981149881781E-2</v>
          </cell>
        </row>
        <row r="95">
          <cell r="A95">
            <v>25.5</v>
          </cell>
          <cell r="B95">
            <v>3.8515516262327069E-2</v>
          </cell>
        </row>
        <row r="96">
          <cell r="A96">
            <v>26</v>
          </cell>
          <cell r="B96">
            <v>3.8166454519314441E-2</v>
          </cell>
        </row>
        <row r="97">
          <cell r="A97">
            <v>26.5</v>
          </cell>
          <cell r="B97">
            <v>3.7868643574613114E-2</v>
          </cell>
        </row>
        <row r="98">
          <cell r="A98">
            <v>27</v>
          </cell>
          <cell r="B98">
            <v>3.7625079150024637E-2</v>
          </cell>
        </row>
        <row r="99">
          <cell r="A99">
            <v>27.5</v>
          </cell>
          <cell r="B99">
            <v>3.738151472543616E-2</v>
          </cell>
        </row>
        <row r="100">
          <cell r="A100">
            <v>28</v>
          </cell>
          <cell r="B100">
            <v>3.7137950300847676E-2</v>
          </cell>
        </row>
        <row r="101">
          <cell r="A101">
            <v>28.5</v>
          </cell>
          <cell r="B101">
            <v>3.6894385876259199E-2</v>
          </cell>
        </row>
        <row r="102">
          <cell r="A102">
            <v>29</v>
          </cell>
          <cell r="B102">
            <v>3.6650821451670722E-2</v>
          </cell>
        </row>
        <row r="103">
          <cell r="A103">
            <v>29.5</v>
          </cell>
          <cell r="B103">
            <v>3.6407257027082245E-2</v>
          </cell>
        </row>
        <row r="104">
          <cell r="A104">
            <v>30</v>
          </cell>
          <cell r="B104">
            <v>3.624039521134207E-2</v>
          </cell>
        </row>
        <row r="105">
          <cell r="A105">
            <v>30.5</v>
          </cell>
          <cell r="B105">
            <v>3.624039521134207E-2</v>
          </cell>
        </row>
        <row r="106">
          <cell r="A106">
            <v>31</v>
          </cell>
          <cell r="B106">
            <v>3.624039521134207E-2</v>
          </cell>
        </row>
      </sheetData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E9C9F-9A8B-4545-A1E1-606F9167E70F}">
  <sheetPr codeName="Sheet9"/>
  <dimension ref="A1:V79"/>
  <sheetViews>
    <sheetView tabSelected="1" zoomScaleNormal="72" workbookViewId="0">
      <selection activeCell="S30" sqref="S30"/>
    </sheetView>
  </sheetViews>
  <sheetFormatPr baseColWidth="10" defaultColWidth="9.1640625" defaultRowHeight="13" x14ac:dyDescent="0.15"/>
  <cols>
    <col min="1" max="1" width="8.83203125"/>
    <col min="2" max="2" width="11.1640625" bestFit="1" customWidth="1"/>
    <col min="3" max="3" width="15.6640625" customWidth="1"/>
    <col min="4" max="5" width="8.83203125"/>
    <col min="6" max="6" width="3.6640625" customWidth="1"/>
    <col min="7" max="8" width="8.83203125"/>
    <col min="9" max="9" width="11.6640625" bestFit="1" customWidth="1"/>
    <col min="10" max="10" width="9.33203125" bestFit="1" customWidth="1"/>
    <col min="11" max="11" width="8.83203125"/>
    <col min="12" max="12" width="15.83203125" style="3" customWidth="1"/>
    <col min="13" max="15" width="9.1640625" style="3"/>
    <col min="16" max="16" width="9.5" style="3" customWidth="1"/>
    <col min="17" max="17" width="20.5" style="3" bestFit="1" customWidth="1"/>
    <col min="18" max="18" width="14.83203125" style="3" bestFit="1" customWidth="1"/>
    <col min="19" max="19" width="14.83203125" style="3" customWidth="1"/>
    <col min="20" max="20" width="15.83203125" style="3" bestFit="1" customWidth="1"/>
    <col min="21" max="28" width="18.1640625" style="3" customWidth="1"/>
    <col min="29" max="16384" width="9.1640625" style="3"/>
  </cols>
  <sheetData>
    <row r="1" spans="1:22" s="4" customFormat="1" ht="16" x14ac:dyDescent="0.15">
      <c r="A1"/>
      <c r="B1" s="33" t="s">
        <v>41</v>
      </c>
      <c r="C1"/>
      <c r="D1"/>
      <c r="E1"/>
      <c r="F1"/>
      <c r="G1"/>
      <c r="H1"/>
      <c r="I1"/>
      <c r="J1"/>
      <c r="K1"/>
      <c r="P1" s="32" t="s">
        <v>33</v>
      </c>
      <c r="Q1" s="32" t="s">
        <v>37</v>
      </c>
      <c r="R1" s="32" t="s">
        <v>38</v>
      </c>
      <c r="S1" s="32"/>
      <c r="T1" s="32" t="s">
        <v>32</v>
      </c>
      <c r="U1" s="32" t="s">
        <v>39</v>
      </c>
      <c r="V1" s="32" t="s">
        <v>40</v>
      </c>
    </row>
    <row r="2" spans="1:22" x14ac:dyDescent="0.15">
      <c r="P2" s="12">
        <v>0.301104972375691</v>
      </c>
      <c r="Q2" s="31">
        <v>4.6111340262152203E-2</v>
      </c>
      <c r="R2" s="31" cm="1">
        <f t="array" ref="R2:R27">spline($P$2:$P$27,$Q$2:$Q$27,0,0)</f>
        <v>-0.12363968404908007</v>
      </c>
      <c r="S2" s="31"/>
      <c r="T2" s="3">
        <v>0.5</v>
      </c>
      <c r="U2" s="6">
        <f t="shared" ref="U2:U33" si="0">PWLinear(T2,$P$2:$P$27,$Q$2:$Q$27)</f>
        <v>4.5612933158117465E-2</v>
      </c>
      <c r="V2" s="6">
        <f t="shared" ref="V2:V33" si="1">splint($P$2:$P$27,$Q$2:$Q$27,_xlfn.ANCHORARRAY($R$2),T2)</f>
        <v>4.5453242720259156E-2</v>
      </c>
    </row>
    <row r="3" spans="1:22" x14ac:dyDescent="0.15">
      <c r="B3" s="2" t="s">
        <v>0</v>
      </c>
      <c r="C3" s="7">
        <v>44937</v>
      </c>
      <c r="D3" s="3"/>
      <c r="E3" s="3"/>
      <c r="F3" s="3"/>
      <c r="G3" s="3"/>
      <c r="P3" s="12">
        <v>0.46961325966850831</v>
      </c>
      <c r="Q3" s="31">
        <v>4.5448655181640263E-2</v>
      </c>
      <c r="R3" s="31">
        <v>0.10725103642827499</v>
      </c>
      <c r="S3" s="31"/>
      <c r="T3" s="3">
        <v>1</v>
      </c>
      <c r="U3" s="6">
        <f t="shared" si="0"/>
        <v>4.6976906298536632E-2</v>
      </c>
      <c r="V3" s="6">
        <f t="shared" si="1"/>
        <v>4.7037525938040392E-2</v>
      </c>
    </row>
    <row r="4" spans="1:22" x14ac:dyDescent="0.15">
      <c r="B4" s="2" t="s">
        <v>4</v>
      </c>
      <c r="C4" s="3">
        <v>100</v>
      </c>
      <c r="D4" s="3"/>
      <c r="E4" s="3"/>
      <c r="F4" s="3"/>
      <c r="G4" s="3"/>
      <c r="P4" s="12">
        <v>0.71546961325966851</v>
      </c>
      <c r="Q4" s="31">
        <v>4.6777813354955788E-2</v>
      </c>
      <c r="R4" s="31">
        <v>-4.886754113280168E-2</v>
      </c>
      <c r="S4" s="31"/>
      <c r="T4" s="3">
        <v>1.5</v>
      </c>
      <c r="U4" s="6">
        <f t="shared" si="0"/>
        <v>4.5007236082164073E-2</v>
      </c>
      <c r="V4" s="6">
        <f t="shared" si="1"/>
        <v>4.5014110931500137E-2</v>
      </c>
    </row>
    <row r="5" spans="1:22" x14ac:dyDescent="0.15">
      <c r="B5" s="2" t="s">
        <v>42</v>
      </c>
      <c r="C5" s="3">
        <v>2</v>
      </c>
      <c r="D5" s="3"/>
      <c r="E5" s="3"/>
      <c r="F5" s="3"/>
      <c r="G5" s="3"/>
      <c r="P5" s="12">
        <v>0.96961325966850831</v>
      </c>
      <c r="Q5" s="31">
        <v>4.7092665421673299E-2</v>
      </c>
      <c r="R5" s="31">
        <v>-9.8566074447647249E-3</v>
      </c>
      <c r="S5" s="31"/>
      <c r="T5" s="3">
        <v>2</v>
      </c>
      <c r="U5" s="6">
        <f t="shared" si="0"/>
        <v>4.210320439069648E-2</v>
      </c>
      <c r="V5" s="6">
        <f t="shared" si="1"/>
        <v>4.2064819704079791E-2</v>
      </c>
    </row>
    <row r="6" spans="1:22" x14ac:dyDescent="0.15">
      <c r="B6" s="3"/>
      <c r="C6" s="3"/>
      <c r="D6" s="3"/>
      <c r="E6" s="3"/>
      <c r="F6" s="3"/>
      <c r="G6" s="3"/>
      <c r="P6" s="12">
        <v>1.4696132596685083</v>
      </c>
      <c r="Q6" s="31">
        <v>4.5187901668242658E-2</v>
      </c>
      <c r="R6" s="31">
        <v>-6.0088816120088089E-3</v>
      </c>
      <c r="S6" s="31"/>
      <c r="T6" s="3">
        <v>2.5</v>
      </c>
      <c r="U6" s="6">
        <f t="shared" si="0"/>
        <v>4.0289618534001086E-2</v>
      </c>
      <c r="V6" s="6">
        <f t="shared" si="1"/>
        <v>4.0283063028748262E-2</v>
      </c>
    </row>
    <row r="7" spans="1:22" ht="16" x14ac:dyDescent="0.15">
      <c r="A7" s="34" t="s">
        <v>43</v>
      </c>
      <c r="B7" s="2" t="s">
        <v>1</v>
      </c>
      <c r="C7" s="2" t="s">
        <v>2</v>
      </c>
      <c r="D7" s="2" t="s">
        <v>5</v>
      </c>
      <c r="E7" s="2" t="s">
        <v>44</v>
      </c>
      <c r="F7" s="3"/>
      <c r="G7" s="2" t="s">
        <v>3</v>
      </c>
      <c r="H7" s="2" t="s">
        <v>45</v>
      </c>
      <c r="I7" s="2" t="s">
        <v>46</v>
      </c>
      <c r="J7" s="8" t="s">
        <v>47</v>
      </c>
      <c r="K7" s="2" t="s">
        <v>7</v>
      </c>
      <c r="L7" s="32" t="s">
        <v>38</v>
      </c>
      <c r="M7" s="32"/>
      <c r="N7" s="32"/>
      <c r="O7" s="32"/>
      <c r="P7" s="12">
        <v>1.9696132596685083</v>
      </c>
      <c r="Q7" s="31">
        <v>4.2215131570040525E-2</v>
      </c>
      <c r="R7" s="31">
        <v>8.2599816182841405E-3</v>
      </c>
      <c r="S7" s="31"/>
      <c r="T7" s="3">
        <v>3</v>
      </c>
      <c r="U7" s="6">
        <f t="shared" si="0"/>
        <v>3.8946241419840155E-2</v>
      </c>
      <c r="V7" s="6">
        <f t="shared" si="1"/>
        <v>3.8924173073892225E-2</v>
      </c>
    </row>
    <row r="8" spans="1:22" x14ac:dyDescent="0.15">
      <c r="B8" s="3"/>
      <c r="C8" s="3"/>
      <c r="D8" s="3"/>
      <c r="E8" s="3"/>
      <c r="F8" s="3"/>
      <c r="G8" s="3"/>
      <c r="K8" s="3"/>
      <c r="P8" s="12">
        <v>2.4696132596685083</v>
      </c>
      <c r="Q8" s="31">
        <v>4.0373420709924883E-2</v>
      </c>
      <c r="R8" s="31">
        <v>1.1437685294804674E-4</v>
      </c>
      <c r="S8" s="31"/>
      <c r="T8" s="3">
        <v>3.5</v>
      </c>
      <c r="U8" s="6">
        <f t="shared" si="0"/>
        <v>3.8152267195714011E-2</v>
      </c>
      <c r="V8" s="6">
        <f t="shared" si="1"/>
        <v>3.8019571005966681E-2</v>
      </c>
    </row>
    <row r="9" spans="1:22" x14ac:dyDescent="0.15">
      <c r="A9" s="33" t="s">
        <v>48</v>
      </c>
      <c r="B9" s="1">
        <v>2.75</v>
      </c>
      <c r="C9" s="45">
        <v>45046</v>
      </c>
      <c r="D9" s="1">
        <v>99.445999999999998</v>
      </c>
      <c r="E9" s="1">
        <f>B9/2</f>
        <v>1.375</v>
      </c>
      <c r="F9" s="3"/>
      <c r="G9" s="4">
        <f>(COUPNUM($C$3,C9,$C$5,1)-COUPDAYBS($C$3,C9,$C$5,1)/COUPDAYS($C$3,C9,$C$5,1))/$C$5</f>
        <v>0.30110497237569062</v>
      </c>
      <c r="H9" s="1">
        <f t="shared" ref="H9:H34" si="2">$D9+COUPDAYBS($C$3,$C9,$C$5,1)/COUPDAYS($C$3,$C9,$C$5,1)*$B9/100/$C$5*$C$4</f>
        <v>99.992961325966846</v>
      </c>
      <c r="I9" s="1">
        <f>Bond_ZeroRates($C$4,$G9,$B9/100,$C$5,$G$9:$G$34,$K$9:$K$34)</f>
        <v>99.99296132596686</v>
      </c>
      <c r="J9" s="35">
        <f>I9-H9</f>
        <v>0</v>
      </c>
      <c r="K9" s="31">
        <v>4.6111340262152203E-2</v>
      </c>
      <c r="L9" s="3" cm="1">
        <f t="array" ref="L9:L34">spline($G$9:$G$34,$K$9:$K$34,0,0)</f>
        <v>-0.12363968404907968</v>
      </c>
      <c r="P9" s="12">
        <v>2.9696132596685083</v>
      </c>
      <c r="Q9" s="31">
        <v>3.899449399699699E-2</v>
      </c>
      <c r="R9" s="31">
        <v>2.3893305024296472E-3</v>
      </c>
      <c r="S9" s="31"/>
      <c r="T9" s="3">
        <v>4</v>
      </c>
      <c r="U9" s="6">
        <f t="shared" si="0"/>
        <v>3.7377097839757872E-2</v>
      </c>
      <c r="V9" s="6">
        <f t="shared" si="1"/>
        <v>3.7368225618895162E-2</v>
      </c>
    </row>
    <row r="10" spans="1:22" x14ac:dyDescent="0.15">
      <c r="A10" s="33" t="s">
        <v>48</v>
      </c>
      <c r="B10" s="1">
        <v>2.625</v>
      </c>
      <c r="C10" s="45">
        <v>45107</v>
      </c>
      <c r="D10" s="1">
        <v>99.117000000000004</v>
      </c>
      <c r="E10" s="1">
        <f t="shared" ref="E10:E34" si="3">B10/2</f>
        <v>1.3125</v>
      </c>
      <c r="F10" s="3"/>
      <c r="G10" s="4">
        <f t="shared" ref="G9:G34" si="4">(COUPNUM($C$3,C10,$C$5,1)-COUPDAYBS($C$3,C10,$C$5,1)/COUPDAYS($C$3,C10,$C$5,1))/$C$5</f>
        <v>0.46961325966850831</v>
      </c>
      <c r="H10" s="1">
        <f t="shared" si="2"/>
        <v>99.196765193370169</v>
      </c>
      <c r="I10" s="1">
        <f t="shared" ref="I10:I34" si="5">Bond_ZeroRates($C$4,$G10,$B10/100,$C$5,$G$9:$G$34,$K$9:$K$34)</f>
        <v>99.196764913358322</v>
      </c>
      <c r="J10" s="35">
        <f t="shared" ref="J10:J34" si="6">I10-H10</f>
        <v>-2.8001184659842693E-7</v>
      </c>
      <c r="K10" s="31">
        <v>4.5448655181640263E-2</v>
      </c>
      <c r="L10" s="3">
        <v>0.10725103642827481</v>
      </c>
      <c r="P10" s="12">
        <v>3.9696132596685083</v>
      </c>
      <c r="Q10" s="31">
        <v>3.7406545548744702E-2</v>
      </c>
      <c r="R10" s="31">
        <v>-2.0575006814198011E-4</v>
      </c>
      <c r="S10" s="31"/>
      <c r="T10" s="3">
        <v>4.5</v>
      </c>
      <c r="U10" s="6">
        <f t="shared" si="0"/>
        <v>3.6892549173701814E-2</v>
      </c>
      <c r="V10" s="6">
        <f t="shared" si="1"/>
        <v>3.6768715521272574E-2</v>
      </c>
    </row>
    <row r="11" spans="1:22" x14ac:dyDescent="0.15">
      <c r="A11" s="33" t="s">
        <v>48</v>
      </c>
      <c r="B11" s="1">
        <v>2.875</v>
      </c>
      <c r="C11" s="45">
        <v>45199</v>
      </c>
      <c r="D11" s="1">
        <v>98.742000000000004</v>
      </c>
      <c r="E11" s="1">
        <f t="shared" si="3"/>
        <v>1.4375</v>
      </c>
      <c r="F11" s="3"/>
      <c r="G11" s="4">
        <f t="shared" si="4"/>
        <v>0.71546961325966851</v>
      </c>
      <c r="H11" s="1">
        <f t="shared" si="2"/>
        <v>99.56002486187846</v>
      </c>
      <c r="I11" s="1">
        <f t="shared" si="5"/>
        <v>99.560024237489444</v>
      </c>
      <c r="J11" s="35">
        <f t="shared" si="6"/>
        <v>-6.243890169344013E-7</v>
      </c>
      <c r="K11" s="31">
        <v>4.6777813354955788E-2</v>
      </c>
      <c r="L11" s="3">
        <v>-4.8867541132801638E-2</v>
      </c>
      <c r="P11" s="12">
        <v>4.9696132596685079</v>
      </c>
      <c r="Q11" s="31">
        <v>3.6437448216632584E-2</v>
      </c>
      <c r="R11" s="31">
        <v>2.1467764669792946E-3</v>
      </c>
      <c r="S11" s="31"/>
      <c r="T11" s="3">
        <v>5</v>
      </c>
      <c r="U11" s="6">
        <f t="shared" si="0"/>
        <v>3.6440530673478341E-2</v>
      </c>
      <c r="V11" s="6">
        <f t="shared" si="1"/>
        <v>3.6429673956847611E-2</v>
      </c>
    </row>
    <row r="12" spans="1:22" x14ac:dyDescent="0.15">
      <c r="A12" s="33" t="s">
        <v>48</v>
      </c>
      <c r="B12" s="1">
        <v>2.625</v>
      </c>
      <c r="C12" s="45">
        <v>45291</v>
      </c>
      <c r="D12" s="1">
        <v>98.046999999999997</v>
      </c>
      <c r="E12" s="1">
        <f t="shared" si="3"/>
        <v>1.3125</v>
      </c>
      <c r="F12" s="3"/>
      <c r="G12" s="4">
        <f t="shared" si="4"/>
        <v>0.96961325966850831</v>
      </c>
      <c r="H12" s="1">
        <f t="shared" si="2"/>
        <v>98.126765193370161</v>
      </c>
      <c r="I12" s="1">
        <f t="shared" si="5"/>
        <v>98.126764580077023</v>
      </c>
      <c r="J12" s="35">
        <f t="shared" si="6"/>
        <v>-6.1329313894020743E-7</v>
      </c>
      <c r="K12" s="31">
        <v>4.7092665421673299E-2</v>
      </c>
      <c r="L12" s="3">
        <v>-9.8566074447647353E-3</v>
      </c>
      <c r="P12" s="12">
        <v>5.8425414364640886</v>
      </c>
      <c r="Q12" s="31">
        <v>3.6525998795110773E-2</v>
      </c>
      <c r="R12" s="31">
        <v>-1.6181595805306781E-3</v>
      </c>
      <c r="S12" s="31"/>
      <c r="T12" s="3">
        <v>5.5</v>
      </c>
      <c r="U12" s="6">
        <f t="shared" si="0"/>
        <v>3.6491251099758572E-2</v>
      </c>
      <c r="V12" s="6">
        <f t="shared" si="1"/>
        <v>3.6479507423566246E-2</v>
      </c>
    </row>
    <row r="13" spans="1:22" x14ac:dyDescent="0.15">
      <c r="A13" s="33" t="s">
        <v>48</v>
      </c>
      <c r="B13" s="1">
        <v>3</v>
      </c>
      <c r="C13" s="45">
        <v>45473</v>
      </c>
      <c r="D13" s="1">
        <v>97.86</v>
      </c>
      <c r="E13" s="1">
        <f t="shared" si="3"/>
        <v>1.5</v>
      </c>
      <c r="F13" s="3"/>
      <c r="G13" s="4">
        <f t="shared" si="4"/>
        <v>1.4696132596685083</v>
      </c>
      <c r="H13" s="1">
        <f t="shared" si="2"/>
        <v>97.951160220994481</v>
      </c>
      <c r="I13" s="1">
        <f t="shared" si="5"/>
        <v>97.951159927607378</v>
      </c>
      <c r="J13" s="35">
        <f t="shared" si="6"/>
        <v>-2.9338710305637505E-7</v>
      </c>
      <c r="K13" s="31">
        <v>4.5187901668242658E-2</v>
      </c>
      <c r="L13" s="3">
        <v>-6.0088816120088054E-3</v>
      </c>
      <c r="P13" s="12">
        <v>6.9696132596685079</v>
      </c>
      <c r="Q13" s="31">
        <v>3.5899327452282644E-2</v>
      </c>
      <c r="R13" s="31">
        <v>5.8018326865567243E-4</v>
      </c>
      <c r="S13" s="31"/>
      <c r="T13" s="3">
        <v>6</v>
      </c>
      <c r="U13" s="6">
        <f t="shared" si="0"/>
        <v>3.6438449122215666E-2</v>
      </c>
      <c r="V13" s="6">
        <f t="shared" si="1"/>
        <v>3.6498221326462806E-2</v>
      </c>
    </row>
    <row r="14" spans="1:22" x14ac:dyDescent="0.15">
      <c r="A14" s="33" t="s">
        <v>48</v>
      </c>
      <c r="B14" s="1">
        <v>4.25</v>
      </c>
      <c r="C14" s="45">
        <v>45657</v>
      </c>
      <c r="D14" s="1">
        <v>100.03100000000001</v>
      </c>
      <c r="E14" s="1">
        <f t="shared" si="3"/>
        <v>2.125</v>
      </c>
      <c r="F14" s="3"/>
      <c r="G14" s="4">
        <f t="shared" si="4"/>
        <v>1.9696132596685083</v>
      </c>
      <c r="H14" s="1">
        <f t="shared" si="2"/>
        <v>100.16014364640884</v>
      </c>
      <c r="I14" s="1">
        <f t="shared" si="5"/>
        <v>100.16014363892191</v>
      </c>
      <c r="J14" s="35">
        <f t="shared" si="6"/>
        <v>-7.4869319632853149E-9</v>
      </c>
      <c r="K14" s="31">
        <v>4.2215131570040525E-2</v>
      </c>
      <c r="L14" s="3">
        <v>8.2599816182841405E-3</v>
      </c>
      <c r="P14" s="12">
        <v>9.8425414364640886</v>
      </c>
      <c r="Q14" s="31">
        <v>3.5259237536625958E-2</v>
      </c>
      <c r="R14" s="31">
        <v>-2.8486055869458924E-4</v>
      </c>
      <c r="S14" s="31"/>
      <c r="T14" s="3">
        <v>6.5</v>
      </c>
      <c r="U14" s="6">
        <f t="shared" si="0"/>
        <v>3.6160440511794366E-2</v>
      </c>
      <c r="V14" s="6">
        <f t="shared" si="1"/>
        <v>3.6231132675064184E-2</v>
      </c>
    </row>
    <row r="15" spans="1:22" x14ac:dyDescent="0.15">
      <c r="A15" s="33" t="s">
        <v>48</v>
      </c>
      <c r="B15" s="1">
        <v>2.75</v>
      </c>
      <c r="C15" s="45">
        <v>45838</v>
      </c>
      <c r="D15" s="1">
        <v>96.977000000000004</v>
      </c>
      <c r="E15" s="1">
        <f t="shared" si="3"/>
        <v>1.375</v>
      </c>
      <c r="F15" s="3"/>
      <c r="G15" s="4">
        <f t="shared" si="4"/>
        <v>2.4696132596685083</v>
      </c>
      <c r="H15" s="1">
        <f t="shared" si="2"/>
        <v>97.060563535911612</v>
      </c>
      <c r="I15" s="1">
        <f t="shared" si="5"/>
        <v>97.060563549604396</v>
      </c>
      <c r="J15" s="35">
        <f t="shared" si="6"/>
        <v>1.3692783795704599E-8</v>
      </c>
      <c r="K15" s="31">
        <v>4.0373420709924883E-2</v>
      </c>
      <c r="L15" s="3">
        <v>1.1437685294804674E-4</v>
      </c>
      <c r="P15" s="12">
        <v>13.095108695652174</v>
      </c>
      <c r="Q15" s="31">
        <v>3.4843305529386734E-2</v>
      </c>
      <c r="R15" s="31">
        <v>7.3558325893042348E-4</v>
      </c>
      <c r="S15" s="31"/>
      <c r="T15" s="3">
        <v>7</v>
      </c>
      <c r="U15" s="6">
        <f t="shared" si="0"/>
        <v>3.5892557270482427E-2</v>
      </c>
      <c r="V15" s="6">
        <f t="shared" si="1"/>
        <v>3.588008526494918E-2</v>
      </c>
    </row>
    <row r="16" spans="1:22" x14ac:dyDescent="0.15">
      <c r="A16" s="33" t="s">
        <v>48</v>
      </c>
      <c r="B16" s="1">
        <v>2.625</v>
      </c>
      <c r="C16" s="45">
        <v>46022</v>
      </c>
      <c r="D16" s="1">
        <v>96.421999999999997</v>
      </c>
      <c r="E16" s="1">
        <f t="shared" si="3"/>
        <v>1.3125</v>
      </c>
      <c r="F16" s="3"/>
      <c r="G16" s="4">
        <f t="shared" si="4"/>
        <v>2.9696132596685083</v>
      </c>
      <c r="H16" s="1">
        <f t="shared" si="2"/>
        <v>96.501765193370161</v>
      </c>
      <c r="I16" s="1">
        <f t="shared" si="5"/>
        <v>96.5017652374721</v>
      </c>
      <c r="J16" s="35">
        <f t="shared" si="6"/>
        <v>4.4101938101448468E-8</v>
      </c>
      <c r="K16" s="31">
        <v>3.899449399699699E-2</v>
      </c>
      <c r="L16" s="3">
        <v>2.3893305024296472E-3</v>
      </c>
      <c r="P16" s="12">
        <v>14.095108695652174</v>
      </c>
      <c r="Q16" s="31">
        <v>3.5592742144580934E-2</v>
      </c>
      <c r="R16" s="31">
        <v>-6.5818359132735133E-5</v>
      </c>
      <c r="S16" s="31"/>
      <c r="T16" s="3">
        <v>7.5</v>
      </c>
      <c r="U16" s="6">
        <f t="shared" si="0"/>
        <v>3.5781157006315255E-2</v>
      </c>
      <c r="V16" s="6">
        <f t="shared" si="1"/>
        <v>3.5632931217944037E-2</v>
      </c>
    </row>
    <row r="17" spans="1:22" x14ac:dyDescent="0.15">
      <c r="A17" s="33" t="s">
        <v>48</v>
      </c>
      <c r="B17" s="1">
        <v>1.75</v>
      </c>
      <c r="C17" s="45">
        <v>46387</v>
      </c>
      <c r="D17" s="1">
        <v>92.68</v>
      </c>
      <c r="E17" s="1">
        <f t="shared" si="3"/>
        <v>0.875</v>
      </c>
      <c r="F17" s="3"/>
      <c r="G17" s="4">
        <f t="shared" si="4"/>
        <v>3.9696132596685083</v>
      </c>
      <c r="H17" s="1">
        <f t="shared" si="2"/>
        <v>92.733176795580121</v>
      </c>
      <c r="I17" s="1">
        <f t="shared" si="5"/>
        <v>92.733177431642233</v>
      </c>
      <c r="J17" s="35">
        <f t="shared" si="6"/>
        <v>6.3606211142541724E-7</v>
      </c>
      <c r="K17" s="31">
        <v>3.7406545548744702E-2</v>
      </c>
      <c r="L17" s="3">
        <v>-2.0575006814198011E-4</v>
      </c>
      <c r="P17" s="12">
        <v>15.095108695652174</v>
      </c>
      <c r="Q17" s="31">
        <v>3.6395804914411835E-2</v>
      </c>
      <c r="R17" s="31">
        <v>-1.5055289457928091E-4</v>
      </c>
      <c r="S17" s="31"/>
      <c r="T17" s="3">
        <v>8</v>
      </c>
      <c r="U17" s="6">
        <f t="shared" si="0"/>
        <v>3.5669756742148083E-2</v>
      </c>
      <c r="V17" s="6">
        <f t="shared" si="1"/>
        <v>3.5490897888378961E-2</v>
      </c>
    </row>
    <row r="18" spans="1:22" x14ac:dyDescent="0.15">
      <c r="A18" s="33" t="s">
        <v>48</v>
      </c>
      <c r="B18" s="1">
        <v>3.875</v>
      </c>
      <c r="C18" s="45">
        <v>46752</v>
      </c>
      <c r="D18" s="1">
        <v>100.922</v>
      </c>
      <c r="E18" s="1">
        <f t="shared" si="3"/>
        <v>1.9375</v>
      </c>
      <c r="F18" s="3"/>
      <c r="G18" s="4">
        <f t="shared" si="4"/>
        <v>4.9696132596685079</v>
      </c>
      <c r="H18" s="1">
        <f t="shared" si="2"/>
        <v>101.03974861878453</v>
      </c>
      <c r="I18" s="1">
        <f t="shared" si="5"/>
        <v>101.03974900906377</v>
      </c>
      <c r="J18" s="35">
        <f t="shared" si="6"/>
        <v>3.9027924003676162E-7</v>
      </c>
      <c r="K18" s="31">
        <v>3.6437448216632584E-2</v>
      </c>
      <c r="L18" s="3">
        <v>2.1467764669792946E-3</v>
      </c>
      <c r="P18" s="12">
        <v>16.095108695652176</v>
      </c>
      <c r="Q18" s="31">
        <v>3.7041772150168704E-2</v>
      </c>
      <c r="R18" s="31">
        <v>-2.7454326699433325E-4</v>
      </c>
      <c r="S18" s="31"/>
      <c r="T18" s="3">
        <v>8.5</v>
      </c>
      <c r="U18" s="6">
        <f t="shared" si="0"/>
        <v>3.5558356477980911E-2</v>
      </c>
      <c r="V18" s="6">
        <f t="shared" si="1"/>
        <v>3.5416347552035092E-2</v>
      </c>
    </row>
    <row r="19" spans="1:22" x14ac:dyDescent="0.15">
      <c r="A19" s="33" t="s">
        <v>48</v>
      </c>
      <c r="B19" s="1">
        <v>3.125</v>
      </c>
      <c r="C19" s="45">
        <v>47072</v>
      </c>
      <c r="D19" s="1">
        <v>97.149000000000001</v>
      </c>
      <c r="E19" s="1">
        <f t="shared" si="3"/>
        <v>1.5625</v>
      </c>
      <c r="F19" s="3"/>
      <c r="G19" s="4">
        <f t="shared" si="4"/>
        <v>5.8425414364640886</v>
      </c>
      <c r="H19" s="1">
        <f t="shared" si="2"/>
        <v>97.641058011049722</v>
      </c>
      <c r="I19" s="1">
        <f t="shared" si="5"/>
        <v>97.641058161199382</v>
      </c>
      <c r="J19" s="35">
        <f t="shared" si="6"/>
        <v>1.5014965981663408E-7</v>
      </c>
      <c r="K19" s="31">
        <v>3.6525998795110773E-2</v>
      </c>
      <c r="L19" s="3">
        <v>-1.6181595805306781E-3</v>
      </c>
      <c r="P19" s="12">
        <v>17.595108695652176</v>
      </c>
      <c r="Q19" s="31">
        <v>3.7908186627117646E-2</v>
      </c>
      <c r="R19" s="31">
        <v>7.4208248187033565E-4</v>
      </c>
      <c r="S19" s="31"/>
      <c r="T19" s="3">
        <v>9</v>
      </c>
      <c r="U19" s="6">
        <f t="shared" si="0"/>
        <v>3.5446956213813739E-2</v>
      </c>
      <c r="V19" s="6">
        <f t="shared" si="1"/>
        <v>3.53716424846936E-2</v>
      </c>
    </row>
    <row r="20" spans="1:22" x14ac:dyDescent="0.15">
      <c r="A20" s="33" t="s">
        <v>48</v>
      </c>
      <c r="B20" s="1">
        <v>3.875</v>
      </c>
      <c r="C20" s="45">
        <v>47483</v>
      </c>
      <c r="D20" s="1">
        <v>101.586</v>
      </c>
      <c r="E20" s="1">
        <f t="shared" si="3"/>
        <v>1.9375</v>
      </c>
      <c r="G20" s="4">
        <f t="shared" si="4"/>
        <v>6.9696132596685079</v>
      </c>
      <c r="H20" s="1">
        <f t="shared" si="2"/>
        <v>101.70374861878453</v>
      </c>
      <c r="I20" s="1">
        <f t="shared" si="5"/>
        <v>101.70374876415431</v>
      </c>
      <c r="J20" s="35">
        <f t="shared" si="6"/>
        <v>1.4536978198975703E-7</v>
      </c>
      <c r="K20" s="31">
        <v>3.5899327452282644E-2</v>
      </c>
      <c r="L20" s="3">
        <v>5.8018326865567243E-4</v>
      </c>
      <c r="P20" s="12">
        <v>18.595108695652176</v>
      </c>
      <c r="Q20" s="31">
        <v>3.8902901073213411E-2</v>
      </c>
      <c r="R20" s="31">
        <v>-7.9596874008135393E-4</v>
      </c>
      <c r="S20" s="31"/>
      <c r="T20" s="3">
        <v>9.5</v>
      </c>
      <c r="U20" s="6">
        <f t="shared" si="0"/>
        <v>3.533555594964656E-2</v>
      </c>
      <c r="V20" s="6">
        <f t="shared" si="1"/>
        <v>3.5319144962135639E-2</v>
      </c>
    </row>
    <row r="21" spans="1:22" x14ac:dyDescent="0.15">
      <c r="A21" s="33" t="s">
        <v>48</v>
      </c>
      <c r="B21" s="1">
        <v>4.125</v>
      </c>
      <c r="C21" s="45">
        <v>48533</v>
      </c>
      <c r="D21" s="1">
        <v>104.696</v>
      </c>
      <c r="E21" s="1">
        <f t="shared" si="3"/>
        <v>2.0625</v>
      </c>
      <c r="G21" s="4">
        <f t="shared" si="4"/>
        <v>9.8425414364640886</v>
      </c>
      <c r="H21" s="1">
        <f t="shared" si="2"/>
        <v>105.34551657458563</v>
      </c>
      <c r="I21" s="1">
        <f t="shared" si="5"/>
        <v>105.34551637169994</v>
      </c>
      <c r="J21" s="35">
        <f t="shared" si="6"/>
        <v>-2.0288568691739783E-7</v>
      </c>
      <c r="K21" s="31">
        <v>3.5259237536625958E-2</v>
      </c>
      <c r="L21" s="3">
        <v>-2.8486055869458924E-4</v>
      </c>
      <c r="P21" s="12">
        <v>20.842541436464089</v>
      </c>
      <c r="Q21" s="31">
        <v>3.9828369442693398E-2</v>
      </c>
      <c r="R21" s="31">
        <v>4.1383908380466687E-4</v>
      </c>
      <c r="S21" s="31"/>
      <c r="T21" s="3">
        <v>10</v>
      </c>
      <c r="U21" s="6">
        <f t="shared" si="0"/>
        <v>3.5239102040210475E-2</v>
      </c>
      <c r="V21" s="6">
        <f t="shared" si="1"/>
        <v>3.5221617303785327E-2</v>
      </c>
    </row>
    <row r="22" spans="1:22" x14ac:dyDescent="0.15">
      <c r="A22" s="33" t="s">
        <v>48</v>
      </c>
      <c r="B22" s="1">
        <v>4.5</v>
      </c>
      <c r="C22" s="45">
        <v>49720</v>
      </c>
      <c r="D22" s="1">
        <v>110.24299999999999</v>
      </c>
      <c r="E22" s="1">
        <f t="shared" si="3"/>
        <v>2.25</v>
      </c>
      <c r="G22" s="4">
        <f t="shared" si="4"/>
        <v>13.095108695652174</v>
      </c>
      <c r="H22" s="1">
        <f t="shared" si="2"/>
        <v>112.06501086956521</v>
      </c>
      <c r="I22" s="1">
        <f t="shared" si="5"/>
        <v>112.06501062360948</v>
      </c>
      <c r="J22" s="35">
        <f t="shared" si="6"/>
        <v>-2.4595573222541134E-7</v>
      </c>
      <c r="K22" s="31">
        <v>3.4843305529386734E-2</v>
      </c>
      <c r="L22" s="3">
        <v>7.3558325893042348E-4</v>
      </c>
      <c r="P22" s="12">
        <v>21.095108695652176</v>
      </c>
      <c r="Q22" s="31">
        <v>3.9933437100124203E-2</v>
      </c>
      <c r="R22" s="31">
        <v>-1.0098365159337695E-3</v>
      </c>
      <c r="S22" s="31"/>
      <c r="T22" s="3">
        <v>10.5</v>
      </c>
      <c r="U22" s="6">
        <f t="shared" si="0"/>
        <v>3.517516300773324E-2</v>
      </c>
      <c r="V22" s="6">
        <f t="shared" si="1"/>
        <v>3.5069343150247637E-2</v>
      </c>
    </row>
    <row r="23" spans="1:22" x14ac:dyDescent="0.15">
      <c r="A23" s="33" t="s">
        <v>48</v>
      </c>
      <c r="B23" s="1">
        <v>4.75</v>
      </c>
      <c r="C23" s="45">
        <v>50086</v>
      </c>
      <c r="D23" s="1">
        <v>112.961</v>
      </c>
      <c r="E23" s="1">
        <f t="shared" si="3"/>
        <v>2.375</v>
      </c>
      <c r="G23" s="4">
        <f t="shared" si="4"/>
        <v>14.095108695652174</v>
      </c>
      <c r="H23" s="1">
        <f t="shared" si="2"/>
        <v>114.88423369565217</v>
      </c>
      <c r="I23" s="1">
        <f t="shared" si="5"/>
        <v>114.88423362413602</v>
      </c>
      <c r="J23" s="35">
        <f t="shared" si="6"/>
        <v>-7.1516154775963514E-8</v>
      </c>
      <c r="K23" s="31">
        <v>3.5592742144580934E-2</v>
      </c>
      <c r="L23" s="3">
        <v>-6.5818359132735133E-5</v>
      </c>
      <c r="P23" s="12">
        <v>22.342541436464089</v>
      </c>
      <c r="Q23" s="31">
        <v>3.9832619104844313E-2</v>
      </c>
      <c r="R23" s="31">
        <v>-4.483392901347577E-5</v>
      </c>
      <c r="S23" s="31"/>
      <c r="T23" s="3">
        <v>11</v>
      </c>
      <c r="U23" s="6">
        <f t="shared" si="0"/>
        <v>3.5111223975256012E-2</v>
      </c>
      <c r="V23" s="6">
        <f t="shared" si="1"/>
        <v>3.4897420778873936E-2</v>
      </c>
    </row>
    <row r="24" spans="1:22" x14ac:dyDescent="0.15">
      <c r="A24" s="33" t="s">
        <v>48</v>
      </c>
      <c r="B24" s="1">
        <v>4.375</v>
      </c>
      <c r="C24" s="45">
        <v>50451</v>
      </c>
      <c r="D24" s="1">
        <v>108.61</v>
      </c>
      <c r="E24" s="1">
        <f t="shared" si="3"/>
        <v>2.1875</v>
      </c>
      <c r="G24" s="4">
        <f t="shared" si="4"/>
        <v>15.095108695652174</v>
      </c>
      <c r="H24" s="1">
        <f t="shared" si="2"/>
        <v>110.38139945652173</v>
      </c>
      <c r="I24" s="1">
        <f t="shared" si="5"/>
        <v>110.38139968458415</v>
      </c>
      <c r="J24" s="35">
        <f t="shared" si="6"/>
        <v>2.2806241872785904E-7</v>
      </c>
      <c r="K24" s="31">
        <v>3.6395804914411835E-2</v>
      </c>
      <c r="L24" s="3">
        <v>-1.5055289457928091E-4</v>
      </c>
      <c r="P24" s="12">
        <v>24.095108695652176</v>
      </c>
      <c r="Q24" s="31">
        <v>3.9264225453419802E-2</v>
      </c>
      <c r="R24" s="31">
        <v>3.8632165208105584E-5</v>
      </c>
      <c r="S24" s="31"/>
      <c r="T24" s="3">
        <v>11.5</v>
      </c>
      <c r="U24" s="6">
        <f t="shared" si="0"/>
        <v>3.5047284942778777E-2</v>
      </c>
      <c r="V24" s="6">
        <f t="shared" si="1"/>
        <v>3.4745067050389489E-2</v>
      </c>
    </row>
    <row r="25" spans="1:22" x14ac:dyDescent="0.15">
      <c r="A25" s="33" t="s">
        <v>48</v>
      </c>
      <c r="B25" s="1">
        <v>3.5</v>
      </c>
      <c r="C25" s="45">
        <v>50816</v>
      </c>
      <c r="D25" s="1">
        <v>97.828999999999994</v>
      </c>
      <c r="E25" s="1">
        <f t="shared" si="3"/>
        <v>1.75</v>
      </c>
      <c r="G25" s="4">
        <f t="shared" si="4"/>
        <v>16.095108695652176</v>
      </c>
      <c r="H25" s="1">
        <f t="shared" si="2"/>
        <v>99.246119565217384</v>
      </c>
      <c r="I25" s="1">
        <f t="shared" si="5"/>
        <v>99.246118883874004</v>
      </c>
      <c r="J25" s="35">
        <f>I25-H25</f>
        <v>-6.8134337993797089E-7</v>
      </c>
      <c r="K25" s="31">
        <v>3.7041772150168704E-2</v>
      </c>
      <c r="L25" s="3">
        <v>-2.7454326699433325E-4</v>
      </c>
      <c r="P25" s="12">
        <v>25.842541436464089</v>
      </c>
      <c r="Q25" s="31">
        <v>3.8332965620950225E-2</v>
      </c>
      <c r="R25" s="31">
        <v>-8.2607405516981652E-4</v>
      </c>
      <c r="S25" s="31"/>
      <c r="T25" s="3">
        <v>12</v>
      </c>
      <c r="U25" s="6">
        <f t="shared" si="0"/>
        <v>3.4983345910301542E-2</v>
      </c>
      <c r="V25" s="6">
        <f t="shared" si="1"/>
        <v>3.4651498825519551E-2</v>
      </c>
    </row>
    <row r="26" spans="1:22" x14ac:dyDescent="0.15">
      <c r="A26" s="33" t="s">
        <v>48</v>
      </c>
      <c r="B26" s="1">
        <v>3.875</v>
      </c>
      <c r="C26" s="45">
        <v>51363</v>
      </c>
      <c r="D26" s="1">
        <v>101.70399999999999</v>
      </c>
      <c r="E26" s="1">
        <f t="shared" si="3"/>
        <v>1.9375</v>
      </c>
      <c r="G26" s="4">
        <f t="shared" si="4"/>
        <v>17.595108695652176</v>
      </c>
      <c r="H26" s="1">
        <f t="shared" si="2"/>
        <v>103.27295380434782</v>
      </c>
      <c r="I26" s="1">
        <f t="shared" si="5"/>
        <v>103.27295379983431</v>
      </c>
      <c r="J26" s="35">
        <f t="shared" si="6"/>
        <v>-4.5135095660953084E-9</v>
      </c>
      <c r="K26" s="31">
        <v>3.7908186627117646E-2</v>
      </c>
      <c r="L26" s="3">
        <v>7.4208248187033565E-4</v>
      </c>
      <c r="P26" s="12">
        <v>26.095108695652176</v>
      </c>
      <c r="Q26" s="31">
        <v>3.8065878569385571E-2</v>
      </c>
      <c r="R26" s="31">
        <v>3.5411535708703524E-4</v>
      </c>
      <c r="S26" s="31"/>
      <c r="T26" s="3">
        <v>12.5</v>
      </c>
      <c r="U26" s="6">
        <f t="shared" si="0"/>
        <v>3.4919406877824313E-2</v>
      </c>
      <c r="V26" s="6">
        <f t="shared" si="1"/>
        <v>3.4655932964989401E-2</v>
      </c>
    </row>
    <row r="27" spans="1:22" x14ac:dyDescent="0.15">
      <c r="A27" s="33" t="s">
        <v>48</v>
      </c>
      <c r="B27" s="1">
        <v>3.75</v>
      </c>
      <c r="C27" s="45">
        <v>51728</v>
      </c>
      <c r="D27" s="1">
        <v>99.149000000000001</v>
      </c>
      <c r="E27" s="1">
        <f t="shared" si="3"/>
        <v>1.875</v>
      </c>
      <c r="G27" s="4">
        <f t="shared" si="4"/>
        <v>18.595108695652176</v>
      </c>
      <c r="H27" s="1">
        <f t="shared" si="2"/>
        <v>100.66734239130435</v>
      </c>
      <c r="I27" s="1">
        <f t="shared" si="5"/>
        <v>100.66734238705956</v>
      </c>
      <c r="J27" s="35">
        <f t="shared" si="6"/>
        <v>-4.2447823034308385E-9</v>
      </c>
      <c r="K27" s="31">
        <v>3.8902901073213411E-2</v>
      </c>
      <c r="L27" s="3">
        <v>-7.9596874008135393E-4</v>
      </c>
      <c r="P27" s="12">
        <v>29.842541436464089</v>
      </c>
      <c r="Q27" s="31">
        <v>3.6240395391871676E-2</v>
      </c>
      <c r="R27" s="31">
        <v>2.1291249896604521E-4</v>
      </c>
      <c r="S27" s="31"/>
      <c r="T27" s="3">
        <v>13</v>
      </c>
      <c r="U27" s="6">
        <f t="shared" si="0"/>
        <v>3.4855467845347078E-2</v>
      </c>
      <c r="V27" s="6">
        <f t="shared" si="1"/>
        <v>3.4797586329524281E-2</v>
      </c>
    </row>
    <row r="28" spans="1:22" x14ac:dyDescent="0.15">
      <c r="A28" s="33" t="s">
        <v>48</v>
      </c>
      <c r="B28" s="1">
        <v>3.75</v>
      </c>
      <c r="C28" s="45">
        <v>52550</v>
      </c>
      <c r="D28" s="1">
        <v>98.117999999999995</v>
      </c>
      <c r="E28" s="1">
        <f t="shared" si="3"/>
        <v>1.875</v>
      </c>
      <c r="G28" s="4">
        <f t="shared" si="4"/>
        <v>20.842541436464089</v>
      </c>
      <c r="H28" s="1">
        <f t="shared" si="2"/>
        <v>98.708469613259666</v>
      </c>
      <c r="I28" s="1">
        <f t="shared" si="5"/>
        <v>98.708469607525188</v>
      </c>
      <c r="J28" s="35">
        <f t="shared" si="6"/>
        <v>-5.7344777815160342E-9</v>
      </c>
      <c r="K28" s="31">
        <v>3.9828369442693398E-2</v>
      </c>
      <c r="L28" s="3">
        <v>4.1383908380466687E-4</v>
      </c>
      <c r="P28"/>
      <c r="Q28"/>
      <c r="R28"/>
      <c r="S28"/>
      <c r="T28" s="3">
        <v>13.5</v>
      </c>
      <c r="U28" s="6">
        <f t="shared" si="0"/>
        <v>3.5146745898038734E-2</v>
      </c>
      <c r="V28" s="6">
        <f t="shared" si="1"/>
        <v>3.5103339275066391E-2</v>
      </c>
    </row>
    <row r="29" spans="1:22" x14ac:dyDescent="0.15">
      <c r="A29" s="33" t="s">
        <v>48</v>
      </c>
      <c r="B29" s="1">
        <v>3.625</v>
      </c>
      <c r="C29" s="45">
        <v>52642</v>
      </c>
      <c r="D29" s="1">
        <v>96.18</v>
      </c>
      <c r="E29" s="1">
        <f t="shared" si="3"/>
        <v>1.8125</v>
      </c>
      <c r="G29" s="4">
        <f t="shared" si="4"/>
        <v>21.095108695652176</v>
      </c>
      <c r="H29" s="1">
        <f t="shared" si="2"/>
        <v>97.647730978260881</v>
      </c>
      <c r="I29" s="1">
        <f t="shared" si="5"/>
        <v>97.647730973863275</v>
      </c>
      <c r="J29" s="35">
        <f t="shared" si="6"/>
        <v>-4.3976058350381209E-9</v>
      </c>
      <c r="K29" s="31">
        <v>3.9933437100124203E-2</v>
      </c>
      <c r="L29" s="3">
        <v>-1.0098365159337695E-3</v>
      </c>
      <c r="P29"/>
      <c r="Q29"/>
      <c r="R29"/>
      <c r="S29"/>
      <c r="T29" s="3">
        <v>14</v>
      </c>
      <c r="U29" s="6">
        <f t="shared" si="0"/>
        <v>3.552146420563583E-2</v>
      </c>
      <c r="V29" s="6">
        <f t="shared" si="1"/>
        <v>3.5511708002781701E-2</v>
      </c>
    </row>
    <row r="30" spans="1:22" x14ac:dyDescent="0.15">
      <c r="A30" s="33" t="s">
        <v>48</v>
      </c>
      <c r="B30" s="1">
        <v>3</v>
      </c>
      <c r="C30" s="45">
        <v>53097</v>
      </c>
      <c r="D30" s="1">
        <v>86.656999999999996</v>
      </c>
      <c r="E30" s="1">
        <f t="shared" si="3"/>
        <v>1.5</v>
      </c>
      <c r="G30" s="4">
        <f t="shared" si="4"/>
        <v>22.342541436464089</v>
      </c>
      <c r="H30" s="1">
        <f t="shared" si="2"/>
        <v>87.129375690607731</v>
      </c>
      <c r="I30" s="1">
        <f t="shared" si="5"/>
        <v>87.129374803046616</v>
      </c>
      <c r="J30" s="35">
        <f t="shared" si="6"/>
        <v>-8.8756111438215157E-7</v>
      </c>
      <c r="K30" s="31">
        <v>3.9832619104844313E-2</v>
      </c>
      <c r="L30" s="3">
        <v>-4.483392901347577E-5</v>
      </c>
      <c r="P30"/>
      <c r="Q30"/>
      <c r="R30"/>
      <c r="S30"/>
      <c r="T30" s="3">
        <v>14.5</v>
      </c>
      <c r="U30" s="6">
        <f t="shared" si="0"/>
        <v>3.5917895276930949E-2</v>
      </c>
      <c r="V30" s="6">
        <f t="shared" si="1"/>
        <v>3.5930605533396838E-2</v>
      </c>
    </row>
    <row r="31" spans="1:22" x14ac:dyDescent="0.15">
      <c r="A31" s="33" t="s">
        <v>48</v>
      </c>
      <c r="B31" s="1">
        <v>3</v>
      </c>
      <c r="C31" s="45">
        <v>53738</v>
      </c>
      <c r="D31" s="1">
        <v>86.516000000000005</v>
      </c>
      <c r="E31" s="1">
        <f t="shared" si="3"/>
        <v>1.5</v>
      </c>
      <c r="G31" s="4">
        <f t="shared" si="4"/>
        <v>24.095108695652176</v>
      </c>
      <c r="H31" s="1">
        <f t="shared" si="2"/>
        <v>87.730673913043489</v>
      </c>
      <c r="I31" s="1">
        <f t="shared" si="5"/>
        <v>87.73067310024399</v>
      </c>
      <c r="J31" s="35">
        <f t="shared" si="6"/>
        <v>-8.1279949881718494E-7</v>
      </c>
      <c r="K31" s="31">
        <v>3.9264225453419802E-2</v>
      </c>
      <c r="L31" s="3">
        <v>3.8632165208105584E-5</v>
      </c>
      <c r="P31"/>
      <c r="Q31"/>
      <c r="R31"/>
      <c r="S31"/>
      <c r="T31" s="3">
        <v>15</v>
      </c>
      <c r="U31" s="6">
        <f t="shared" si="0"/>
        <v>3.6319426661846399E-2</v>
      </c>
      <c r="V31" s="6">
        <f t="shared" si="1"/>
        <v>3.6324574165743494E-2</v>
      </c>
    </row>
    <row r="32" spans="1:22" x14ac:dyDescent="0.15">
      <c r="A32" s="33" t="s">
        <v>48</v>
      </c>
      <c r="B32" s="1">
        <v>3.375</v>
      </c>
      <c r="C32" s="45">
        <v>54377</v>
      </c>
      <c r="D32" s="1">
        <v>92.977000000000004</v>
      </c>
      <c r="E32" s="1">
        <f t="shared" si="3"/>
        <v>1.6875</v>
      </c>
      <c r="G32" s="4">
        <f t="shared" si="4"/>
        <v>25.842541436464089</v>
      </c>
      <c r="H32" s="1">
        <f t="shared" si="2"/>
        <v>93.508422651933699</v>
      </c>
      <c r="I32" s="1">
        <f t="shared" si="5"/>
        <v>93.508422647510969</v>
      </c>
      <c r="J32" s="35">
        <f t="shared" si="6"/>
        <v>-4.422730626174598E-9</v>
      </c>
      <c r="K32" s="31">
        <v>3.8332965620950225E-2</v>
      </c>
      <c r="L32" s="3">
        <v>-8.2607405516981652E-4</v>
      </c>
      <c r="P32"/>
      <c r="Q32"/>
      <c r="R32"/>
      <c r="S32"/>
      <c r="T32" s="3">
        <v>15.5</v>
      </c>
      <c r="U32" s="6">
        <f t="shared" si="0"/>
        <v>3.6657351431063391E-2</v>
      </c>
      <c r="V32" s="6">
        <f t="shared" si="1"/>
        <v>3.6682485043720015E-2</v>
      </c>
    </row>
    <row r="33" spans="1:22" x14ac:dyDescent="0.15">
      <c r="A33" s="33" t="s">
        <v>48</v>
      </c>
      <c r="B33" s="1">
        <v>3</v>
      </c>
      <c r="C33" s="45">
        <v>54469</v>
      </c>
      <c r="D33" s="1">
        <v>86.992999999999995</v>
      </c>
      <c r="E33" s="1">
        <f t="shared" si="3"/>
        <v>1.5</v>
      </c>
      <c r="G33" s="4">
        <f t="shared" si="4"/>
        <v>26.095108695652176</v>
      </c>
      <c r="H33" s="1">
        <f t="shared" si="2"/>
        <v>88.207673913043479</v>
      </c>
      <c r="I33" s="1">
        <f t="shared" si="5"/>
        <v>88.207673076858271</v>
      </c>
      <c r="J33" s="35">
        <f t="shared" si="6"/>
        <v>-8.3618520818617981E-7</v>
      </c>
      <c r="K33" s="31">
        <v>3.8065878569385571E-2</v>
      </c>
      <c r="L33" s="3">
        <v>3.5411535708703524E-4</v>
      </c>
      <c r="P33"/>
      <c r="Q33"/>
      <c r="R33"/>
      <c r="S33"/>
      <c r="T33" s="3">
        <v>16</v>
      </c>
      <c r="U33" s="6">
        <f t="shared" si="0"/>
        <v>3.6980335048941826E-2</v>
      </c>
      <c r="V33" s="6">
        <f t="shared" si="1"/>
        <v>3.6990201413376153E-2</v>
      </c>
    </row>
    <row r="34" spans="1:22" x14ac:dyDescent="0.15">
      <c r="A34" s="33" t="s">
        <v>48</v>
      </c>
      <c r="B34" s="1">
        <v>4</v>
      </c>
      <c r="C34" s="45">
        <v>55838</v>
      </c>
      <c r="D34" s="1">
        <v>105.711</v>
      </c>
      <c r="E34" s="1">
        <f t="shared" si="3"/>
        <v>2</v>
      </c>
      <c r="G34" s="4">
        <f t="shared" si="4"/>
        <v>29.842541436464089</v>
      </c>
      <c r="H34" s="1">
        <f t="shared" si="2"/>
        <v>106.34083425414364</v>
      </c>
      <c r="I34" s="1">
        <f t="shared" si="5"/>
        <v>106.34083387257991</v>
      </c>
      <c r="J34" s="35">
        <f t="shared" si="6"/>
        <v>-3.8156373705078295E-7</v>
      </c>
      <c r="K34" s="31">
        <v>3.6240395391871676E-2</v>
      </c>
      <c r="L34" s="3">
        <v>2.1291249896604521E-4</v>
      </c>
      <c r="P34"/>
      <c r="Q34"/>
      <c r="R34"/>
      <c r="S34"/>
      <c r="T34" s="3">
        <v>16.5</v>
      </c>
      <c r="U34" s="6">
        <f t="shared" ref="U34:U65" si="7">PWLinear(T34,$P$2:$P$27,$Q$2:$Q$27)</f>
        <v>3.7275641275287166E-2</v>
      </c>
      <c r="V34" s="6">
        <f t="shared" ref="V34:V61" si="8">splint($P$2:$P$27,$Q$2:$Q$27,_xlfn.ANCHORARRAY($R$2),T34)</f>
        <v>3.7241099586196556E-2</v>
      </c>
    </row>
    <row r="35" spans="1:22" x14ac:dyDescent="0.15">
      <c r="P35"/>
      <c r="Q35"/>
      <c r="R35"/>
      <c r="S35"/>
      <c r="T35" s="3">
        <v>17</v>
      </c>
      <c r="U35" s="6">
        <f t="shared" si="7"/>
        <v>3.7564446100936816E-2</v>
      </c>
      <c r="V35" s="6">
        <f t="shared" si="8"/>
        <v>3.7492080722308876E-2</v>
      </c>
    </row>
    <row r="36" spans="1:22" x14ac:dyDescent="0.15">
      <c r="P36"/>
      <c r="Q36"/>
      <c r="R36"/>
      <c r="S36"/>
      <c r="T36" s="3">
        <v>17.5</v>
      </c>
      <c r="U36" s="6">
        <f t="shared" si="7"/>
        <v>3.7853250926586465E-2</v>
      </c>
      <c r="V36" s="6">
        <f t="shared" si="8"/>
        <v>3.7827748674993236E-2</v>
      </c>
    </row>
    <row r="37" spans="1:22" x14ac:dyDescent="0.15">
      <c r="P37" s="12"/>
      <c r="Q37" s="12"/>
      <c r="R37" s="12"/>
      <c r="S37" s="12"/>
      <c r="T37" s="3">
        <v>18</v>
      </c>
      <c r="U37" s="6">
        <f t="shared" si="7"/>
        <v>3.8310937856650983E-2</v>
      </c>
      <c r="V37" s="6">
        <f t="shared" si="8"/>
        <v>3.8308309339682871E-2</v>
      </c>
    </row>
    <row r="38" spans="1:22" x14ac:dyDescent="0.15">
      <c r="P38"/>
      <c r="Q38"/>
      <c r="R38"/>
      <c r="S38"/>
      <c r="T38" s="3">
        <v>18.5</v>
      </c>
      <c r="U38" s="6">
        <f t="shared" si="7"/>
        <v>3.8808295079698865E-2</v>
      </c>
      <c r="V38" s="6">
        <f t="shared" si="8"/>
        <v>3.8818387016583543E-2</v>
      </c>
    </row>
    <row r="39" spans="1:22" x14ac:dyDescent="0.15">
      <c r="P39"/>
      <c r="Q39"/>
      <c r="R39"/>
      <c r="S39"/>
      <c r="T39" s="3">
        <v>19</v>
      </c>
      <c r="U39" s="6">
        <f t="shared" si="7"/>
        <v>3.9069630910528161E-2</v>
      </c>
      <c r="V39" s="6">
        <f t="shared" si="8"/>
        <v>3.9189013300013176E-2</v>
      </c>
    </row>
    <row r="40" spans="1:22" x14ac:dyDescent="0.15">
      <c r="P40"/>
      <c r="Q40"/>
      <c r="R40"/>
      <c r="S40"/>
      <c r="T40" s="3">
        <v>19.5</v>
      </c>
      <c r="U40" s="6">
        <f t="shared" si="7"/>
        <v>3.9275525474728921E-2</v>
      </c>
      <c r="V40" s="6">
        <f t="shared" si="8"/>
        <v>3.941543403383839E-2</v>
      </c>
    </row>
    <row r="41" spans="1:22" x14ac:dyDescent="0.15">
      <c r="P41" s="12"/>
      <c r="Q41" s="12"/>
      <c r="R41" s="12"/>
      <c r="S41" s="12"/>
      <c r="T41" s="3">
        <v>20</v>
      </c>
      <c r="U41" s="6">
        <f t="shared" si="7"/>
        <v>3.9481420038929682E-2</v>
      </c>
      <c r="V41" s="6">
        <f t="shared" si="8"/>
        <v>3.9564639817606363E-2</v>
      </c>
    </row>
    <row r="42" spans="1:22" x14ac:dyDescent="0.15">
      <c r="P42"/>
      <c r="Q42"/>
      <c r="R42"/>
      <c r="S42"/>
      <c r="T42" s="3">
        <v>20.5</v>
      </c>
      <c r="U42" s="6">
        <f t="shared" si="7"/>
        <v>3.9687314603130443E-2</v>
      </c>
      <c r="V42" s="6">
        <f t="shared" si="8"/>
        <v>3.9703918973338755E-2</v>
      </c>
    </row>
    <row r="43" spans="1:22" x14ac:dyDescent="0.15">
      <c r="P43"/>
      <c r="Q43"/>
      <c r="R43"/>
      <c r="S43"/>
      <c r="T43" s="3">
        <v>21</v>
      </c>
      <c r="U43" s="6">
        <f t="shared" si="7"/>
        <v>3.9893872004135134E-2</v>
      </c>
      <c r="V43" s="6">
        <f t="shared" si="8"/>
        <v>3.989654197685874E-2</v>
      </c>
    </row>
    <row r="44" spans="1:22" x14ac:dyDescent="0.15">
      <c r="P44"/>
      <c r="Q44"/>
      <c r="R44"/>
      <c r="S44"/>
      <c r="T44" s="3">
        <v>21.5</v>
      </c>
      <c r="U44" s="6">
        <f t="shared" si="7"/>
        <v>3.9900713628729635E-2</v>
      </c>
      <c r="V44" s="6">
        <f t="shared" si="8"/>
        <v>4.0000285284274219E-2</v>
      </c>
    </row>
    <row r="45" spans="1:22" x14ac:dyDescent="0.15">
      <c r="P45"/>
      <c r="Q45"/>
      <c r="R45"/>
      <c r="S45"/>
      <c r="T45" s="3">
        <v>22</v>
      </c>
      <c r="U45" s="6">
        <f t="shared" si="7"/>
        <v>3.9860303435866544E-2</v>
      </c>
      <c r="V45" s="6">
        <f t="shared" si="8"/>
        <v>3.9930793685938305E-2</v>
      </c>
    </row>
    <row r="46" spans="1:22" x14ac:dyDescent="0.15">
      <c r="P46"/>
      <c r="Q46"/>
      <c r="R46"/>
      <c r="S46"/>
      <c r="T46" s="3">
        <v>22.5</v>
      </c>
      <c r="U46" s="6">
        <f t="shared" si="7"/>
        <v>3.9781552050266504E-2</v>
      </c>
      <c r="V46" s="6">
        <f t="shared" si="8"/>
        <v>3.9783374523005774E-2</v>
      </c>
    </row>
    <row r="47" spans="1:22" x14ac:dyDescent="0.15">
      <c r="P47"/>
      <c r="Q47"/>
      <c r="R47"/>
      <c r="S47"/>
      <c r="T47" s="3">
        <v>23</v>
      </c>
      <c r="U47" s="6">
        <f t="shared" si="7"/>
        <v>3.9619391754151016E-2</v>
      </c>
      <c r="V47" s="6">
        <f t="shared" si="8"/>
        <v>3.9621758620555739E-2</v>
      </c>
    </row>
    <row r="48" spans="1:22" x14ac:dyDescent="0.15">
      <c r="T48" s="3">
        <v>23.5</v>
      </c>
      <c r="U48" s="6">
        <f t="shared" si="7"/>
        <v>3.9457231458035522E-2</v>
      </c>
      <c r="V48" s="6">
        <f t="shared" si="8"/>
        <v>3.9456762109236813E-2</v>
      </c>
    </row>
    <row r="49" spans="16:22" x14ac:dyDescent="0.15">
      <c r="P49"/>
      <c r="Q49"/>
      <c r="R49"/>
      <c r="S49"/>
      <c r="T49" s="3">
        <v>24</v>
      </c>
      <c r="U49" s="6">
        <f t="shared" si="7"/>
        <v>3.9295071161920034E-2</v>
      </c>
      <c r="V49" s="6">
        <f t="shared" si="8"/>
        <v>3.9294338119648144E-2</v>
      </c>
    </row>
    <row r="50" spans="16:22" x14ac:dyDescent="0.15">
      <c r="P50"/>
      <c r="Q50"/>
      <c r="R50"/>
      <c r="S50"/>
      <c r="T50" s="3">
        <v>24.5</v>
      </c>
      <c r="U50" s="6">
        <f t="shared" si="7"/>
        <v>3.9048446614298273E-2</v>
      </c>
      <c r="V50" s="6">
        <f t="shared" si="8"/>
        <v>3.9134438571584843E-2</v>
      </c>
    </row>
    <row r="51" spans="16:22" x14ac:dyDescent="0.15">
      <c r="P51"/>
      <c r="Q51"/>
      <c r="R51"/>
      <c r="S51"/>
      <c r="T51" s="3">
        <v>25</v>
      </c>
      <c r="U51" s="6">
        <f t="shared" si="7"/>
        <v>3.8781981470685109E-2</v>
      </c>
      <c r="V51" s="6">
        <f t="shared" si="8"/>
        <v>3.8934029796164157E-2</v>
      </c>
    </row>
    <row r="52" spans="16:22" x14ac:dyDescent="0.15">
      <c r="P52"/>
      <c r="Q52"/>
      <c r="R52"/>
      <c r="S52"/>
      <c r="T52" s="3">
        <v>25.5</v>
      </c>
      <c r="U52" s="6">
        <f t="shared" si="7"/>
        <v>3.8515516327071952E-2</v>
      </c>
      <c r="V52" s="6">
        <f t="shared" si="8"/>
        <v>3.863133410397062E-2</v>
      </c>
    </row>
    <row r="53" spans="16:22" x14ac:dyDescent="0.15">
      <c r="P53"/>
      <c r="Q53"/>
      <c r="R53"/>
      <c r="S53"/>
      <c r="T53" s="3">
        <v>26</v>
      </c>
      <c r="U53" s="6">
        <f t="shared" si="7"/>
        <v>3.8166454951223658E-2</v>
      </c>
      <c r="V53" s="6">
        <f t="shared" si="8"/>
        <v>3.8167858333707533E-2</v>
      </c>
    </row>
    <row r="54" spans="16:22" x14ac:dyDescent="0.15">
      <c r="P54"/>
      <c r="Q54"/>
      <c r="R54"/>
      <c r="S54"/>
      <c r="T54" s="3">
        <v>26.5</v>
      </c>
      <c r="U54" s="6">
        <f t="shared" si="7"/>
        <v>3.7868644271686479E-2</v>
      </c>
      <c r="V54" s="6">
        <f t="shared" si="8"/>
        <v>3.7664311510450271E-2</v>
      </c>
    </row>
    <row r="55" spans="16:22" x14ac:dyDescent="0.15">
      <c r="P55"/>
      <c r="Q55"/>
      <c r="R55"/>
      <c r="S55"/>
      <c r="T55" s="3">
        <v>27</v>
      </c>
      <c r="U55" s="6">
        <f t="shared" si="7"/>
        <v>3.7625079769829886E-2</v>
      </c>
      <c r="V55" s="6">
        <f t="shared" si="8"/>
        <v>3.7244804044257035E-2</v>
      </c>
    </row>
    <row r="56" spans="16:22" x14ac:dyDescent="0.15">
      <c r="P56"/>
      <c r="Q56"/>
      <c r="R56"/>
      <c r="S56"/>
      <c r="T56" s="3">
        <v>27.5</v>
      </c>
      <c r="U56" s="6">
        <f t="shared" si="7"/>
        <v>3.7381515267973293E-2</v>
      </c>
      <c r="V56" s="6">
        <f t="shared" si="8"/>
        <v>3.690530136585151E-2</v>
      </c>
    </row>
    <row r="57" spans="16:22" x14ac:dyDescent="0.15">
      <c r="P57"/>
      <c r="Q57"/>
      <c r="R57"/>
      <c r="S57"/>
      <c r="T57" s="3">
        <v>28</v>
      </c>
      <c r="U57" s="6">
        <f t="shared" si="7"/>
        <v>3.7137950766116694E-2</v>
      </c>
      <c r="V57" s="6">
        <f t="shared" si="8"/>
        <v>3.664109348882811E-2</v>
      </c>
    </row>
    <row r="58" spans="16:22" x14ac:dyDescent="0.15">
      <c r="P58"/>
      <c r="Q58"/>
      <c r="R58"/>
      <c r="S58"/>
      <c r="T58" s="3">
        <v>28.5</v>
      </c>
      <c r="U58" s="6">
        <f t="shared" si="7"/>
        <v>3.6894386264260101E-2</v>
      </c>
      <c r="V58" s="6">
        <f t="shared" si="8"/>
        <v>3.644747042678121E-2</v>
      </c>
    </row>
    <row r="59" spans="16:22" x14ac:dyDescent="0.15">
      <c r="P59"/>
      <c r="Q59"/>
      <c r="R59"/>
      <c r="S59"/>
      <c r="T59" s="3">
        <v>29</v>
      </c>
      <c r="U59" s="6">
        <f t="shared" si="7"/>
        <v>3.6650821762403508E-2</v>
      </c>
      <c r="V59" s="6">
        <f t="shared" si="8"/>
        <v>3.6319722193305225E-2</v>
      </c>
    </row>
    <row r="60" spans="16:22" x14ac:dyDescent="0.15">
      <c r="P60"/>
      <c r="Q60"/>
      <c r="R60"/>
      <c r="S60"/>
      <c r="T60" s="3">
        <v>29.5</v>
      </c>
      <c r="U60" s="6">
        <f t="shared" si="7"/>
        <v>3.6407257260546909E-2</v>
      </c>
      <c r="V60" s="6">
        <f t="shared" si="8"/>
        <v>3.6253138801994551E-2</v>
      </c>
    </row>
    <row r="61" spans="16:22" x14ac:dyDescent="0.15">
      <c r="P61"/>
      <c r="Q61"/>
      <c r="R61"/>
      <c r="S61"/>
      <c r="T61" s="3">
        <v>30</v>
      </c>
      <c r="U61" s="6">
        <f t="shared" si="7"/>
        <v>3.6240395391871676E-2</v>
      </c>
      <c r="V61" s="6">
        <f t="shared" si="8"/>
        <v>3.6243010266443582E-2</v>
      </c>
    </row>
    <row r="62" spans="16:22" x14ac:dyDescent="0.15">
      <c r="P62"/>
      <c r="Q62"/>
      <c r="R62"/>
      <c r="S62"/>
      <c r="T62"/>
    </row>
    <row r="63" spans="16:22" x14ac:dyDescent="0.15">
      <c r="P63"/>
      <c r="Q63"/>
      <c r="R63"/>
      <c r="S63"/>
      <c r="T63"/>
    </row>
    <row r="64" spans="16:22" x14ac:dyDescent="0.15">
      <c r="P64"/>
      <c r="Q64"/>
      <c r="R64"/>
      <c r="S64"/>
      <c r="T64"/>
    </row>
    <row r="65" spans="16:20" x14ac:dyDescent="0.15">
      <c r="P65"/>
      <c r="Q65"/>
      <c r="R65"/>
      <c r="S65"/>
      <c r="T65"/>
    </row>
    <row r="66" spans="16:20" x14ac:dyDescent="0.15">
      <c r="P66"/>
      <c r="Q66"/>
      <c r="R66"/>
      <c r="S66"/>
      <c r="T66"/>
    </row>
    <row r="67" spans="16:20" x14ac:dyDescent="0.15">
      <c r="P67"/>
      <c r="Q67"/>
      <c r="R67"/>
      <c r="S67"/>
      <c r="T67"/>
    </row>
    <row r="68" spans="16:20" x14ac:dyDescent="0.15">
      <c r="P68"/>
      <c r="Q68"/>
      <c r="R68"/>
      <c r="S68"/>
      <c r="T68"/>
    </row>
    <row r="69" spans="16:20" x14ac:dyDescent="0.15">
      <c r="P69"/>
      <c r="Q69"/>
      <c r="R69"/>
      <c r="S69"/>
      <c r="T69"/>
    </row>
    <row r="70" spans="16:20" x14ac:dyDescent="0.15">
      <c r="P70"/>
      <c r="Q70"/>
      <c r="R70"/>
      <c r="S70"/>
      <c r="T70"/>
    </row>
    <row r="71" spans="16:20" x14ac:dyDescent="0.15">
      <c r="P71"/>
      <c r="Q71"/>
      <c r="R71"/>
      <c r="S71"/>
      <c r="T71"/>
    </row>
    <row r="72" spans="16:20" x14ac:dyDescent="0.15">
      <c r="P72"/>
      <c r="Q72"/>
      <c r="R72"/>
      <c r="S72"/>
      <c r="T72"/>
    </row>
    <row r="73" spans="16:20" x14ac:dyDescent="0.15">
      <c r="P73"/>
      <c r="Q73"/>
      <c r="R73"/>
      <c r="S73"/>
      <c r="T73"/>
    </row>
    <row r="74" spans="16:20" x14ac:dyDescent="0.15">
      <c r="P74"/>
      <c r="Q74"/>
      <c r="R74"/>
      <c r="S74"/>
      <c r="T74"/>
    </row>
    <row r="75" spans="16:20" x14ac:dyDescent="0.15">
      <c r="P75"/>
      <c r="Q75"/>
      <c r="R75"/>
      <c r="S75"/>
      <c r="T75"/>
    </row>
    <row r="76" spans="16:20" x14ac:dyDescent="0.15">
      <c r="P76"/>
      <c r="Q76"/>
      <c r="R76"/>
      <c r="S76"/>
      <c r="T76"/>
    </row>
    <row r="77" spans="16:20" x14ac:dyDescent="0.15">
      <c r="P77"/>
      <c r="Q77"/>
      <c r="R77"/>
      <c r="S77"/>
      <c r="T77"/>
    </row>
    <row r="78" spans="16:20" x14ac:dyDescent="0.15">
      <c r="P78"/>
      <c r="Q78"/>
      <c r="R78"/>
      <c r="S78"/>
      <c r="T78"/>
    </row>
    <row r="79" spans="16:20" x14ac:dyDescent="0.15">
      <c r="P79"/>
      <c r="Q79"/>
      <c r="R79"/>
      <c r="S79"/>
      <c r="T7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C6E6-E6E6-3C43-A636-6D7773C0E082}">
  <dimension ref="A1:H65"/>
  <sheetViews>
    <sheetView zoomScale="75" zoomScaleNormal="100" workbookViewId="0">
      <selection sqref="A1:B31"/>
    </sheetView>
  </sheetViews>
  <sheetFormatPr baseColWidth="10" defaultColWidth="8.6640625" defaultRowHeight="16" x14ac:dyDescent="0.2"/>
  <cols>
    <col min="1" max="1" width="13.1640625" style="36" bestFit="1" customWidth="1"/>
    <col min="2" max="2" width="17.5" style="36" bestFit="1" customWidth="1"/>
    <col min="3" max="3" width="12.6640625" style="36" bestFit="1" customWidth="1"/>
    <col min="4" max="4" width="16.83203125" style="36" bestFit="1" customWidth="1"/>
    <col min="5" max="6" width="12.5" style="36" bestFit="1" customWidth="1"/>
    <col min="7" max="7" width="15.5" style="36" bestFit="1" customWidth="1"/>
    <col min="8" max="8" width="16.33203125" style="36" bestFit="1" customWidth="1"/>
    <col min="9" max="9" width="13.1640625" style="36" bestFit="1" customWidth="1"/>
    <col min="10" max="10" width="17.5" style="36" bestFit="1" customWidth="1"/>
    <col min="11" max="11" width="12.5" style="36" bestFit="1" customWidth="1"/>
    <col min="12" max="12" width="16.83203125" style="36" bestFit="1" customWidth="1"/>
    <col min="13" max="15" width="12.5" style="36" bestFit="1" customWidth="1"/>
    <col min="16" max="16384" width="8.6640625" style="36"/>
  </cols>
  <sheetData>
    <row r="1" spans="1:2" x14ac:dyDescent="0.2">
      <c r="A1" s="37" t="s">
        <v>33</v>
      </c>
      <c r="B1" s="37" t="s">
        <v>39</v>
      </c>
    </row>
    <row r="2" spans="1:2" x14ac:dyDescent="0.2">
      <c r="A2" s="36">
        <v>1</v>
      </c>
      <c r="B2" s="36">
        <v>4.6976899932084398E-2</v>
      </c>
    </row>
    <row r="3" spans="1:2" x14ac:dyDescent="0.2">
      <c r="A3" s="36">
        <v>2</v>
      </c>
      <c r="B3" s="36">
        <v>4.2103204486929696E-2</v>
      </c>
    </row>
    <row r="4" spans="1:2" x14ac:dyDescent="0.2">
      <c r="A4" s="36">
        <v>3</v>
      </c>
      <c r="B4" s="36">
        <v>3.8946241693508112E-2</v>
      </c>
    </row>
    <row r="5" spans="1:2" x14ac:dyDescent="0.2">
      <c r="A5" s="36">
        <v>4</v>
      </c>
      <c r="B5" s="36">
        <v>3.7377099703683137E-2</v>
      </c>
    </row>
    <row r="6" spans="1:2" x14ac:dyDescent="0.2">
      <c r="A6" s="36">
        <v>5</v>
      </c>
      <c r="B6" s="36">
        <v>3.6440531570222916E-2</v>
      </c>
    </row>
    <row r="7" spans="1:2" x14ac:dyDescent="0.2">
      <c r="A7" s="36">
        <v>6</v>
      </c>
      <c r="B7" s="36">
        <v>3.6438449399079871E-2</v>
      </c>
    </row>
    <row r="8" spans="1:2" x14ac:dyDescent="0.2">
      <c r="A8" s="36">
        <v>7</v>
      </c>
      <c r="B8" s="36">
        <v>3.5892557485239104E-2</v>
      </c>
    </row>
    <row r="9" spans="1:2" x14ac:dyDescent="0.2">
      <c r="A9" s="36">
        <v>8</v>
      </c>
      <c r="B9" s="36">
        <v>3.5669756766838125E-2</v>
      </c>
    </row>
    <row r="10" spans="1:2" x14ac:dyDescent="0.2">
      <c r="A10" s="36">
        <v>9</v>
      </c>
      <c r="B10" s="36">
        <v>3.5446956048437145E-2</v>
      </c>
    </row>
    <row r="11" spans="1:2" x14ac:dyDescent="0.2">
      <c r="A11" s="36">
        <v>10</v>
      </c>
      <c r="B11" s="36">
        <v>3.5239101716638611E-2</v>
      </c>
    </row>
    <row r="12" spans="1:2" x14ac:dyDescent="0.2">
      <c r="A12" s="36">
        <v>11</v>
      </c>
      <c r="B12" s="36">
        <v>3.5111223664028614E-2</v>
      </c>
    </row>
    <row r="13" spans="1:2" x14ac:dyDescent="0.2">
      <c r="A13" s="36">
        <v>12</v>
      </c>
      <c r="B13" s="36">
        <v>3.4983345611418623E-2</v>
      </c>
    </row>
    <row r="14" spans="1:2" x14ac:dyDescent="0.2">
      <c r="A14" s="36">
        <v>13</v>
      </c>
      <c r="B14" s="36">
        <v>3.4855467558808625E-2</v>
      </c>
    </row>
    <row r="15" spans="1:2" x14ac:dyDescent="0.2">
      <c r="A15" s="36">
        <v>14</v>
      </c>
      <c r="B15" s="36">
        <v>3.5521464120698475E-2</v>
      </c>
    </row>
    <row r="16" spans="1:2" x14ac:dyDescent="0.2">
      <c r="A16" s="36">
        <v>15</v>
      </c>
      <c r="B16" s="36">
        <v>3.6319426905345127E-2</v>
      </c>
    </row>
    <row r="17" spans="1:2" x14ac:dyDescent="0.2">
      <c r="A17" s="36">
        <v>16</v>
      </c>
      <c r="B17" s="36">
        <v>3.6980334394054681E-2</v>
      </c>
    </row>
    <row r="18" spans="1:2" x14ac:dyDescent="0.2">
      <c r="A18" s="36">
        <v>17</v>
      </c>
      <c r="B18" s="36">
        <v>3.7564445823970817E-2</v>
      </c>
    </row>
    <row r="19" spans="1:2" x14ac:dyDescent="0.2">
      <c r="A19" s="36">
        <v>18</v>
      </c>
      <c r="B19" s="36">
        <v>3.8310937891640473E-2</v>
      </c>
    </row>
    <row r="20" spans="1:2" x14ac:dyDescent="0.2">
      <c r="A20" s="36">
        <v>19</v>
      </c>
      <c r="B20" s="36">
        <v>3.9069630943248307E-2</v>
      </c>
    </row>
    <row r="21" spans="1:2" x14ac:dyDescent="0.2">
      <c r="A21" s="36">
        <v>20</v>
      </c>
      <c r="B21" s="36">
        <v>3.9481420069383405E-2</v>
      </c>
    </row>
    <row r="22" spans="1:2" x14ac:dyDescent="0.2">
      <c r="A22" s="36">
        <v>21</v>
      </c>
      <c r="B22" s="36">
        <v>3.9893872033070557E-2</v>
      </c>
    </row>
    <row r="23" spans="1:2" x14ac:dyDescent="0.2">
      <c r="A23" s="36">
        <v>22</v>
      </c>
      <c r="B23" s="36">
        <v>3.9860302772191179E-2</v>
      </c>
    </row>
    <row r="24" spans="1:2" x14ac:dyDescent="0.2">
      <c r="A24" s="36">
        <v>23</v>
      </c>
      <c r="B24" s="36">
        <v>3.9619390881372916E-2</v>
      </c>
    </row>
    <row r="25" spans="1:2" x14ac:dyDescent="0.2">
      <c r="A25" s="36">
        <v>24</v>
      </c>
      <c r="B25" s="36">
        <v>3.9295070370014847E-2</v>
      </c>
    </row>
    <row r="26" spans="1:2" x14ac:dyDescent="0.2">
      <c r="A26" s="36">
        <v>25</v>
      </c>
      <c r="B26" s="36">
        <v>3.8781981149881781E-2</v>
      </c>
    </row>
    <row r="27" spans="1:2" x14ac:dyDescent="0.2">
      <c r="A27" s="36">
        <v>26</v>
      </c>
      <c r="B27" s="36">
        <v>3.8166454519314441E-2</v>
      </c>
    </row>
    <row r="28" spans="1:2" x14ac:dyDescent="0.2">
      <c r="A28" s="36">
        <v>27</v>
      </c>
      <c r="B28" s="36">
        <v>3.7625079150024637E-2</v>
      </c>
    </row>
    <row r="29" spans="1:2" x14ac:dyDescent="0.2">
      <c r="A29" s="36">
        <v>28</v>
      </c>
      <c r="B29" s="36">
        <v>3.7137950300847676E-2</v>
      </c>
    </row>
    <row r="30" spans="1:2" x14ac:dyDescent="0.2">
      <c r="A30" s="36">
        <v>29</v>
      </c>
      <c r="B30" s="36">
        <v>3.6650821451670722E-2</v>
      </c>
    </row>
    <row r="31" spans="1:2" x14ac:dyDescent="0.2">
      <c r="A31" s="36">
        <v>30</v>
      </c>
      <c r="B31" s="36">
        <v>3.624039521134207E-2</v>
      </c>
    </row>
    <row r="33" spans="1:8" x14ac:dyDescent="0.2">
      <c r="A33" s="39" t="s">
        <v>49</v>
      </c>
      <c r="B33" s="39">
        <v>2</v>
      </c>
    </row>
    <row r="34" spans="1:8" x14ac:dyDescent="0.2">
      <c r="H34" s="38"/>
    </row>
    <row r="35" spans="1:8" x14ac:dyDescent="0.2">
      <c r="A35" s="37" t="s">
        <v>33</v>
      </c>
      <c r="B35" s="37" t="s">
        <v>39</v>
      </c>
      <c r="C35" s="36" t="s">
        <v>55</v>
      </c>
      <c r="E35" s="36" t="s">
        <v>50</v>
      </c>
      <c r="F35" s="36" t="s">
        <v>51</v>
      </c>
      <c r="G35" s="38" t="s">
        <v>52</v>
      </c>
      <c r="H35" s="38" t="s">
        <v>53</v>
      </c>
    </row>
    <row r="36" spans="1:8" x14ac:dyDescent="0.2">
      <c r="A36" s="36">
        <v>1</v>
      </c>
      <c r="B36" s="36">
        <f t="shared" ref="B36:B65" si="0">B2</f>
        <v>4.6976899932084398E-2</v>
      </c>
      <c r="C36" s="36">
        <f>B2</f>
        <v>4.6976899932084398E-2</v>
      </c>
      <c r="E36" s="36">
        <f>(1+B2/$B$33)^(A2)</f>
        <v>1.0234884499660422</v>
      </c>
    </row>
    <row r="37" spans="1:8" x14ac:dyDescent="0.2">
      <c r="A37" s="36">
        <v>2</v>
      </c>
      <c r="B37" s="36">
        <f t="shared" si="0"/>
        <v>4.2103204486929696E-2</v>
      </c>
      <c r="C37" s="36">
        <f t="shared" ref="C37:C65" si="1">((((1+B3/$B$33)^($B$33*A3))/((1+B2/$B$33)^(A2*$B$33)))^(0.5)-1)*2</f>
        <v>3.7241112937887788E-2</v>
      </c>
      <c r="E37" s="36">
        <f>(1+B37/$B$33)^(A37)</f>
        <v>1.0425463744439467</v>
      </c>
      <c r="F37" s="36">
        <f>E37/E36</f>
        <v>1.0186205564689439</v>
      </c>
      <c r="G37" s="36">
        <f>F37-1</f>
        <v>1.8620556468943894E-2</v>
      </c>
      <c r="H37" s="36">
        <f>G37*2</f>
        <v>3.7241112937887788E-2</v>
      </c>
    </row>
    <row r="38" spans="1:8" x14ac:dyDescent="0.2">
      <c r="A38" s="36">
        <v>3</v>
      </c>
      <c r="B38" s="36">
        <f t="shared" si="0"/>
        <v>3.8946241693508112E-2</v>
      </c>
      <c r="C38" s="36">
        <f t="shared" si="1"/>
        <v>3.264694995804085E-2</v>
      </c>
      <c r="E38" s="36">
        <f t="shared" ref="E38:E65" si="2">(1+B38/$B$33)^(A38)</f>
        <v>1.0595643541016511</v>
      </c>
      <c r="F38" s="36">
        <f t="shared" ref="F38:F65" si="3">E38/E37</f>
        <v>1.0163234749790206</v>
      </c>
      <c r="G38" s="36">
        <f t="shared" ref="G38:G65" si="4">F38-1</f>
        <v>1.6323474979020647E-2</v>
      </c>
      <c r="H38" s="36">
        <f t="shared" ref="H38:H65" si="5">G38*2</f>
        <v>3.2646949958041294E-2</v>
      </c>
    </row>
    <row r="39" spans="1:8" x14ac:dyDescent="0.2">
      <c r="A39" s="36">
        <v>4</v>
      </c>
      <c r="B39" s="36">
        <f t="shared" si="0"/>
        <v>3.7377099703683137E-2</v>
      </c>
      <c r="C39" s="36">
        <f t="shared" si="1"/>
        <v>3.2676915544294527E-2</v>
      </c>
      <c r="E39" s="36">
        <f t="shared" si="2"/>
        <v>1.0768760015580132</v>
      </c>
      <c r="F39" s="36">
        <f t="shared" si="3"/>
        <v>1.016338457772147</v>
      </c>
      <c r="G39" s="36">
        <f t="shared" si="4"/>
        <v>1.6338457772147041E-2</v>
      </c>
      <c r="H39" s="36">
        <f t="shared" si="5"/>
        <v>3.2676915544294083E-2</v>
      </c>
    </row>
    <row r="40" spans="1:8" x14ac:dyDescent="0.2">
      <c r="A40" s="36">
        <v>5</v>
      </c>
      <c r="B40" s="36">
        <f t="shared" si="0"/>
        <v>3.6440531570222916E-2</v>
      </c>
      <c r="C40" s="36">
        <f t="shared" si="1"/>
        <v>3.2698562396505704E-2</v>
      </c>
      <c r="E40" s="36">
        <f t="shared" si="2"/>
        <v>1.0944821501231354</v>
      </c>
      <c r="F40" s="36">
        <f t="shared" si="3"/>
        <v>1.0163492811982529</v>
      </c>
      <c r="G40" s="36">
        <f t="shared" si="4"/>
        <v>1.6349281198252852E-2</v>
      </c>
      <c r="H40" s="36">
        <f t="shared" si="5"/>
        <v>3.2698562396505704E-2</v>
      </c>
    </row>
    <row r="41" spans="1:8" x14ac:dyDescent="0.2">
      <c r="A41" s="36">
        <v>6</v>
      </c>
      <c r="B41" s="36">
        <f t="shared" si="0"/>
        <v>3.6438449399079871E-2</v>
      </c>
      <c r="C41" s="36">
        <f t="shared" si="1"/>
        <v>3.6428038575298416E-2</v>
      </c>
      <c r="E41" s="36">
        <f t="shared" si="2"/>
        <v>1.1144170691154658</v>
      </c>
      <c r="F41" s="36">
        <f t="shared" si="3"/>
        <v>1.018214019287649</v>
      </c>
      <c r="G41" s="36">
        <f t="shared" si="4"/>
        <v>1.8214019287648986E-2</v>
      </c>
      <c r="H41" s="36">
        <f t="shared" si="5"/>
        <v>3.6428038575297972E-2</v>
      </c>
    </row>
    <row r="42" spans="1:8" x14ac:dyDescent="0.2">
      <c r="A42" s="36">
        <v>7</v>
      </c>
      <c r="B42" s="36">
        <f t="shared" si="0"/>
        <v>3.5892557485239104E-2</v>
      </c>
      <c r="C42" s="36">
        <f t="shared" si="1"/>
        <v>3.2620277620929006E-2</v>
      </c>
      <c r="E42" s="36">
        <f t="shared" si="2"/>
        <v>1.1325933662054901</v>
      </c>
      <c r="F42" s="36">
        <f t="shared" si="3"/>
        <v>1.0163101388104645</v>
      </c>
      <c r="G42" s="36">
        <f t="shared" si="4"/>
        <v>1.6310138810464503E-2</v>
      </c>
      <c r="H42" s="36">
        <f t="shared" si="5"/>
        <v>3.2620277620929006E-2</v>
      </c>
    </row>
    <row r="43" spans="1:8" x14ac:dyDescent="0.2">
      <c r="A43" s="36">
        <v>8</v>
      </c>
      <c r="B43" s="36">
        <f t="shared" si="0"/>
        <v>3.5669756766838125E-2</v>
      </c>
      <c r="C43" s="36">
        <f t="shared" si="1"/>
        <v>3.4110834298761272E-2</v>
      </c>
      <c r="E43" s="36">
        <f t="shared" si="2"/>
        <v>1.151910218526746</v>
      </c>
      <c r="F43" s="36">
        <f t="shared" si="3"/>
        <v>1.0170554171493806</v>
      </c>
      <c r="G43" s="36">
        <f t="shared" si="4"/>
        <v>1.7055417149380636E-2</v>
      </c>
      <c r="H43" s="36">
        <f t="shared" si="5"/>
        <v>3.4110834298761272E-2</v>
      </c>
    </row>
    <row r="44" spans="1:8" x14ac:dyDescent="0.2">
      <c r="A44" s="36">
        <v>9</v>
      </c>
      <c r="B44" s="36">
        <f t="shared" si="0"/>
        <v>3.5446956048437145E-2</v>
      </c>
      <c r="C44" s="36">
        <f t="shared" si="1"/>
        <v>3.3665427943322168E-2</v>
      </c>
      <c r="E44" s="36">
        <f t="shared" si="2"/>
        <v>1.1712999937562403</v>
      </c>
      <c r="F44" s="36">
        <f t="shared" si="3"/>
        <v>1.0168327139716611</v>
      </c>
      <c r="G44" s="36">
        <f t="shared" si="4"/>
        <v>1.6832713971661084E-2</v>
      </c>
      <c r="H44" s="36">
        <f t="shared" si="5"/>
        <v>3.3665427943322168E-2</v>
      </c>
    </row>
    <row r="45" spans="1:8" x14ac:dyDescent="0.2">
      <c r="A45" s="36">
        <v>10</v>
      </c>
      <c r="B45" s="36">
        <f t="shared" si="0"/>
        <v>3.5239101716638611E-2</v>
      </c>
      <c r="C45" s="36">
        <f t="shared" si="1"/>
        <v>3.3369367618868662E-2</v>
      </c>
      <c r="E45" s="36">
        <f t="shared" si="2"/>
        <v>1.1908427637980556</v>
      </c>
      <c r="F45" s="36">
        <f t="shared" si="3"/>
        <v>1.0166846838094343</v>
      </c>
      <c r="G45" s="36">
        <f t="shared" si="4"/>
        <v>1.6684683809434331E-2</v>
      </c>
      <c r="H45" s="36">
        <f t="shared" si="5"/>
        <v>3.3369367618868662E-2</v>
      </c>
    </row>
    <row r="46" spans="1:8" x14ac:dyDescent="0.2">
      <c r="A46" s="36">
        <v>11</v>
      </c>
      <c r="B46" s="36">
        <f t="shared" si="0"/>
        <v>3.5111223664028614E-2</v>
      </c>
      <c r="C46" s="36">
        <f t="shared" si="1"/>
        <v>3.3832884970188104E-2</v>
      </c>
      <c r="E46" s="36">
        <f t="shared" si="2"/>
        <v>1.2109875869206359</v>
      </c>
      <c r="F46" s="36">
        <f t="shared" si="3"/>
        <v>1.0169164424850941</v>
      </c>
      <c r="G46" s="36">
        <f t="shared" si="4"/>
        <v>1.6916442485094052E-2</v>
      </c>
      <c r="H46" s="36">
        <f t="shared" si="5"/>
        <v>3.3832884970188104E-2</v>
      </c>
    </row>
    <row r="47" spans="1:8" x14ac:dyDescent="0.2">
      <c r="A47" s="36">
        <v>12</v>
      </c>
      <c r="B47" s="36">
        <f t="shared" si="0"/>
        <v>3.4983345611418623E-2</v>
      </c>
      <c r="C47" s="36">
        <f t="shared" si="1"/>
        <v>3.3577217253619729E-2</v>
      </c>
      <c r="E47" s="36">
        <f t="shared" si="2"/>
        <v>1.2313183835693715</v>
      </c>
      <c r="F47" s="36">
        <f t="shared" si="3"/>
        <v>1.0167886086268101</v>
      </c>
      <c r="G47" s="36">
        <f t="shared" si="4"/>
        <v>1.6788608626810086E-2</v>
      </c>
      <c r="H47" s="36">
        <f t="shared" si="5"/>
        <v>3.3577217253620173E-2</v>
      </c>
    </row>
    <row r="48" spans="1:8" x14ac:dyDescent="0.2">
      <c r="A48" s="36">
        <v>13</v>
      </c>
      <c r="B48" s="36">
        <f t="shared" si="0"/>
        <v>3.4855467558808625E-2</v>
      </c>
      <c r="C48" s="36">
        <f t="shared" si="1"/>
        <v>3.3321557578445127E-2</v>
      </c>
      <c r="E48" s="36">
        <f t="shared" si="2"/>
        <v>1.2518331067771238</v>
      </c>
      <c r="F48" s="36">
        <f t="shared" si="3"/>
        <v>1.0166607787892226</v>
      </c>
      <c r="G48" s="36">
        <f t="shared" si="4"/>
        <v>1.6660778789222563E-2</v>
      </c>
      <c r="H48" s="36">
        <f t="shared" si="5"/>
        <v>3.3321557578445127E-2</v>
      </c>
    </row>
    <row r="49" spans="1:8" x14ac:dyDescent="0.2">
      <c r="A49" s="36">
        <v>14</v>
      </c>
      <c r="B49" s="36">
        <f t="shared" si="0"/>
        <v>3.5521464120698475E-2</v>
      </c>
      <c r="C49" s="36">
        <f t="shared" si="1"/>
        <v>4.4199281312291561E-2</v>
      </c>
      <c r="E49" s="36">
        <f t="shared" si="2"/>
        <v>1.2794981685983646</v>
      </c>
      <c r="F49" s="36">
        <f t="shared" si="3"/>
        <v>1.0220996406561456</v>
      </c>
      <c r="G49" s="36">
        <f t="shared" si="4"/>
        <v>2.2099640656145558E-2</v>
      </c>
      <c r="H49" s="36">
        <f t="shared" si="5"/>
        <v>4.4199281312291117E-2</v>
      </c>
    </row>
    <row r="50" spans="1:8" x14ac:dyDescent="0.2">
      <c r="A50" s="36">
        <v>15</v>
      </c>
      <c r="B50" s="36">
        <f t="shared" si="0"/>
        <v>3.6319426905345127E-2</v>
      </c>
      <c r="C50" s="36">
        <f t="shared" si="1"/>
        <v>4.7523807480330582E-2</v>
      </c>
      <c r="E50" s="36">
        <f t="shared" si="2"/>
        <v>1.309901480916317</v>
      </c>
      <c r="F50" s="36">
        <f t="shared" si="3"/>
        <v>1.0237619037401655</v>
      </c>
      <c r="G50" s="36">
        <f t="shared" si="4"/>
        <v>2.3761903740165513E-2</v>
      </c>
      <c r="H50" s="36">
        <f t="shared" si="5"/>
        <v>4.7523807480331026E-2</v>
      </c>
    </row>
    <row r="51" spans="1:8" x14ac:dyDescent="0.2">
      <c r="A51" s="36">
        <v>16</v>
      </c>
      <c r="B51" s="36">
        <f t="shared" si="0"/>
        <v>3.6980334394054681E-2</v>
      </c>
      <c r="C51" s="36">
        <f t="shared" si="1"/>
        <v>4.6919726235437498E-2</v>
      </c>
      <c r="E51" s="36">
        <f t="shared" si="2"/>
        <v>1.3406315903563109</v>
      </c>
      <c r="F51" s="36">
        <f t="shared" si="3"/>
        <v>1.0234598631177187</v>
      </c>
      <c r="G51" s="36">
        <f t="shared" si="4"/>
        <v>2.3459863117718749E-2</v>
      </c>
      <c r="H51" s="36">
        <f t="shared" si="5"/>
        <v>4.6919726235437498E-2</v>
      </c>
    </row>
    <row r="52" spans="1:8" x14ac:dyDescent="0.2">
      <c r="A52" s="36">
        <v>17</v>
      </c>
      <c r="B52" s="36">
        <f t="shared" si="0"/>
        <v>3.7564445823970817E-2</v>
      </c>
      <c r="C52" s="36">
        <f t="shared" si="1"/>
        <v>4.6933040858875952E-2</v>
      </c>
      <c r="E52" s="36">
        <f t="shared" si="2"/>
        <v>1.3720915489597572</v>
      </c>
      <c r="F52" s="36">
        <f t="shared" si="3"/>
        <v>1.023466520429438</v>
      </c>
      <c r="G52" s="36">
        <f t="shared" si="4"/>
        <v>2.3466520429437976E-2</v>
      </c>
      <c r="H52" s="36">
        <f t="shared" si="5"/>
        <v>4.6933040858875952E-2</v>
      </c>
    </row>
    <row r="53" spans="1:8" x14ac:dyDescent="0.2">
      <c r="A53" s="36">
        <v>18</v>
      </c>
      <c r="B53" s="36">
        <f t="shared" si="0"/>
        <v>3.8310937891640473E-2</v>
      </c>
      <c r="C53" s="36">
        <f t="shared" si="1"/>
        <v>5.1043228652607908E-2</v>
      </c>
      <c r="E53" s="36">
        <f t="shared" si="2"/>
        <v>1.4071095402926892</v>
      </c>
      <c r="F53" s="36">
        <f t="shared" si="3"/>
        <v>1.025521614326304</v>
      </c>
      <c r="G53" s="36">
        <f t="shared" si="4"/>
        <v>2.5521614326303954E-2</v>
      </c>
      <c r="H53" s="36">
        <f t="shared" si="5"/>
        <v>5.1043228652607908E-2</v>
      </c>
    </row>
    <row r="54" spans="1:8" x14ac:dyDescent="0.2">
      <c r="A54" s="36">
        <v>19</v>
      </c>
      <c r="B54" s="36">
        <f t="shared" si="0"/>
        <v>3.9069630943248307E-2</v>
      </c>
      <c r="C54" s="36">
        <f t="shared" si="1"/>
        <v>5.2774497954721777E-2</v>
      </c>
      <c r="E54" s="36">
        <f t="shared" si="2"/>
        <v>1.4442392900708123</v>
      </c>
      <c r="F54" s="36">
        <f t="shared" si="3"/>
        <v>1.0263872489773609</v>
      </c>
      <c r="G54" s="36">
        <f t="shared" si="4"/>
        <v>2.6387248977360889E-2</v>
      </c>
      <c r="H54" s="36">
        <f t="shared" si="5"/>
        <v>5.2774497954721777E-2</v>
      </c>
    </row>
    <row r="55" spans="1:8" x14ac:dyDescent="0.2">
      <c r="A55" s="36">
        <v>20</v>
      </c>
      <c r="B55" s="36">
        <f t="shared" si="0"/>
        <v>3.9481420069383405E-2</v>
      </c>
      <c r="C55" s="36">
        <f t="shared" si="1"/>
        <v>4.7321233144676622E-2</v>
      </c>
      <c r="E55" s="36">
        <f t="shared" si="2"/>
        <v>1.4784108821518838</v>
      </c>
      <c r="F55" s="36">
        <f t="shared" si="3"/>
        <v>1.0236606165723383</v>
      </c>
      <c r="G55" s="36">
        <f t="shared" si="4"/>
        <v>2.3660616572338311E-2</v>
      </c>
      <c r="H55" s="36">
        <f t="shared" si="5"/>
        <v>4.7321233144676622E-2</v>
      </c>
    </row>
    <row r="56" spans="1:8" x14ac:dyDescent="0.2">
      <c r="A56" s="36">
        <v>21</v>
      </c>
      <c r="B56" s="36">
        <f t="shared" si="0"/>
        <v>3.9893872033070557E-2</v>
      </c>
      <c r="C56" s="36">
        <f t="shared" si="1"/>
        <v>4.8160450220582796E-2</v>
      </c>
      <c r="E56" s="36">
        <f t="shared" si="2"/>
        <v>1.5140113489996057</v>
      </c>
      <c r="F56" s="36">
        <f t="shared" si="3"/>
        <v>1.0240802251102914</v>
      </c>
      <c r="G56" s="36">
        <f t="shared" si="4"/>
        <v>2.4080225110291398E-2</v>
      </c>
      <c r="H56" s="36">
        <f t="shared" si="5"/>
        <v>4.8160450220582796E-2</v>
      </c>
    </row>
    <row r="57" spans="1:8" x14ac:dyDescent="0.2">
      <c r="A57" s="36">
        <v>22</v>
      </c>
      <c r="B57" s="36">
        <f t="shared" si="0"/>
        <v>3.9860302772191179E-2</v>
      </c>
      <c r="C57" s="36">
        <f t="shared" si="1"/>
        <v>3.9155475890690017E-2</v>
      </c>
      <c r="E57" s="36">
        <f t="shared" si="2"/>
        <v>1.5436522664365981</v>
      </c>
      <c r="F57" s="36">
        <f t="shared" si="3"/>
        <v>1.019577737945345</v>
      </c>
      <c r="G57" s="36">
        <f t="shared" si="4"/>
        <v>1.9577737945345008E-2</v>
      </c>
      <c r="H57" s="36">
        <f t="shared" si="5"/>
        <v>3.9155475890690017E-2</v>
      </c>
    </row>
    <row r="58" spans="1:8" x14ac:dyDescent="0.2">
      <c r="A58" s="36">
        <v>23</v>
      </c>
      <c r="B58" s="36">
        <f t="shared" si="0"/>
        <v>3.9619390881372916E-2</v>
      </c>
      <c r="C58" s="36">
        <f t="shared" si="1"/>
        <v>3.4326521745653871E-2</v>
      </c>
      <c r="E58" s="36">
        <f t="shared" si="2"/>
        <v>1.5701463729823799</v>
      </c>
      <c r="F58" s="36">
        <f t="shared" si="3"/>
        <v>1.0171632608728269</v>
      </c>
      <c r="G58" s="36">
        <f t="shared" si="4"/>
        <v>1.7163260872826935E-2</v>
      </c>
      <c r="H58" s="36">
        <f t="shared" si="5"/>
        <v>3.4326521745653871E-2</v>
      </c>
    </row>
    <row r="59" spans="1:8" x14ac:dyDescent="0.2">
      <c r="A59" s="36">
        <v>24</v>
      </c>
      <c r="B59" s="36">
        <f t="shared" si="0"/>
        <v>3.9295070370014847E-2</v>
      </c>
      <c r="C59" s="36">
        <f t="shared" si="1"/>
        <v>3.1849915429577713E-2</v>
      </c>
      <c r="E59" s="36">
        <f t="shared" si="2"/>
        <v>1.5951508875781535</v>
      </c>
      <c r="F59" s="36">
        <f t="shared" si="3"/>
        <v>1.0159249577147889</v>
      </c>
      <c r="G59" s="36">
        <f t="shared" si="4"/>
        <v>1.5924957714788857E-2</v>
      </c>
      <c r="H59" s="36">
        <f t="shared" si="5"/>
        <v>3.1849915429577713E-2</v>
      </c>
    </row>
    <row r="60" spans="1:8" x14ac:dyDescent="0.2">
      <c r="A60" s="36">
        <v>25</v>
      </c>
      <c r="B60" s="36">
        <f t="shared" si="0"/>
        <v>3.8781981149881781E-2</v>
      </c>
      <c r="C60" s="36">
        <f t="shared" si="1"/>
        <v>2.6506493434636624E-2</v>
      </c>
      <c r="E60" s="36">
        <f t="shared" si="2"/>
        <v>1.6162918158425761</v>
      </c>
      <c r="F60" s="36">
        <f t="shared" si="3"/>
        <v>1.0132532467173183</v>
      </c>
      <c r="G60" s="36">
        <f t="shared" si="4"/>
        <v>1.3253246717318312E-2</v>
      </c>
      <c r="H60" s="36">
        <f t="shared" si="5"/>
        <v>2.6506493434636624E-2</v>
      </c>
    </row>
    <row r="61" spans="1:8" x14ac:dyDescent="0.2">
      <c r="A61" s="36">
        <v>26</v>
      </c>
      <c r="B61" s="36">
        <f t="shared" si="0"/>
        <v>3.8166454519314441E-2</v>
      </c>
      <c r="C61" s="36">
        <f t="shared" si="1"/>
        <v>2.2838538870625591E-2</v>
      </c>
      <c r="E61" s="36">
        <f t="shared" si="2"/>
        <v>1.6347486875737731</v>
      </c>
      <c r="F61" s="36">
        <f t="shared" si="3"/>
        <v>1.0114192694353126</v>
      </c>
      <c r="G61" s="36">
        <f t="shared" si="4"/>
        <v>1.1419269435312573E-2</v>
      </c>
      <c r="H61" s="36">
        <f t="shared" si="5"/>
        <v>2.2838538870625147E-2</v>
      </c>
    </row>
    <row r="62" spans="1:8" x14ac:dyDescent="0.2">
      <c r="A62" s="36">
        <v>27</v>
      </c>
      <c r="B62" s="36">
        <f t="shared" si="0"/>
        <v>3.7625079150024637E-2</v>
      </c>
      <c r="C62" s="36">
        <f t="shared" si="1"/>
        <v>2.3599681623376334E-2</v>
      </c>
      <c r="E62" s="36">
        <f t="shared" si="2"/>
        <v>1.6540384618542603</v>
      </c>
      <c r="F62" s="36">
        <f t="shared" si="3"/>
        <v>1.0117998408116884</v>
      </c>
      <c r="G62" s="36">
        <f t="shared" si="4"/>
        <v>1.1799840811688389E-2</v>
      </c>
      <c r="H62" s="36">
        <f t="shared" si="5"/>
        <v>2.3599681623376778E-2</v>
      </c>
    </row>
    <row r="63" spans="1:8" x14ac:dyDescent="0.2">
      <c r="A63" s="36">
        <v>28</v>
      </c>
      <c r="B63" s="36">
        <f t="shared" si="0"/>
        <v>3.7137950300847676E-2</v>
      </c>
      <c r="C63" s="36">
        <f t="shared" si="1"/>
        <v>2.4029400828055714E-2</v>
      </c>
      <c r="E63" s="36">
        <f t="shared" si="2"/>
        <v>1.6739112384467185</v>
      </c>
      <c r="F63" s="36">
        <f t="shared" si="3"/>
        <v>1.0120147004140279</v>
      </c>
      <c r="G63" s="36">
        <f t="shared" si="4"/>
        <v>1.2014700414027857E-2</v>
      </c>
      <c r="H63" s="36">
        <f t="shared" si="5"/>
        <v>2.4029400828055714E-2</v>
      </c>
    </row>
    <row r="64" spans="1:8" x14ac:dyDescent="0.2">
      <c r="A64" s="36">
        <v>29</v>
      </c>
      <c r="B64" s="36">
        <f t="shared" si="0"/>
        <v>3.6650821451670722E-2</v>
      </c>
      <c r="C64" s="36">
        <f t="shared" si="1"/>
        <v>2.3058404664836996E-2</v>
      </c>
      <c r="E64" s="36">
        <f t="shared" si="2"/>
        <v>1.6932100998012796</v>
      </c>
      <c r="F64" s="36">
        <f t="shared" si="3"/>
        <v>1.0115292023324183</v>
      </c>
      <c r="G64" s="36">
        <f t="shared" si="4"/>
        <v>1.1529202332418276E-2</v>
      </c>
      <c r="H64" s="36">
        <f t="shared" si="5"/>
        <v>2.3058404664836551E-2</v>
      </c>
    </row>
    <row r="65" spans="1:8" x14ac:dyDescent="0.2">
      <c r="A65" s="36">
        <v>30</v>
      </c>
      <c r="B65" s="36">
        <f t="shared" si="0"/>
        <v>3.624039521134207E-2</v>
      </c>
      <c r="C65" s="36">
        <f t="shared" si="1"/>
        <v>2.4373945152337484E-2</v>
      </c>
      <c r="E65" s="36">
        <f t="shared" si="2"/>
        <v>1.71384520485325</v>
      </c>
      <c r="F65" s="36">
        <f t="shared" si="3"/>
        <v>1.012186972576169</v>
      </c>
      <c r="G65" s="36">
        <f t="shared" si="4"/>
        <v>1.2186972576168964E-2</v>
      </c>
      <c r="H65" s="36">
        <f t="shared" si="5"/>
        <v>2.4373945152337928E-2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322A8-DECA-954A-B7DE-88918E75E0E8}">
  <dimension ref="A1:O131"/>
  <sheetViews>
    <sheetView zoomScale="75" zoomScaleNormal="100" workbookViewId="0">
      <selection activeCell="AH74" sqref="AH74"/>
    </sheetView>
  </sheetViews>
  <sheetFormatPr baseColWidth="10" defaultColWidth="8.6640625" defaultRowHeight="16" x14ac:dyDescent="0.2"/>
  <cols>
    <col min="1" max="1" width="13.1640625" style="36" bestFit="1" customWidth="1"/>
    <col min="2" max="2" width="17.5" style="36" bestFit="1" customWidth="1"/>
    <col min="3" max="3" width="12.6640625" style="36" bestFit="1" customWidth="1"/>
    <col min="4" max="4" width="16.83203125" style="36" bestFit="1" customWidth="1"/>
    <col min="5" max="6" width="12.5" style="36" bestFit="1" customWidth="1"/>
    <col min="7" max="7" width="15.5" style="36" bestFit="1" customWidth="1"/>
    <col min="8" max="8" width="16.33203125" style="36" bestFit="1" customWidth="1"/>
    <col min="9" max="9" width="13.1640625" style="36" bestFit="1" customWidth="1"/>
    <col min="10" max="10" width="17.5" style="36" bestFit="1" customWidth="1"/>
    <col min="11" max="11" width="12.5" style="36" bestFit="1" customWidth="1"/>
    <col min="12" max="12" width="16.83203125" style="36" bestFit="1" customWidth="1"/>
    <col min="13" max="15" width="12.5" style="36" bestFit="1" customWidth="1"/>
    <col min="16" max="16384" width="8.6640625" style="36"/>
  </cols>
  <sheetData>
    <row r="1" spans="1:2" x14ac:dyDescent="0.2">
      <c r="A1" s="37" t="s">
        <v>33</v>
      </c>
      <c r="B1" s="37" t="s">
        <v>39</v>
      </c>
    </row>
    <row r="2" spans="1:2" x14ac:dyDescent="0.2">
      <c r="A2" s="36">
        <v>1</v>
      </c>
      <c r="B2" s="36">
        <v>4.6976899932084398E-2</v>
      </c>
    </row>
    <row r="3" spans="1:2" x14ac:dyDescent="0.2">
      <c r="A3" s="36">
        <v>2</v>
      </c>
      <c r="B3" s="36">
        <v>4.2103204486929696E-2</v>
      </c>
    </row>
    <row r="4" spans="1:2" x14ac:dyDescent="0.2">
      <c r="A4" s="36">
        <v>3</v>
      </c>
      <c r="B4" s="36">
        <v>3.8946241693508112E-2</v>
      </c>
    </row>
    <row r="5" spans="1:2" x14ac:dyDescent="0.2">
      <c r="A5" s="36">
        <v>4</v>
      </c>
      <c r="B5" s="36">
        <v>3.7377099703683137E-2</v>
      </c>
    </row>
    <row r="6" spans="1:2" x14ac:dyDescent="0.2">
      <c r="A6" s="36">
        <v>5</v>
      </c>
      <c r="B6" s="36">
        <v>3.6440531570222916E-2</v>
      </c>
    </row>
    <row r="7" spans="1:2" x14ac:dyDescent="0.2">
      <c r="A7" s="36">
        <v>6</v>
      </c>
      <c r="B7" s="36">
        <v>3.6438449399079871E-2</v>
      </c>
    </row>
    <row r="8" spans="1:2" x14ac:dyDescent="0.2">
      <c r="A8" s="36">
        <v>7</v>
      </c>
      <c r="B8" s="36">
        <v>3.5892557485239104E-2</v>
      </c>
    </row>
    <row r="9" spans="1:2" x14ac:dyDescent="0.2">
      <c r="A9" s="36">
        <v>8</v>
      </c>
      <c r="B9" s="36">
        <v>3.5669756766838125E-2</v>
      </c>
    </row>
    <row r="10" spans="1:2" x14ac:dyDescent="0.2">
      <c r="A10" s="36">
        <v>9</v>
      </c>
      <c r="B10" s="36">
        <v>3.5446956048437145E-2</v>
      </c>
    </row>
    <row r="11" spans="1:2" x14ac:dyDescent="0.2">
      <c r="A11" s="36">
        <v>10</v>
      </c>
      <c r="B11" s="36">
        <v>3.5239101716638611E-2</v>
      </c>
    </row>
    <row r="12" spans="1:2" x14ac:dyDescent="0.2">
      <c r="A12" s="36">
        <v>11</v>
      </c>
      <c r="B12" s="36">
        <v>3.5111223664028614E-2</v>
      </c>
    </row>
    <row r="13" spans="1:2" x14ac:dyDescent="0.2">
      <c r="A13" s="36">
        <v>12</v>
      </c>
      <c r="B13" s="36">
        <v>3.4983345611418623E-2</v>
      </c>
    </row>
    <row r="14" spans="1:2" x14ac:dyDescent="0.2">
      <c r="A14" s="36">
        <v>13</v>
      </c>
      <c r="B14" s="36">
        <v>3.4855467558808625E-2</v>
      </c>
    </row>
    <row r="15" spans="1:2" x14ac:dyDescent="0.2">
      <c r="A15" s="36">
        <v>14</v>
      </c>
      <c r="B15" s="36">
        <v>3.5521464120698475E-2</v>
      </c>
    </row>
    <row r="16" spans="1:2" x14ac:dyDescent="0.2">
      <c r="A16" s="36">
        <v>15</v>
      </c>
      <c r="B16" s="36">
        <v>3.6319426905345127E-2</v>
      </c>
    </row>
    <row r="17" spans="1:2" x14ac:dyDescent="0.2">
      <c r="A17" s="36">
        <v>16</v>
      </c>
      <c r="B17" s="36">
        <v>3.6980334394054681E-2</v>
      </c>
    </row>
    <row r="18" spans="1:2" x14ac:dyDescent="0.2">
      <c r="A18" s="36">
        <v>17</v>
      </c>
      <c r="B18" s="36">
        <v>3.7564445823970817E-2</v>
      </c>
    </row>
    <row r="19" spans="1:2" x14ac:dyDescent="0.2">
      <c r="A19" s="36">
        <v>18</v>
      </c>
      <c r="B19" s="36">
        <v>3.8310937891640473E-2</v>
      </c>
    </row>
    <row r="20" spans="1:2" x14ac:dyDescent="0.2">
      <c r="A20" s="36">
        <v>19</v>
      </c>
      <c r="B20" s="36">
        <v>3.9069630943248307E-2</v>
      </c>
    </row>
    <row r="21" spans="1:2" x14ac:dyDescent="0.2">
      <c r="A21" s="36">
        <v>20</v>
      </c>
      <c r="B21" s="36">
        <v>3.9481420069383405E-2</v>
      </c>
    </row>
    <row r="22" spans="1:2" x14ac:dyDescent="0.2">
      <c r="A22" s="36">
        <v>21</v>
      </c>
      <c r="B22" s="36">
        <v>3.9893872033070557E-2</v>
      </c>
    </row>
    <row r="23" spans="1:2" x14ac:dyDescent="0.2">
      <c r="A23" s="36">
        <v>22</v>
      </c>
      <c r="B23" s="36">
        <v>3.9860302772191179E-2</v>
      </c>
    </row>
    <row r="24" spans="1:2" x14ac:dyDescent="0.2">
      <c r="A24" s="36">
        <v>23</v>
      </c>
      <c r="B24" s="36">
        <v>3.9619390881372916E-2</v>
      </c>
    </row>
    <row r="25" spans="1:2" x14ac:dyDescent="0.2">
      <c r="A25" s="36">
        <v>24</v>
      </c>
      <c r="B25" s="36">
        <v>3.9295070370014847E-2</v>
      </c>
    </row>
    <row r="26" spans="1:2" x14ac:dyDescent="0.2">
      <c r="A26" s="36">
        <v>25</v>
      </c>
      <c r="B26" s="36">
        <v>3.8781981149881781E-2</v>
      </c>
    </row>
    <row r="27" spans="1:2" x14ac:dyDescent="0.2">
      <c r="A27" s="36">
        <v>26</v>
      </c>
      <c r="B27" s="36">
        <v>3.8166454519314441E-2</v>
      </c>
    </row>
    <row r="28" spans="1:2" x14ac:dyDescent="0.2">
      <c r="A28" s="36">
        <v>27</v>
      </c>
      <c r="B28" s="36">
        <v>3.7625079150024637E-2</v>
      </c>
    </row>
    <row r="29" spans="1:2" x14ac:dyDescent="0.2">
      <c r="A29" s="36">
        <v>28</v>
      </c>
      <c r="B29" s="36">
        <v>3.7137950300847676E-2</v>
      </c>
    </row>
    <row r="30" spans="1:2" x14ac:dyDescent="0.2">
      <c r="A30" s="36">
        <v>29</v>
      </c>
      <c r="B30" s="36">
        <v>3.6650821451670722E-2</v>
      </c>
    </row>
    <row r="31" spans="1:2" x14ac:dyDescent="0.2">
      <c r="A31" s="36">
        <v>30</v>
      </c>
      <c r="B31" s="36">
        <v>3.624039521134207E-2</v>
      </c>
    </row>
    <row r="33" spans="1:8" x14ac:dyDescent="0.2">
      <c r="A33" s="39" t="s">
        <v>49</v>
      </c>
      <c r="B33" s="39">
        <v>2</v>
      </c>
    </row>
    <row r="34" spans="1:8" x14ac:dyDescent="0.2">
      <c r="H34" s="38"/>
    </row>
    <row r="35" spans="1:8" x14ac:dyDescent="0.2">
      <c r="A35" s="37" t="s">
        <v>33</v>
      </c>
      <c r="B35" s="37" t="s">
        <v>39</v>
      </c>
      <c r="C35" s="36" t="s">
        <v>55</v>
      </c>
      <c r="E35" s="36" t="s">
        <v>50</v>
      </c>
      <c r="F35" s="36" t="s">
        <v>51</v>
      </c>
      <c r="G35" s="38" t="s">
        <v>52</v>
      </c>
      <c r="H35" s="38" t="s">
        <v>53</v>
      </c>
    </row>
    <row r="36" spans="1:8" x14ac:dyDescent="0.2">
      <c r="A36" s="36">
        <v>1</v>
      </c>
      <c r="B36" s="36">
        <f t="shared" ref="B36:B65" si="0">B2</f>
        <v>4.6976899932084398E-2</v>
      </c>
      <c r="C36" s="36">
        <f>B2</f>
        <v>4.6976899932084398E-2</v>
      </c>
      <c r="E36" s="36">
        <f>(1+B2/$B$33)^(A2)</f>
        <v>1.0234884499660422</v>
      </c>
    </row>
    <row r="37" spans="1:8" x14ac:dyDescent="0.2">
      <c r="A37" s="36">
        <v>2</v>
      </c>
      <c r="B37" s="36">
        <f t="shared" si="0"/>
        <v>4.2103204486929696E-2</v>
      </c>
      <c r="C37" s="36">
        <f t="shared" ref="C37:C65" si="1">((((1+B3/$B$33)^($B$33*A3))/((1+B2/$B$33)^(A2*$B$33)))^(0.5)-1)*2</f>
        <v>3.7241112937887788E-2</v>
      </c>
      <c r="E37" s="36">
        <f>(1+B37/$B$33)^(A37)</f>
        <v>1.0425463744439467</v>
      </c>
      <c r="F37" s="36">
        <f>E37/E36</f>
        <v>1.0186205564689439</v>
      </c>
      <c r="G37" s="36">
        <f>F37-1</f>
        <v>1.8620556468943894E-2</v>
      </c>
      <c r="H37" s="36">
        <f>G37*2</f>
        <v>3.7241112937887788E-2</v>
      </c>
    </row>
    <row r="38" spans="1:8" x14ac:dyDescent="0.2">
      <c r="A38" s="36">
        <v>3</v>
      </c>
      <c r="B38" s="36">
        <f t="shared" si="0"/>
        <v>3.8946241693508112E-2</v>
      </c>
      <c r="C38" s="36">
        <f t="shared" si="1"/>
        <v>3.264694995804085E-2</v>
      </c>
      <c r="E38" s="36">
        <f t="shared" ref="E38:E65" si="2">(1+B38/$B$33)^(A38)</f>
        <v>1.0595643541016511</v>
      </c>
      <c r="F38" s="36">
        <f t="shared" ref="F38:F65" si="3">E38/E37</f>
        <v>1.0163234749790206</v>
      </c>
      <c r="G38" s="36">
        <f t="shared" ref="G38:G65" si="4">F38-1</f>
        <v>1.6323474979020647E-2</v>
      </c>
      <c r="H38" s="36">
        <f t="shared" ref="H38:H65" si="5">G38*2</f>
        <v>3.2646949958041294E-2</v>
      </c>
    </row>
    <row r="39" spans="1:8" x14ac:dyDescent="0.2">
      <c r="A39" s="36">
        <v>4</v>
      </c>
      <c r="B39" s="36">
        <f t="shared" si="0"/>
        <v>3.7377099703683137E-2</v>
      </c>
      <c r="C39" s="36">
        <f t="shared" si="1"/>
        <v>3.2676915544294527E-2</v>
      </c>
      <c r="E39" s="36">
        <f t="shared" si="2"/>
        <v>1.0768760015580132</v>
      </c>
      <c r="F39" s="36">
        <f t="shared" si="3"/>
        <v>1.016338457772147</v>
      </c>
      <c r="G39" s="36">
        <f t="shared" si="4"/>
        <v>1.6338457772147041E-2</v>
      </c>
      <c r="H39" s="36">
        <f t="shared" si="5"/>
        <v>3.2676915544294083E-2</v>
      </c>
    </row>
    <row r="40" spans="1:8" x14ac:dyDescent="0.2">
      <c r="A40" s="36">
        <v>5</v>
      </c>
      <c r="B40" s="36">
        <f t="shared" si="0"/>
        <v>3.6440531570222916E-2</v>
      </c>
      <c r="C40" s="36">
        <f t="shared" si="1"/>
        <v>3.2698562396505704E-2</v>
      </c>
      <c r="E40" s="36">
        <f t="shared" si="2"/>
        <v>1.0944821501231354</v>
      </c>
      <c r="F40" s="36">
        <f t="shared" si="3"/>
        <v>1.0163492811982529</v>
      </c>
      <c r="G40" s="36">
        <f t="shared" si="4"/>
        <v>1.6349281198252852E-2</v>
      </c>
      <c r="H40" s="36">
        <f t="shared" si="5"/>
        <v>3.2698562396505704E-2</v>
      </c>
    </row>
    <row r="41" spans="1:8" x14ac:dyDescent="0.2">
      <c r="A41" s="36">
        <v>6</v>
      </c>
      <c r="B41" s="36">
        <f t="shared" si="0"/>
        <v>3.6438449399079871E-2</v>
      </c>
      <c r="C41" s="36">
        <f t="shared" si="1"/>
        <v>3.6428038575298416E-2</v>
      </c>
      <c r="E41" s="36">
        <f t="shared" si="2"/>
        <v>1.1144170691154658</v>
      </c>
      <c r="F41" s="36">
        <f t="shared" si="3"/>
        <v>1.018214019287649</v>
      </c>
      <c r="G41" s="36">
        <f t="shared" si="4"/>
        <v>1.8214019287648986E-2</v>
      </c>
      <c r="H41" s="36">
        <f t="shared" si="5"/>
        <v>3.6428038575297972E-2</v>
      </c>
    </row>
    <row r="42" spans="1:8" x14ac:dyDescent="0.2">
      <c r="A42" s="36">
        <v>7</v>
      </c>
      <c r="B42" s="36">
        <f t="shared" si="0"/>
        <v>3.5892557485239104E-2</v>
      </c>
      <c r="C42" s="36">
        <f t="shared" si="1"/>
        <v>3.2620277620929006E-2</v>
      </c>
      <c r="E42" s="36">
        <f t="shared" si="2"/>
        <v>1.1325933662054901</v>
      </c>
      <c r="F42" s="36">
        <f t="shared" si="3"/>
        <v>1.0163101388104645</v>
      </c>
      <c r="G42" s="36">
        <f t="shared" si="4"/>
        <v>1.6310138810464503E-2</v>
      </c>
      <c r="H42" s="36">
        <f t="shared" si="5"/>
        <v>3.2620277620929006E-2</v>
      </c>
    </row>
    <row r="43" spans="1:8" x14ac:dyDescent="0.2">
      <c r="A43" s="36">
        <v>8</v>
      </c>
      <c r="B43" s="36">
        <f t="shared" si="0"/>
        <v>3.5669756766838125E-2</v>
      </c>
      <c r="C43" s="36">
        <f t="shared" si="1"/>
        <v>3.4110834298761272E-2</v>
      </c>
      <c r="E43" s="36">
        <f t="shared" si="2"/>
        <v>1.151910218526746</v>
      </c>
      <c r="F43" s="36">
        <f t="shared" si="3"/>
        <v>1.0170554171493806</v>
      </c>
      <c r="G43" s="36">
        <f t="shared" si="4"/>
        <v>1.7055417149380636E-2</v>
      </c>
      <c r="H43" s="36">
        <f t="shared" si="5"/>
        <v>3.4110834298761272E-2</v>
      </c>
    </row>
    <row r="44" spans="1:8" x14ac:dyDescent="0.2">
      <c r="A44" s="36">
        <v>9</v>
      </c>
      <c r="B44" s="36">
        <f t="shared" si="0"/>
        <v>3.5446956048437145E-2</v>
      </c>
      <c r="C44" s="36">
        <f t="shared" si="1"/>
        <v>3.3665427943322168E-2</v>
      </c>
      <c r="E44" s="36">
        <f t="shared" si="2"/>
        <v>1.1712999937562403</v>
      </c>
      <c r="F44" s="36">
        <f t="shared" si="3"/>
        <v>1.0168327139716611</v>
      </c>
      <c r="G44" s="36">
        <f t="shared" si="4"/>
        <v>1.6832713971661084E-2</v>
      </c>
      <c r="H44" s="36">
        <f t="shared" si="5"/>
        <v>3.3665427943322168E-2</v>
      </c>
    </row>
    <row r="45" spans="1:8" x14ac:dyDescent="0.2">
      <c r="A45" s="36">
        <v>10</v>
      </c>
      <c r="B45" s="36">
        <f t="shared" si="0"/>
        <v>3.5239101716638611E-2</v>
      </c>
      <c r="C45" s="36">
        <f t="shared" si="1"/>
        <v>3.3369367618868662E-2</v>
      </c>
      <c r="E45" s="36">
        <f t="shared" si="2"/>
        <v>1.1908427637980556</v>
      </c>
      <c r="F45" s="36">
        <f t="shared" si="3"/>
        <v>1.0166846838094343</v>
      </c>
      <c r="G45" s="36">
        <f t="shared" si="4"/>
        <v>1.6684683809434331E-2</v>
      </c>
      <c r="H45" s="36">
        <f t="shared" si="5"/>
        <v>3.3369367618868662E-2</v>
      </c>
    </row>
    <row r="46" spans="1:8" x14ac:dyDescent="0.2">
      <c r="A46" s="36">
        <v>11</v>
      </c>
      <c r="B46" s="36">
        <f t="shared" si="0"/>
        <v>3.5111223664028614E-2</v>
      </c>
      <c r="C46" s="36">
        <f t="shared" si="1"/>
        <v>3.3832884970188104E-2</v>
      </c>
      <c r="E46" s="36">
        <f t="shared" si="2"/>
        <v>1.2109875869206359</v>
      </c>
      <c r="F46" s="36">
        <f t="shared" si="3"/>
        <v>1.0169164424850941</v>
      </c>
      <c r="G46" s="36">
        <f t="shared" si="4"/>
        <v>1.6916442485094052E-2</v>
      </c>
      <c r="H46" s="36">
        <f t="shared" si="5"/>
        <v>3.3832884970188104E-2</v>
      </c>
    </row>
    <row r="47" spans="1:8" x14ac:dyDescent="0.2">
      <c r="A47" s="36">
        <v>12</v>
      </c>
      <c r="B47" s="36">
        <f t="shared" si="0"/>
        <v>3.4983345611418623E-2</v>
      </c>
      <c r="C47" s="36">
        <f t="shared" si="1"/>
        <v>3.3577217253619729E-2</v>
      </c>
      <c r="E47" s="36">
        <f t="shared" si="2"/>
        <v>1.2313183835693715</v>
      </c>
      <c r="F47" s="36">
        <f t="shared" si="3"/>
        <v>1.0167886086268101</v>
      </c>
      <c r="G47" s="36">
        <f t="shared" si="4"/>
        <v>1.6788608626810086E-2</v>
      </c>
      <c r="H47" s="36">
        <f t="shared" si="5"/>
        <v>3.3577217253620173E-2</v>
      </c>
    </row>
    <row r="48" spans="1:8" x14ac:dyDescent="0.2">
      <c r="A48" s="36">
        <v>13</v>
      </c>
      <c r="B48" s="36">
        <f t="shared" si="0"/>
        <v>3.4855467558808625E-2</v>
      </c>
      <c r="C48" s="36">
        <f t="shared" si="1"/>
        <v>3.3321557578445127E-2</v>
      </c>
      <c r="E48" s="36">
        <f t="shared" si="2"/>
        <v>1.2518331067771238</v>
      </c>
      <c r="F48" s="36">
        <f t="shared" si="3"/>
        <v>1.0166607787892226</v>
      </c>
      <c r="G48" s="36">
        <f t="shared" si="4"/>
        <v>1.6660778789222563E-2</v>
      </c>
      <c r="H48" s="36">
        <f t="shared" si="5"/>
        <v>3.3321557578445127E-2</v>
      </c>
    </row>
    <row r="49" spans="1:8" x14ac:dyDescent="0.2">
      <c r="A49" s="36">
        <v>14</v>
      </c>
      <c r="B49" s="36">
        <f t="shared" si="0"/>
        <v>3.5521464120698475E-2</v>
      </c>
      <c r="C49" s="36">
        <f t="shared" si="1"/>
        <v>4.4199281312291561E-2</v>
      </c>
      <c r="E49" s="36">
        <f t="shared" si="2"/>
        <v>1.2794981685983646</v>
      </c>
      <c r="F49" s="36">
        <f t="shared" si="3"/>
        <v>1.0220996406561456</v>
      </c>
      <c r="G49" s="36">
        <f t="shared" si="4"/>
        <v>2.2099640656145558E-2</v>
      </c>
      <c r="H49" s="36">
        <f t="shared" si="5"/>
        <v>4.4199281312291117E-2</v>
      </c>
    </row>
    <row r="50" spans="1:8" x14ac:dyDescent="0.2">
      <c r="A50" s="36">
        <v>15</v>
      </c>
      <c r="B50" s="36">
        <f t="shared" si="0"/>
        <v>3.6319426905345127E-2</v>
      </c>
      <c r="C50" s="36">
        <f t="shared" si="1"/>
        <v>4.7523807480330582E-2</v>
      </c>
      <c r="E50" s="36">
        <f t="shared" si="2"/>
        <v>1.309901480916317</v>
      </c>
      <c r="F50" s="36">
        <f t="shared" si="3"/>
        <v>1.0237619037401655</v>
      </c>
      <c r="G50" s="36">
        <f t="shared" si="4"/>
        <v>2.3761903740165513E-2</v>
      </c>
      <c r="H50" s="36">
        <f t="shared" si="5"/>
        <v>4.7523807480331026E-2</v>
      </c>
    </row>
    <row r="51" spans="1:8" x14ac:dyDescent="0.2">
      <c r="A51" s="36">
        <v>16</v>
      </c>
      <c r="B51" s="36">
        <f t="shared" si="0"/>
        <v>3.6980334394054681E-2</v>
      </c>
      <c r="C51" s="36">
        <f t="shared" si="1"/>
        <v>4.6919726235437498E-2</v>
      </c>
      <c r="E51" s="36">
        <f t="shared" si="2"/>
        <v>1.3406315903563109</v>
      </c>
      <c r="F51" s="36">
        <f t="shared" si="3"/>
        <v>1.0234598631177187</v>
      </c>
      <c r="G51" s="36">
        <f t="shared" si="4"/>
        <v>2.3459863117718749E-2</v>
      </c>
      <c r="H51" s="36">
        <f t="shared" si="5"/>
        <v>4.6919726235437498E-2</v>
      </c>
    </row>
    <row r="52" spans="1:8" x14ac:dyDescent="0.2">
      <c r="A52" s="36">
        <v>17</v>
      </c>
      <c r="B52" s="36">
        <f t="shared" si="0"/>
        <v>3.7564445823970817E-2</v>
      </c>
      <c r="C52" s="36">
        <f t="shared" si="1"/>
        <v>4.6933040858875952E-2</v>
      </c>
      <c r="E52" s="36">
        <f t="shared" si="2"/>
        <v>1.3720915489597572</v>
      </c>
      <c r="F52" s="36">
        <f t="shared" si="3"/>
        <v>1.023466520429438</v>
      </c>
      <c r="G52" s="36">
        <f t="shared" si="4"/>
        <v>2.3466520429437976E-2</v>
      </c>
      <c r="H52" s="36">
        <f t="shared" si="5"/>
        <v>4.6933040858875952E-2</v>
      </c>
    </row>
    <row r="53" spans="1:8" x14ac:dyDescent="0.2">
      <c r="A53" s="36">
        <v>18</v>
      </c>
      <c r="B53" s="36">
        <f t="shared" si="0"/>
        <v>3.8310937891640473E-2</v>
      </c>
      <c r="C53" s="36">
        <f t="shared" si="1"/>
        <v>5.1043228652607908E-2</v>
      </c>
      <c r="E53" s="36">
        <f t="shared" si="2"/>
        <v>1.4071095402926892</v>
      </c>
      <c r="F53" s="36">
        <f t="shared" si="3"/>
        <v>1.025521614326304</v>
      </c>
      <c r="G53" s="36">
        <f t="shared" si="4"/>
        <v>2.5521614326303954E-2</v>
      </c>
      <c r="H53" s="36">
        <f t="shared" si="5"/>
        <v>5.1043228652607908E-2</v>
      </c>
    </row>
    <row r="54" spans="1:8" x14ac:dyDescent="0.2">
      <c r="A54" s="36">
        <v>19</v>
      </c>
      <c r="B54" s="36">
        <f t="shared" si="0"/>
        <v>3.9069630943248307E-2</v>
      </c>
      <c r="C54" s="36">
        <f t="shared" si="1"/>
        <v>5.2774497954721777E-2</v>
      </c>
      <c r="E54" s="36">
        <f t="shared" si="2"/>
        <v>1.4442392900708123</v>
      </c>
      <c r="F54" s="36">
        <f t="shared" si="3"/>
        <v>1.0263872489773609</v>
      </c>
      <c r="G54" s="36">
        <f t="shared" si="4"/>
        <v>2.6387248977360889E-2</v>
      </c>
      <c r="H54" s="36">
        <f t="shared" si="5"/>
        <v>5.2774497954721777E-2</v>
      </c>
    </row>
    <row r="55" spans="1:8" x14ac:dyDescent="0.2">
      <c r="A55" s="36">
        <v>20</v>
      </c>
      <c r="B55" s="36">
        <f t="shared" si="0"/>
        <v>3.9481420069383405E-2</v>
      </c>
      <c r="C55" s="36">
        <f t="shared" si="1"/>
        <v>4.7321233144676622E-2</v>
      </c>
      <c r="E55" s="36">
        <f t="shared" si="2"/>
        <v>1.4784108821518838</v>
      </c>
      <c r="F55" s="36">
        <f t="shared" si="3"/>
        <v>1.0236606165723383</v>
      </c>
      <c r="G55" s="36">
        <f t="shared" si="4"/>
        <v>2.3660616572338311E-2</v>
      </c>
      <c r="H55" s="36">
        <f t="shared" si="5"/>
        <v>4.7321233144676622E-2</v>
      </c>
    </row>
    <row r="56" spans="1:8" x14ac:dyDescent="0.2">
      <c r="A56" s="36">
        <v>21</v>
      </c>
      <c r="B56" s="36">
        <f t="shared" si="0"/>
        <v>3.9893872033070557E-2</v>
      </c>
      <c r="C56" s="36">
        <f t="shared" si="1"/>
        <v>4.8160450220582796E-2</v>
      </c>
      <c r="E56" s="36">
        <f t="shared" si="2"/>
        <v>1.5140113489996057</v>
      </c>
      <c r="F56" s="36">
        <f t="shared" si="3"/>
        <v>1.0240802251102914</v>
      </c>
      <c r="G56" s="36">
        <f t="shared" si="4"/>
        <v>2.4080225110291398E-2</v>
      </c>
      <c r="H56" s="36">
        <f t="shared" si="5"/>
        <v>4.8160450220582796E-2</v>
      </c>
    </row>
    <row r="57" spans="1:8" x14ac:dyDescent="0.2">
      <c r="A57" s="36">
        <v>22</v>
      </c>
      <c r="B57" s="36">
        <f t="shared" si="0"/>
        <v>3.9860302772191179E-2</v>
      </c>
      <c r="C57" s="36">
        <f t="shared" si="1"/>
        <v>3.9155475890690017E-2</v>
      </c>
      <c r="E57" s="36">
        <f t="shared" si="2"/>
        <v>1.5436522664365981</v>
      </c>
      <c r="F57" s="36">
        <f t="shared" si="3"/>
        <v>1.019577737945345</v>
      </c>
      <c r="G57" s="36">
        <f t="shared" si="4"/>
        <v>1.9577737945345008E-2</v>
      </c>
      <c r="H57" s="36">
        <f t="shared" si="5"/>
        <v>3.9155475890690017E-2</v>
      </c>
    </row>
    <row r="58" spans="1:8" x14ac:dyDescent="0.2">
      <c r="A58" s="36">
        <v>23</v>
      </c>
      <c r="B58" s="36">
        <f t="shared" si="0"/>
        <v>3.9619390881372916E-2</v>
      </c>
      <c r="C58" s="36">
        <f t="shared" si="1"/>
        <v>3.4326521745653871E-2</v>
      </c>
      <c r="E58" s="36">
        <f t="shared" si="2"/>
        <v>1.5701463729823799</v>
      </c>
      <c r="F58" s="36">
        <f t="shared" si="3"/>
        <v>1.0171632608728269</v>
      </c>
      <c r="G58" s="36">
        <f t="shared" si="4"/>
        <v>1.7163260872826935E-2</v>
      </c>
      <c r="H58" s="36">
        <f t="shared" si="5"/>
        <v>3.4326521745653871E-2</v>
      </c>
    </row>
    <row r="59" spans="1:8" x14ac:dyDescent="0.2">
      <c r="A59" s="36">
        <v>24</v>
      </c>
      <c r="B59" s="36">
        <f t="shared" si="0"/>
        <v>3.9295070370014847E-2</v>
      </c>
      <c r="C59" s="36">
        <f t="shared" si="1"/>
        <v>3.1849915429577713E-2</v>
      </c>
      <c r="E59" s="36">
        <f t="shared" si="2"/>
        <v>1.5951508875781535</v>
      </c>
      <c r="F59" s="36">
        <f t="shared" si="3"/>
        <v>1.0159249577147889</v>
      </c>
      <c r="G59" s="36">
        <f t="shared" si="4"/>
        <v>1.5924957714788857E-2</v>
      </c>
      <c r="H59" s="36">
        <f t="shared" si="5"/>
        <v>3.1849915429577713E-2</v>
      </c>
    </row>
    <row r="60" spans="1:8" x14ac:dyDescent="0.2">
      <c r="A60" s="36">
        <v>25</v>
      </c>
      <c r="B60" s="36">
        <f t="shared" si="0"/>
        <v>3.8781981149881781E-2</v>
      </c>
      <c r="C60" s="36">
        <f t="shared" si="1"/>
        <v>2.6506493434636624E-2</v>
      </c>
      <c r="E60" s="36">
        <f t="shared" si="2"/>
        <v>1.6162918158425761</v>
      </c>
      <c r="F60" s="36">
        <f t="shared" si="3"/>
        <v>1.0132532467173183</v>
      </c>
      <c r="G60" s="36">
        <f t="shared" si="4"/>
        <v>1.3253246717318312E-2</v>
      </c>
      <c r="H60" s="36">
        <f t="shared" si="5"/>
        <v>2.6506493434636624E-2</v>
      </c>
    </row>
    <row r="61" spans="1:8" x14ac:dyDescent="0.2">
      <c r="A61" s="36">
        <v>26</v>
      </c>
      <c r="B61" s="36">
        <f t="shared" si="0"/>
        <v>3.8166454519314441E-2</v>
      </c>
      <c r="C61" s="36">
        <f t="shared" si="1"/>
        <v>2.2838538870625591E-2</v>
      </c>
      <c r="E61" s="36">
        <f t="shared" si="2"/>
        <v>1.6347486875737731</v>
      </c>
      <c r="F61" s="36">
        <f t="shared" si="3"/>
        <v>1.0114192694353126</v>
      </c>
      <c r="G61" s="36">
        <f t="shared" si="4"/>
        <v>1.1419269435312573E-2</v>
      </c>
      <c r="H61" s="36">
        <f t="shared" si="5"/>
        <v>2.2838538870625147E-2</v>
      </c>
    </row>
    <row r="62" spans="1:8" x14ac:dyDescent="0.2">
      <c r="A62" s="36">
        <v>27</v>
      </c>
      <c r="B62" s="36">
        <f t="shared" si="0"/>
        <v>3.7625079150024637E-2</v>
      </c>
      <c r="C62" s="36">
        <f t="shared" si="1"/>
        <v>2.3599681623376334E-2</v>
      </c>
      <c r="E62" s="36">
        <f t="shared" si="2"/>
        <v>1.6540384618542603</v>
      </c>
      <c r="F62" s="36">
        <f t="shared" si="3"/>
        <v>1.0117998408116884</v>
      </c>
      <c r="G62" s="36">
        <f t="shared" si="4"/>
        <v>1.1799840811688389E-2</v>
      </c>
      <c r="H62" s="36">
        <f t="shared" si="5"/>
        <v>2.3599681623376778E-2</v>
      </c>
    </row>
    <row r="63" spans="1:8" x14ac:dyDescent="0.2">
      <c r="A63" s="36">
        <v>28</v>
      </c>
      <c r="B63" s="36">
        <f t="shared" si="0"/>
        <v>3.7137950300847676E-2</v>
      </c>
      <c r="C63" s="36">
        <f t="shared" si="1"/>
        <v>2.4029400828055714E-2</v>
      </c>
      <c r="E63" s="36">
        <f t="shared" si="2"/>
        <v>1.6739112384467185</v>
      </c>
      <c r="F63" s="36">
        <f t="shared" si="3"/>
        <v>1.0120147004140279</v>
      </c>
      <c r="G63" s="36">
        <f t="shared" si="4"/>
        <v>1.2014700414027857E-2</v>
      </c>
      <c r="H63" s="36">
        <f t="shared" si="5"/>
        <v>2.4029400828055714E-2</v>
      </c>
    </row>
    <row r="64" spans="1:8" x14ac:dyDescent="0.2">
      <c r="A64" s="36">
        <v>29</v>
      </c>
      <c r="B64" s="36">
        <f t="shared" si="0"/>
        <v>3.6650821451670722E-2</v>
      </c>
      <c r="C64" s="36">
        <f t="shared" si="1"/>
        <v>2.3058404664836996E-2</v>
      </c>
      <c r="E64" s="36">
        <f t="shared" si="2"/>
        <v>1.6932100998012796</v>
      </c>
      <c r="F64" s="36">
        <f t="shared" si="3"/>
        <v>1.0115292023324183</v>
      </c>
      <c r="G64" s="36">
        <f t="shared" si="4"/>
        <v>1.1529202332418276E-2</v>
      </c>
      <c r="H64" s="36">
        <f t="shared" si="5"/>
        <v>2.3058404664836551E-2</v>
      </c>
    </row>
    <row r="65" spans="1:15" x14ac:dyDescent="0.2">
      <c r="A65" s="36">
        <v>30</v>
      </c>
      <c r="B65" s="36">
        <f t="shared" si="0"/>
        <v>3.624039521134207E-2</v>
      </c>
      <c r="C65" s="36">
        <f t="shared" si="1"/>
        <v>2.4373945152337484E-2</v>
      </c>
      <c r="E65" s="36">
        <f t="shared" si="2"/>
        <v>1.71384520485325</v>
      </c>
      <c r="F65" s="36">
        <f t="shared" si="3"/>
        <v>1.012186972576169</v>
      </c>
      <c r="G65" s="36">
        <f t="shared" si="4"/>
        <v>1.2186972576168964E-2</v>
      </c>
      <c r="H65" s="36">
        <f t="shared" si="5"/>
        <v>2.4373945152337928E-2</v>
      </c>
    </row>
    <row r="68" spans="1:15" x14ac:dyDescent="0.2">
      <c r="A68" s="36" t="str">
        <f>A1</f>
        <v>mat</v>
      </c>
      <c r="B68" s="36" t="str">
        <f>B1</f>
        <v>bootstrapping rate</v>
      </c>
      <c r="D68" s="36" t="s">
        <v>56</v>
      </c>
      <c r="E68" s="40" t="s">
        <v>54</v>
      </c>
      <c r="F68" s="36" t="s">
        <v>57</v>
      </c>
      <c r="G68" s="42" t="s">
        <v>58</v>
      </c>
      <c r="I68" s="36" t="s">
        <v>33</v>
      </c>
      <c r="J68" s="36">
        <f>J1</f>
        <v>0</v>
      </c>
      <c r="L68" s="36" t="s">
        <v>56</v>
      </c>
      <c r="M68" s="40" t="s">
        <v>54</v>
      </c>
      <c r="N68" s="36" t="s">
        <v>57</v>
      </c>
      <c r="O68" s="36" t="s">
        <v>53</v>
      </c>
    </row>
    <row r="69" spans="1:15" x14ac:dyDescent="0.2">
      <c r="A69" s="36">
        <f t="shared" ref="A69:A98" si="6">A2</f>
        <v>1</v>
      </c>
      <c r="B69" s="36">
        <v>4.6976899932084398E-2</v>
      </c>
      <c r="C69" s="36">
        <f>(1+B69)^(A69)</f>
        <v>1.0469768999320843</v>
      </c>
      <c r="D69" s="36">
        <f>1/C69</f>
        <v>0.95513091078214651</v>
      </c>
      <c r="E69" s="36">
        <f>SUM($D$69)</f>
        <v>0.95513091078214651</v>
      </c>
      <c r="F69" s="36">
        <f>(1-D69)/E69</f>
        <v>4.6976899932084357E-2</v>
      </c>
      <c r="G69" s="42">
        <f>_xlfn.XLOOKUP(A69,I69:I128,O69:O128)</f>
        <v>4.6961061852174177E-2</v>
      </c>
      <c r="I69" s="36">
        <v>0.5</v>
      </c>
      <c r="J69" s="36">
        <f>_xlfn.XLOOKUP(I69,[1]Sheet3!A45:A106,[1]Sheet3!B45:B106)</f>
        <v>4.5612926645635543E-2</v>
      </c>
      <c r="K69" s="36">
        <f>(1+J69/2)^(I69*2)</f>
        <v>1.0228064633228178</v>
      </c>
      <c r="L69" s="36">
        <f>1/K69</f>
        <v>0.97770207351963168</v>
      </c>
      <c r="M69" s="36">
        <f>SUM($L$69)</f>
        <v>0.97770207351963168</v>
      </c>
      <c r="N69" s="36">
        <f>(1-L69)/M69</f>
        <v>2.280646332281773E-2</v>
      </c>
      <c r="O69" s="36">
        <f>N69*2</f>
        <v>4.561292664563546E-2</v>
      </c>
    </row>
    <row r="70" spans="1:15" x14ac:dyDescent="0.2">
      <c r="A70" s="36">
        <f t="shared" si="6"/>
        <v>2</v>
      </c>
      <c r="B70" s="36">
        <v>4.2103204486929696E-2</v>
      </c>
      <c r="C70" s="36">
        <f t="shared" ref="C70:C98" si="7">(1+B70)^(A70)</f>
        <v>1.0859790888019274</v>
      </c>
      <c r="D70" s="36">
        <f>1/C70</f>
        <v>0.92082804384679162</v>
      </c>
      <c r="E70" s="36">
        <f>SUM($D$69:D70)</f>
        <v>1.8759589546289381</v>
      </c>
      <c r="F70" s="36">
        <f t="shared" ref="F70:F98" si="8">(1-D70)/E70</f>
        <v>4.2203458640633462E-2</v>
      </c>
      <c r="G70" s="42">
        <f t="shared" ref="G70:G98" si="9">_xlfn.XLOOKUP(A70,I70:I129,O70:O129)</f>
        <v>4.2217014101603091E-2</v>
      </c>
      <c r="I70" s="36">
        <f>I69+0.5</f>
        <v>1</v>
      </c>
      <c r="J70" s="36">
        <f>_xlfn.XLOOKUP(I70,[1]Sheet3!A46:A107,[1]Sheet3!B46:B107)</f>
        <v>4.6976899932084398E-2</v>
      </c>
      <c r="K70" s="36">
        <f t="shared" ref="K70:K128" si="10">(1+J70/2)^(I70*2)</f>
        <v>1.0475286072138916</v>
      </c>
      <c r="L70" s="36">
        <f t="shared" ref="L70:L128" si="11">1/K70</f>
        <v>0.95462786707056779</v>
      </c>
      <c r="M70" s="36">
        <f>SUM($L$69:L70)</f>
        <v>1.9323299405901995</v>
      </c>
      <c r="N70" s="36">
        <f t="shared" ref="N70:N128" si="12">(1-L70)/M70</f>
        <v>2.3480530926087088E-2</v>
      </c>
      <c r="O70" s="36">
        <f t="shared" ref="O70:O128" si="13">N70*2</f>
        <v>4.6961061852174177E-2</v>
      </c>
    </row>
    <row r="71" spans="1:15" x14ac:dyDescent="0.2">
      <c r="A71" s="36">
        <f t="shared" si="6"/>
        <v>3</v>
      </c>
      <c r="B71" s="36">
        <v>3.8946241693508112E-2</v>
      </c>
      <c r="C71" s="36">
        <f t="shared" si="7"/>
        <v>1.1214482283454883</v>
      </c>
      <c r="D71" s="36">
        <f t="shared" ref="D71:D98" si="14">1/C71</f>
        <v>0.89170411502217528</v>
      </c>
      <c r="E71" s="36">
        <f>SUM($D$69:D71)</f>
        <v>2.7676630696511135</v>
      </c>
      <c r="F71" s="36">
        <f>(1-D71)/E71</f>
        <v>3.912899881685248E-2</v>
      </c>
      <c r="G71" s="42">
        <f t="shared" si="9"/>
        <v>3.9140115240914646E-2</v>
      </c>
      <c r="I71" s="36">
        <f t="shared" ref="I71:I128" si="15">I70+0.5</f>
        <v>1.5</v>
      </c>
      <c r="J71" s="36">
        <f>_xlfn.XLOOKUP(I71,[1]Sheet3!A47:A108,[1]Sheet3!B47:B108)</f>
        <v>4.5007234161166018E-2</v>
      </c>
      <c r="K71" s="36">
        <f t="shared" si="10"/>
        <v>1.0690414857062021</v>
      </c>
      <c r="L71" s="36">
        <f t="shared" si="11"/>
        <v>0.93541739340396723</v>
      </c>
      <c r="M71" s="36">
        <f>SUM($L$69:L71)</f>
        <v>2.8677473339941666</v>
      </c>
      <c r="N71" s="36">
        <f t="shared" si="12"/>
        <v>2.2520326609835193E-2</v>
      </c>
      <c r="O71" s="36">
        <f t="shared" si="13"/>
        <v>4.5040653219670386E-2</v>
      </c>
    </row>
    <row r="72" spans="1:15" x14ac:dyDescent="0.2">
      <c r="A72" s="36">
        <f t="shared" si="6"/>
        <v>4</v>
      </c>
      <c r="B72" s="36">
        <v>3.7377099703683137E-2</v>
      </c>
      <c r="C72" s="36">
        <f t="shared" si="7"/>
        <v>1.1581015063973255</v>
      </c>
      <c r="D72" s="36">
        <f t="shared" si="14"/>
        <v>0.86348216842480863</v>
      </c>
      <c r="E72" s="36">
        <f>SUM($D$69:D72)</f>
        <v>3.6311452380759222</v>
      </c>
      <c r="F72" s="36">
        <f t="shared" si="8"/>
        <v>3.7596356693110324E-2</v>
      </c>
      <c r="G72" s="42">
        <f t="shared" si="9"/>
        <v>3.7606982375895597E-2</v>
      </c>
      <c r="I72" s="36">
        <f t="shared" si="15"/>
        <v>2</v>
      </c>
      <c r="J72" s="36">
        <f>_xlfn.XLOOKUP(I72,[1]Sheet3!A48:A109,[1]Sheet3!B48:B109)</f>
        <v>4.2103204486929696E-2</v>
      </c>
      <c r="K72" s="36">
        <f t="shared" si="10"/>
        <v>1.086902942866218</v>
      </c>
      <c r="L72" s="36">
        <f t="shared" si="11"/>
        <v>0.92004535139351951</v>
      </c>
      <c r="M72" s="36">
        <f>SUM($L$69:L72)</f>
        <v>3.7877926853876862</v>
      </c>
      <c r="N72" s="36">
        <f t="shared" si="12"/>
        <v>2.1108507050801546E-2</v>
      </c>
      <c r="O72" s="36">
        <f t="shared" si="13"/>
        <v>4.2217014101603091E-2</v>
      </c>
    </row>
    <row r="73" spans="1:15" x14ac:dyDescent="0.2">
      <c r="A73" s="36">
        <f t="shared" si="6"/>
        <v>5</v>
      </c>
      <c r="B73" s="36">
        <v>3.6440531570222916E-2</v>
      </c>
      <c r="C73" s="36">
        <f>(1+B73)^(A73)</f>
        <v>1.1959745605915932</v>
      </c>
      <c r="D73" s="36">
        <f t="shared" si="14"/>
        <v>0.83613818633846715</v>
      </c>
      <c r="E73" s="36">
        <f>SUM($D$69:D73)</f>
        <v>4.4672834244143891</v>
      </c>
      <c r="F73" s="36">
        <f t="shared" si="8"/>
        <v>3.6680415835270916E-2</v>
      </c>
      <c r="G73" s="42">
        <f t="shared" si="9"/>
        <v>3.6690057135674192E-2</v>
      </c>
      <c r="I73" s="36">
        <f t="shared" si="15"/>
        <v>2.5</v>
      </c>
      <c r="J73" s="36">
        <f>_xlfn.XLOOKUP(I73,[1]Sheet3!A49:A110,[1]Sheet3!B49:B110)</f>
        <v>4.0289618671465043E-2</v>
      </c>
      <c r="K73" s="36">
        <f t="shared" si="10"/>
        <v>1.1048647571745189</v>
      </c>
      <c r="L73" s="36">
        <f t="shared" si="11"/>
        <v>0.90508815084056937</v>
      </c>
      <c r="M73" s="36">
        <f>SUM($L$69:L73)</f>
        <v>4.6928808362282552</v>
      </c>
      <c r="N73" s="36">
        <f t="shared" si="12"/>
        <v>2.0224645046754017E-2</v>
      </c>
      <c r="O73" s="36">
        <f t="shared" si="13"/>
        <v>4.0449290093508034E-2</v>
      </c>
    </row>
    <row r="74" spans="1:15" x14ac:dyDescent="0.2">
      <c r="A74" s="36">
        <f t="shared" si="6"/>
        <v>6</v>
      </c>
      <c r="B74" s="36">
        <v>3.6438449399079871E-2</v>
      </c>
      <c r="C74" s="36">
        <f t="shared" si="7"/>
        <v>1.2395415680567488</v>
      </c>
      <c r="D74" s="36">
        <f>1/C74</f>
        <v>0.80674987089599404</v>
      </c>
      <c r="E74" s="36">
        <f>SUM($D$69:D74)</f>
        <v>5.2740332953103835</v>
      </c>
      <c r="F74" s="36">
        <f t="shared" si="8"/>
        <v>3.6641810599838648E-2</v>
      </c>
      <c r="G74" s="42">
        <f t="shared" si="9"/>
        <v>3.6650793325449238E-2</v>
      </c>
      <c r="I74" s="36">
        <f t="shared" si="15"/>
        <v>3</v>
      </c>
      <c r="J74" s="36">
        <f>_xlfn.XLOOKUP(I74,[1]Sheet3!A50:A111,[1]Sheet3!B50:B111)</f>
        <v>3.8946241693508112E-2</v>
      </c>
      <c r="K74" s="36">
        <f>(1+J74/2)^(I74*2)</f>
        <v>1.1226766204828489</v>
      </c>
      <c r="L74" s="36">
        <f t="shared" si="11"/>
        <v>0.89072844464322487</v>
      </c>
      <c r="M74" s="36">
        <f>SUM($L$69:L74)</f>
        <v>5.5836092808714799</v>
      </c>
      <c r="N74" s="36">
        <f t="shared" si="12"/>
        <v>1.9570057620457323E-2</v>
      </c>
      <c r="O74" s="36">
        <f t="shared" si="13"/>
        <v>3.9140115240914646E-2</v>
      </c>
    </row>
    <row r="75" spans="1:15" x14ac:dyDescent="0.2">
      <c r="A75" s="36">
        <f t="shared" si="6"/>
        <v>7</v>
      </c>
      <c r="B75" s="36">
        <v>3.5892557485239104E-2</v>
      </c>
      <c r="C75" s="36">
        <f t="shared" si="7"/>
        <v>1.2799794284467756</v>
      </c>
      <c r="D75" s="36">
        <f t="shared" si="14"/>
        <v>0.78126255608144901</v>
      </c>
      <c r="E75" s="36">
        <f>SUM($D$69:D75)</f>
        <v>6.0552958513918327</v>
      </c>
      <c r="F75" s="36">
        <f t="shared" si="8"/>
        <v>3.6123328948208758E-2</v>
      </c>
      <c r="G75" s="42">
        <f t="shared" si="9"/>
        <v>3.6131819828197347E-2</v>
      </c>
      <c r="I75" s="36">
        <f t="shared" si="15"/>
        <v>3.5</v>
      </c>
      <c r="J75" s="36">
        <f>_xlfn.XLOOKUP(I75,[1]Sheet3!A51:A112,[1]Sheet3!B51:B112)</f>
        <v>3.8152268304703425E-2</v>
      </c>
      <c r="K75" s="36">
        <f t="shared" si="10"/>
        <v>1.1414224664596366</v>
      </c>
      <c r="L75" s="36">
        <f t="shared" si="11"/>
        <v>0.87609980474776505</v>
      </c>
      <c r="M75" s="36">
        <f>SUM($L$69:L75)</f>
        <v>6.4597090856192452</v>
      </c>
      <c r="N75" s="36">
        <f t="shared" si="12"/>
        <v>1.9180460545516583E-2</v>
      </c>
      <c r="O75" s="36">
        <f t="shared" si="13"/>
        <v>3.8360921091033166E-2</v>
      </c>
    </row>
    <row r="76" spans="1:15" x14ac:dyDescent="0.2">
      <c r="A76" s="36">
        <f t="shared" si="6"/>
        <v>8</v>
      </c>
      <c r="B76" s="36">
        <v>3.5669756766838125E-2</v>
      </c>
      <c r="C76" s="36">
        <f t="shared" si="7"/>
        <v>1.3236414376658061</v>
      </c>
      <c r="D76" s="36">
        <f t="shared" si="14"/>
        <v>0.75549160939193916</v>
      </c>
      <c r="E76" s="36">
        <f>SUM($D$69:D76)</f>
        <v>6.8107874607837715</v>
      </c>
      <c r="F76" s="36">
        <f t="shared" si="8"/>
        <v>3.5900164557465621E-2</v>
      </c>
      <c r="G76" s="42">
        <f t="shared" si="9"/>
        <v>3.5908041897204257E-2</v>
      </c>
      <c r="I76" s="36">
        <f t="shared" si="15"/>
        <v>4</v>
      </c>
      <c r="J76" s="36">
        <f>_xlfn.XLOOKUP(I76,[1]Sheet3!A52:A113,[1]Sheet3!B52:B113)</f>
        <v>3.7377099703683137E-2</v>
      </c>
      <c r="K76" s="36">
        <f t="shared" si="10"/>
        <v>1.1596619227315741</v>
      </c>
      <c r="L76" s="36">
        <f t="shared" si="11"/>
        <v>0.8623202852470212</v>
      </c>
      <c r="M76" s="36">
        <f>SUM($L$69:L76)</f>
        <v>7.3220293708662663</v>
      </c>
      <c r="N76" s="36">
        <f t="shared" si="12"/>
        <v>1.8803491187947798E-2</v>
      </c>
      <c r="O76" s="36">
        <f t="shared" si="13"/>
        <v>3.7606982375895597E-2</v>
      </c>
    </row>
    <row r="77" spans="1:15" x14ac:dyDescent="0.2">
      <c r="A77" s="36">
        <f t="shared" si="6"/>
        <v>9</v>
      </c>
      <c r="B77" s="36">
        <v>3.5446956048437145E-2</v>
      </c>
      <c r="C77" s="36">
        <f t="shared" si="7"/>
        <v>1.3682035142190465</v>
      </c>
      <c r="D77" s="36">
        <f t="shared" si="14"/>
        <v>0.73088541990099154</v>
      </c>
      <c r="E77" s="36">
        <f>SUM($D$69:D77)</f>
        <v>7.5416728806847626</v>
      </c>
      <c r="F77" s="36">
        <f t="shared" si="8"/>
        <v>3.5683671826743778E-2</v>
      </c>
      <c r="G77" s="42">
        <f t="shared" si="9"/>
        <v>3.5691128930930925E-2</v>
      </c>
      <c r="I77" s="36">
        <f t="shared" si="15"/>
        <v>4.5</v>
      </c>
      <c r="J77" s="36">
        <f>_xlfn.XLOOKUP(I77,[1]Sheet3!A53:A114,[1]Sheet3!B53:B114)</f>
        <v>3.6892550550239829E-2</v>
      </c>
      <c r="K77" s="36">
        <f t="shared" si="10"/>
        <v>1.1788081171536682</v>
      </c>
      <c r="L77" s="36">
        <f t="shared" si="11"/>
        <v>0.84831448430689849</v>
      </c>
      <c r="M77" s="36">
        <f>SUM($L$69:L77)</f>
        <v>8.1703438551731651</v>
      </c>
      <c r="N77" s="36">
        <f t="shared" si="12"/>
        <v>1.8565377220575576E-2</v>
      </c>
      <c r="O77" s="36">
        <f t="shared" si="13"/>
        <v>3.7130754441151152E-2</v>
      </c>
    </row>
    <row r="78" spans="1:15" x14ac:dyDescent="0.2">
      <c r="A78" s="36">
        <f t="shared" si="6"/>
        <v>10</v>
      </c>
      <c r="B78" s="36">
        <v>3.5239101716638611E-2</v>
      </c>
      <c r="C78" s="36">
        <f t="shared" si="7"/>
        <v>1.4138608613434727</v>
      </c>
      <c r="D78" s="36">
        <f t="shared" si="14"/>
        <v>0.70728317569367072</v>
      </c>
      <c r="E78" s="36">
        <f>SUM($D$69:D78)</f>
        <v>8.2489560563784341</v>
      </c>
      <c r="F78" s="36">
        <f t="shared" si="8"/>
        <v>3.5485317451774821E-2</v>
      </c>
      <c r="G78" s="42">
        <f t="shared" si="9"/>
        <v>3.549236550722578E-2</v>
      </c>
      <c r="I78" s="36">
        <f t="shared" si="15"/>
        <v>5</v>
      </c>
      <c r="J78" s="36">
        <f>_xlfn.XLOOKUP(I78,[1]Sheet3!A54:A115,[1]Sheet3!B54:B115)</f>
        <v>3.6440531570222916E-2</v>
      </c>
      <c r="K78" s="36">
        <f t="shared" si="10"/>
        <v>1.1978911769381615</v>
      </c>
      <c r="L78" s="36">
        <f t="shared" si="11"/>
        <v>0.83480037189690626</v>
      </c>
      <c r="M78" s="36">
        <f>SUM($L$69:L78)</f>
        <v>9.0051442270700708</v>
      </c>
      <c r="N78" s="36">
        <f t="shared" si="12"/>
        <v>1.8345028567837096E-2</v>
      </c>
      <c r="O78" s="36">
        <f t="shared" si="13"/>
        <v>3.6690057135674192E-2</v>
      </c>
    </row>
    <row r="79" spans="1:15" x14ac:dyDescent="0.2">
      <c r="A79" s="36">
        <f t="shared" si="6"/>
        <v>11</v>
      </c>
      <c r="B79" s="36">
        <v>3.5111223664028614E-2</v>
      </c>
      <c r="C79" s="36">
        <f t="shared" si="7"/>
        <v>1.4616964564307529</v>
      </c>
      <c r="D79" s="36">
        <f t="shared" si="14"/>
        <v>0.68413656994274485</v>
      </c>
      <c r="E79" s="36">
        <f>SUM($D$69:D79)</f>
        <v>8.9330926263211783</v>
      </c>
      <c r="F79" s="36">
        <f t="shared" si="8"/>
        <v>3.5358799384500941E-2</v>
      </c>
      <c r="G79" s="42">
        <f t="shared" si="9"/>
        <v>3.5365536116263932E-2</v>
      </c>
      <c r="I79" s="36">
        <f t="shared" si="15"/>
        <v>5.5</v>
      </c>
      <c r="J79" s="36">
        <f>_xlfn.XLOOKUP(I79,[1]Sheet3!A55:A116,[1]Sheet3!B55:B116)</f>
        <v>3.6491251634068488E-2</v>
      </c>
      <c r="K79" s="36">
        <f t="shared" si="10"/>
        <v>1.2200512783239348</v>
      </c>
      <c r="L79" s="36">
        <f t="shared" si="11"/>
        <v>0.81963768061762632</v>
      </c>
      <c r="M79" s="36">
        <f>SUM($L$69:L79)</f>
        <v>9.8247819076876972</v>
      </c>
      <c r="N79" s="36">
        <f t="shared" si="12"/>
        <v>1.835789548073772E-2</v>
      </c>
      <c r="O79" s="36">
        <f t="shared" si="13"/>
        <v>3.6715790961475439E-2</v>
      </c>
    </row>
    <row r="80" spans="1:15" x14ac:dyDescent="0.2">
      <c r="A80" s="36">
        <f t="shared" si="6"/>
        <v>12</v>
      </c>
      <c r="B80" s="36">
        <v>3.4983345611418623E-2</v>
      </c>
      <c r="C80" s="36">
        <f t="shared" si="7"/>
        <v>1.510776904332009</v>
      </c>
      <c r="D80" s="36">
        <f>1/C80</f>
        <v>0.66191109827837269</v>
      </c>
      <c r="E80" s="36">
        <f>SUM($D$69:D80)</f>
        <v>9.5950037245995503</v>
      </c>
      <c r="F80" s="36">
        <f t="shared" si="8"/>
        <v>3.5235932306606536E-2</v>
      </c>
      <c r="G80" s="42">
        <f t="shared" si="9"/>
        <v>3.5242443063421516E-2</v>
      </c>
      <c r="I80" s="36">
        <f t="shared" si="15"/>
        <v>6</v>
      </c>
      <c r="J80" s="36">
        <f>_xlfn.XLOOKUP(I80,[1]Sheet3!A56:A117,[1]Sheet3!B56:B117)</f>
        <v>3.6438449399079871E-2</v>
      </c>
      <c r="K80" s="36">
        <f t="shared" si="10"/>
        <v>1.2419254039359049</v>
      </c>
      <c r="L80" s="36">
        <f t="shared" si="11"/>
        <v>0.80520134045958325</v>
      </c>
      <c r="M80" s="36">
        <f>SUM($L$69:L80)</f>
        <v>10.62998324814728</v>
      </c>
      <c r="N80" s="36">
        <f t="shared" si="12"/>
        <v>1.8325396662724619E-2</v>
      </c>
      <c r="O80" s="36">
        <f t="shared" si="13"/>
        <v>3.6650793325449238E-2</v>
      </c>
    </row>
    <row r="81" spans="1:15" x14ac:dyDescent="0.2">
      <c r="A81" s="36">
        <f t="shared" si="6"/>
        <v>13</v>
      </c>
      <c r="B81" s="36">
        <v>3.4855467558808625E-2</v>
      </c>
      <c r="C81" s="36">
        <f t="shared" si="7"/>
        <v>1.561119258253086</v>
      </c>
      <c r="D81" s="36">
        <f t="shared" si="14"/>
        <v>0.64056605202539996</v>
      </c>
      <c r="E81" s="36">
        <f>SUM($D$69:D81)</f>
        <v>10.235569776624951</v>
      </c>
      <c r="F81" s="36">
        <f t="shared" si="8"/>
        <v>3.5116164104067961E-2</v>
      </c>
      <c r="G81" s="42">
        <f t="shared" si="9"/>
        <v>3.5122516702708488E-2</v>
      </c>
      <c r="I81" s="36">
        <f t="shared" si="15"/>
        <v>6.5</v>
      </c>
      <c r="J81" s="36">
        <f>_xlfn.XLOOKUP(I81,[1]Sheet3!A57:A118,[1]Sheet3!B57:B118)</f>
        <v>3.6160440759609863E-2</v>
      </c>
      <c r="K81" s="36">
        <f t="shared" si="10"/>
        <v>1.2623099303168237</v>
      </c>
      <c r="L81" s="36">
        <f t="shared" si="11"/>
        <v>0.79219847359436735</v>
      </c>
      <c r="M81" s="36">
        <f>SUM($L$69:L81)</f>
        <v>11.422181721741648</v>
      </c>
      <c r="N81" s="36">
        <f t="shared" si="12"/>
        <v>1.8192805145981095E-2</v>
      </c>
      <c r="O81" s="36">
        <f t="shared" si="13"/>
        <v>3.6385610291962189E-2</v>
      </c>
    </row>
    <row r="82" spans="1:15" x14ac:dyDescent="0.2">
      <c r="A82" s="36">
        <f t="shared" si="6"/>
        <v>14</v>
      </c>
      <c r="B82" s="36">
        <v>3.5521464120698475E-2</v>
      </c>
      <c r="C82" s="36">
        <f t="shared" si="7"/>
        <v>1.6301496471668893</v>
      </c>
      <c r="D82" s="36">
        <f t="shared" si="14"/>
        <v>0.61344061371171976</v>
      </c>
      <c r="E82" s="36">
        <f>SUM($D$69:D82)</f>
        <v>10.849010390336671</v>
      </c>
      <c r="F82" s="36">
        <f t="shared" si="8"/>
        <v>3.5630843033627548E-2</v>
      </c>
      <c r="G82" s="42">
        <f t="shared" si="9"/>
        <v>3.5635087391196911E-2</v>
      </c>
      <c r="I82" s="36">
        <f t="shared" si="15"/>
        <v>7</v>
      </c>
      <c r="J82" s="36">
        <f>_xlfn.XLOOKUP(I82,[1]Sheet3!A58:A119,[1]Sheet3!B58:B119)</f>
        <v>3.5892557485239104E-2</v>
      </c>
      <c r="K82" s="36">
        <f t="shared" si="10"/>
        <v>1.2827677331726834</v>
      </c>
      <c r="L82" s="36">
        <f t="shared" si="11"/>
        <v>0.7795643545902804</v>
      </c>
      <c r="M82" s="36">
        <f>SUM($L$69:L82)</f>
        <v>12.201746076331929</v>
      </c>
      <c r="N82" s="36">
        <f t="shared" si="12"/>
        <v>1.8065909914098673E-2</v>
      </c>
      <c r="O82" s="36">
        <f t="shared" si="13"/>
        <v>3.6131819828197347E-2</v>
      </c>
    </row>
    <row r="83" spans="1:15" x14ac:dyDescent="0.2">
      <c r="A83" s="36">
        <f t="shared" si="6"/>
        <v>15</v>
      </c>
      <c r="B83" s="36">
        <v>3.6319426905345127E-2</v>
      </c>
      <c r="C83" s="36">
        <f t="shared" si="7"/>
        <v>1.7076725331187701</v>
      </c>
      <c r="D83" s="36">
        <f t="shared" si="14"/>
        <v>0.5855923665725723</v>
      </c>
      <c r="E83" s="36">
        <f>SUM($D$69:D83)</f>
        <v>11.434602756909243</v>
      </c>
      <c r="F83" s="36">
        <f t="shared" si="8"/>
        <v>3.6241541769085603E-2</v>
      </c>
      <c r="G83" s="42">
        <f t="shared" si="9"/>
        <v>3.6243965661977885E-2</v>
      </c>
      <c r="I83" s="36">
        <f t="shared" si="15"/>
        <v>7.5</v>
      </c>
      <c r="J83" s="36">
        <f>_xlfn.XLOOKUP(I83,[1]Sheet3!A59:A120,[1]Sheet3!B59:B120)</f>
        <v>3.5781157126038618E-2</v>
      </c>
      <c r="K83" s="36">
        <f t="shared" si="10"/>
        <v>1.3047172949918828</v>
      </c>
      <c r="L83" s="36">
        <f t="shared" si="11"/>
        <v>0.76644956255157282</v>
      </c>
      <c r="M83" s="36">
        <f>SUM($L$69:L83)</f>
        <v>12.968195638883502</v>
      </c>
      <c r="N83" s="36">
        <f t="shared" si="12"/>
        <v>1.8009478261428721E-2</v>
      </c>
      <c r="O83" s="36">
        <f t="shared" si="13"/>
        <v>3.6018956522857443E-2</v>
      </c>
    </row>
    <row r="84" spans="1:15" x14ac:dyDescent="0.2">
      <c r="A84" s="36">
        <f t="shared" si="6"/>
        <v>16</v>
      </c>
      <c r="B84" s="36">
        <v>3.6980334394054681E-2</v>
      </c>
      <c r="C84" s="36">
        <f t="shared" si="7"/>
        <v>1.7878386676126707</v>
      </c>
      <c r="D84" s="36">
        <f t="shared" si="14"/>
        <v>0.55933458544965686</v>
      </c>
      <c r="E84" s="36">
        <f>SUM($D$69:D84)</f>
        <v>11.993937342358899</v>
      </c>
      <c r="F84" s="36">
        <f t="shared" si="8"/>
        <v>3.6740680059587139E-2</v>
      </c>
      <c r="G84" s="42">
        <f t="shared" si="9"/>
        <v>3.6741666522317466E-2</v>
      </c>
      <c r="I84" s="36">
        <f t="shared" si="15"/>
        <v>8</v>
      </c>
      <c r="J84" s="36">
        <f>_xlfn.XLOOKUP(I84,[1]Sheet3!A60:A121,[1]Sheet3!B60:B121)</f>
        <v>3.5669756766838125E-2</v>
      </c>
      <c r="K84" s="36">
        <f t="shared" si="10"/>
        <v>1.3268971515463357</v>
      </c>
      <c r="L84" s="36">
        <f t="shared" si="11"/>
        <v>0.75363791295702365</v>
      </c>
      <c r="M84" s="36">
        <f>SUM($L$69:L84)</f>
        <v>13.721833551840525</v>
      </c>
      <c r="N84" s="36">
        <f t="shared" si="12"/>
        <v>1.7954020948602128E-2</v>
      </c>
      <c r="O84" s="36">
        <f t="shared" si="13"/>
        <v>3.5908041897204257E-2</v>
      </c>
    </row>
    <row r="85" spans="1:15" x14ac:dyDescent="0.2">
      <c r="A85" s="36">
        <f t="shared" si="6"/>
        <v>17</v>
      </c>
      <c r="B85" s="36">
        <v>3.7564445823970817E-2</v>
      </c>
      <c r="C85" s="36">
        <f t="shared" si="7"/>
        <v>1.8717868138067946</v>
      </c>
      <c r="D85" s="36">
        <f t="shared" si="14"/>
        <v>0.53424887525851528</v>
      </c>
      <c r="E85" s="36">
        <f>SUM($D$69:D85)</f>
        <v>12.528186217617414</v>
      </c>
      <c r="F85" s="36">
        <f t="shared" si="8"/>
        <v>3.7176261323968438E-2</v>
      </c>
      <c r="G85" s="42">
        <f t="shared" si="9"/>
        <v>3.7175883961730993E-2</v>
      </c>
      <c r="I85" s="36">
        <f t="shared" si="15"/>
        <v>8.5</v>
      </c>
      <c r="J85" s="36">
        <f>_xlfn.XLOOKUP(I85,[1]Sheet3!A61:A122,[1]Sheet3!B61:B122)</f>
        <v>3.5558356407637631E-2</v>
      </c>
      <c r="K85" s="36">
        <f t="shared" si="10"/>
        <v>1.3493063078193968</v>
      </c>
      <c r="L85" s="36">
        <f t="shared" si="11"/>
        <v>0.74112156313572131</v>
      </c>
      <c r="M85" s="36">
        <f>SUM($L$69:L85)</f>
        <v>14.462955114976246</v>
      </c>
      <c r="N85" s="36">
        <f t="shared" si="12"/>
        <v>1.7899415078472633E-2</v>
      </c>
      <c r="O85" s="36">
        <f t="shared" si="13"/>
        <v>3.5798830156945266E-2</v>
      </c>
    </row>
    <row r="86" spans="1:15" x14ac:dyDescent="0.2">
      <c r="A86" s="36">
        <f t="shared" si="6"/>
        <v>18</v>
      </c>
      <c r="B86" s="36">
        <v>3.8310937891640473E-2</v>
      </c>
      <c r="C86" s="36">
        <f t="shared" si="7"/>
        <v>1.9674047816018294</v>
      </c>
      <c r="D86" s="36">
        <f t="shared" si="14"/>
        <v>0.50828381091247321</v>
      </c>
      <c r="E86" s="36">
        <f>SUM($D$69:D86)</f>
        <v>13.036470028529887</v>
      </c>
      <c r="F86" s="36">
        <f t="shared" si="8"/>
        <v>3.7718507234812952E-2</v>
      </c>
      <c r="G86" s="42">
        <f t="shared" si="9"/>
        <v>3.7715202271620507E-2</v>
      </c>
      <c r="I86" s="36">
        <f t="shared" si="15"/>
        <v>9</v>
      </c>
      <c r="J86" s="36">
        <f>_xlfn.XLOOKUP(I86,[1]Sheet3!A62:A123,[1]Sheet3!B62:B123)</f>
        <v>3.5446956048437145E-2</v>
      </c>
      <c r="K86" s="36">
        <f t="shared" si="10"/>
        <v>1.3719436753733685</v>
      </c>
      <c r="L86" s="36">
        <f t="shared" si="11"/>
        <v>0.72889289695355342</v>
      </c>
      <c r="M86" s="36">
        <f>SUM($L$69:L86)</f>
        <v>15.1918480119298</v>
      </c>
      <c r="N86" s="36">
        <f t="shared" si="12"/>
        <v>1.7845564465465463E-2</v>
      </c>
      <c r="O86" s="36">
        <f t="shared" si="13"/>
        <v>3.5691128930930925E-2</v>
      </c>
    </row>
    <row r="87" spans="1:15" x14ac:dyDescent="0.2">
      <c r="A87" s="36">
        <f t="shared" si="6"/>
        <v>19</v>
      </c>
      <c r="B87" s="36">
        <v>3.9069630943248307E-2</v>
      </c>
      <c r="C87" s="36">
        <f t="shared" si="7"/>
        <v>2.0713256557045692</v>
      </c>
      <c r="D87" s="36">
        <f t="shared" si="14"/>
        <v>0.48278260699660297</v>
      </c>
      <c r="E87" s="36">
        <f>SUM($D$69:D87)</f>
        <v>13.51925263552649</v>
      </c>
      <c r="F87" s="36">
        <f t="shared" si="8"/>
        <v>3.8257839168137908E-2</v>
      </c>
      <c r="G87" s="42">
        <f t="shared" si="9"/>
        <v>3.8254079121430848E-2</v>
      </c>
      <c r="I87" s="36">
        <f t="shared" si="15"/>
        <v>9.5</v>
      </c>
      <c r="J87" s="36">
        <f>_xlfn.XLOOKUP(I87,[1]Sheet3!A63:A124,[1]Sheet3!B63:B124)</f>
        <v>3.5335555689236652E-2</v>
      </c>
      <c r="K87" s="36">
        <f t="shared" si="10"/>
        <v>1.3948080712399893</v>
      </c>
      <c r="L87" s="36">
        <f t="shared" si="11"/>
        <v>0.71694451775791379</v>
      </c>
      <c r="M87" s="36">
        <f>SUM($L$69:L87)</f>
        <v>15.908792529687714</v>
      </c>
      <c r="N87" s="36">
        <f t="shared" si="12"/>
        <v>1.7792392585035649E-2</v>
      </c>
      <c r="O87" s="36">
        <f t="shared" si="13"/>
        <v>3.5584785170071298E-2</v>
      </c>
    </row>
    <row r="88" spans="1:15" x14ac:dyDescent="0.2">
      <c r="A88" s="36">
        <f t="shared" si="6"/>
        <v>20</v>
      </c>
      <c r="B88" s="36">
        <v>3.9481420069383405E-2</v>
      </c>
      <c r="C88" s="36">
        <f t="shared" si="7"/>
        <v>2.1693749506843587</v>
      </c>
      <c r="D88" s="36">
        <f t="shared" si="14"/>
        <v>0.46096226919396138</v>
      </c>
      <c r="E88" s="36">
        <f>SUM($D$69:D88)</f>
        <v>13.980214904720452</v>
      </c>
      <c r="F88" s="36">
        <f t="shared" si="8"/>
        <v>3.8557184884477791E-2</v>
      </c>
      <c r="G88" s="42">
        <f t="shared" si="9"/>
        <v>3.8552316026626732E-2</v>
      </c>
      <c r="I88" s="36">
        <f t="shared" si="15"/>
        <v>10</v>
      </c>
      <c r="J88" s="36">
        <f>_xlfn.XLOOKUP(I88,[1]Sheet3!A64:A125,[1]Sheet3!B64:B125)</f>
        <v>3.5239101716638611E-2</v>
      </c>
      <c r="K88" s="36">
        <f t="shared" si="10"/>
        <v>1.4181064880901917</v>
      </c>
      <c r="L88" s="36">
        <f t="shared" si="11"/>
        <v>0.70516566167519001</v>
      </c>
      <c r="M88" s="36">
        <f>SUM($L$69:L88)</f>
        <v>16.613958191362904</v>
      </c>
      <c r="N88" s="36">
        <f t="shared" si="12"/>
        <v>1.774618275361289E-2</v>
      </c>
      <c r="O88" s="36">
        <f t="shared" si="13"/>
        <v>3.549236550722578E-2</v>
      </c>
    </row>
    <row r="89" spans="1:15" x14ac:dyDescent="0.2">
      <c r="A89" s="36">
        <f t="shared" si="6"/>
        <v>21</v>
      </c>
      <c r="B89" s="36">
        <v>3.9893872033070557E-2</v>
      </c>
      <c r="C89" s="36">
        <f t="shared" si="7"/>
        <v>2.2738897204490902</v>
      </c>
      <c r="D89" s="36">
        <f t="shared" si="14"/>
        <v>0.43977506517004761</v>
      </c>
      <c r="E89" s="36">
        <f>SUM($D$69:D89)</f>
        <v>14.4199899698905</v>
      </c>
      <c r="F89" s="36">
        <f t="shared" si="8"/>
        <v>3.8850577288869398E-2</v>
      </c>
      <c r="G89" s="42">
        <f t="shared" si="9"/>
        <v>3.8844550942431617E-2</v>
      </c>
      <c r="I89" s="36">
        <f t="shared" si="15"/>
        <v>10.5</v>
      </c>
      <c r="J89" s="36">
        <f>_xlfn.XLOOKUP(I89,[1]Sheet3!A65:A126,[1]Sheet3!B65:B126)</f>
        <v>3.5175162690333613E-2</v>
      </c>
      <c r="K89" s="36">
        <f t="shared" si="10"/>
        <v>1.442141126864483</v>
      </c>
      <c r="L89" s="36">
        <f t="shared" si="11"/>
        <v>0.69341341244057686</v>
      </c>
      <c r="M89" s="36">
        <f>SUM($L$69:L89)</f>
        <v>17.307371603803482</v>
      </c>
      <c r="N89" s="36">
        <f t="shared" si="12"/>
        <v>1.7714219962322149E-2</v>
      </c>
      <c r="O89" s="36">
        <f t="shared" si="13"/>
        <v>3.5428439924644298E-2</v>
      </c>
    </row>
    <row r="90" spans="1:15" x14ac:dyDescent="0.2">
      <c r="A90" s="36">
        <f t="shared" si="6"/>
        <v>22</v>
      </c>
      <c r="B90" s="36">
        <v>3.9860302772191179E-2</v>
      </c>
      <c r="C90" s="36">
        <f t="shared" si="7"/>
        <v>2.3629252335267572</v>
      </c>
      <c r="D90" s="36">
        <f t="shared" si="14"/>
        <v>0.42320424946643842</v>
      </c>
      <c r="E90" s="36">
        <f>SUM($D$69:D90)</f>
        <v>14.843194219356938</v>
      </c>
      <c r="F90" s="36">
        <f t="shared" si="8"/>
        <v>3.8859273954750591E-2</v>
      </c>
      <c r="G90" s="42">
        <f t="shared" si="9"/>
        <v>3.8853653974023898E-2</v>
      </c>
      <c r="I90" s="36">
        <f t="shared" si="15"/>
        <v>11</v>
      </c>
      <c r="J90" s="36">
        <f>_xlfn.XLOOKUP(I90,[1]Sheet3!A66:A127,[1]Sheet3!B66:B127)</f>
        <v>3.5111223664028614E-2</v>
      </c>
      <c r="K90" s="36">
        <f t="shared" si="10"/>
        <v>1.4664909356758649</v>
      </c>
      <c r="L90" s="36">
        <f t="shared" si="11"/>
        <v>0.68189988473343532</v>
      </c>
      <c r="M90" s="36">
        <f>SUM($L$69:L90)</f>
        <v>17.989271488536918</v>
      </c>
      <c r="N90" s="36">
        <f t="shared" si="12"/>
        <v>1.7682768058131966E-2</v>
      </c>
      <c r="O90" s="36">
        <f t="shared" si="13"/>
        <v>3.5365536116263932E-2</v>
      </c>
    </row>
    <row r="91" spans="1:15" x14ac:dyDescent="0.2">
      <c r="A91" s="36">
        <f t="shared" si="6"/>
        <v>23</v>
      </c>
      <c r="B91" s="36">
        <v>3.9619390881372916E-2</v>
      </c>
      <c r="C91" s="36">
        <f t="shared" si="7"/>
        <v>2.4440525552403267</v>
      </c>
      <c r="D91" s="36">
        <f t="shared" si="14"/>
        <v>0.40915650437053258</v>
      </c>
      <c r="E91" s="36">
        <f>SUM($D$69:D91)</f>
        <v>15.252350723727471</v>
      </c>
      <c r="F91" s="36">
        <f t="shared" si="8"/>
        <v>3.8737864499163131E-2</v>
      </c>
      <c r="G91" s="42">
        <f t="shared" si="9"/>
        <v>3.8733473734636037E-2</v>
      </c>
      <c r="I91" s="36">
        <f t="shared" si="15"/>
        <v>11.5</v>
      </c>
      <c r="J91" s="36">
        <f>_xlfn.XLOOKUP(I91,[1]Sheet3!A67:A128,[1]Sheet3!B67:B128)</f>
        <v>3.5047284637723615E-2</v>
      </c>
      <c r="K91" s="36">
        <f t="shared" si="10"/>
        <v>1.4911581448477909</v>
      </c>
      <c r="L91" s="36">
        <f t="shared" si="11"/>
        <v>0.67061968139004768</v>
      </c>
      <c r="M91" s="36">
        <f>SUM($L$69:L91)</f>
        <v>18.659891169926965</v>
      </c>
      <c r="N91" s="36">
        <f t="shared" si="12"/>
        <v>1.765178133197234E-2</v>
      </c>
      <c r="O91" s="36">
        <f t="shared" si="13"/>
        <v>3.5303562663944681E-2</v>
      </c>
    </row>
    <row r="92" spans="1:15" x14ac:dyDescent="0.2">
      <c r="A92" s="36">
        <f t="shared" si="6"/>
        <v>24</v>
      </c>
      <c r="B92" s="36">
        <v>3.9295070370014847E-2</v>
      </c>
      <c r="C92" s="36">
        <f t="shared" si="7"/>
        <v>2.5219287685479235</v>
      </c>
      <c r="D92" s="36">
        <f t="shared" si="14"/>
        <v>0.39652190516696478</v>
      </c>
      <c r="E92" s="36">
        <f>SUM($D$69:D92)</f>
        <v>15.648872628894436</v>
      </c>
      <c r="F92" s="36">
        <f t="shared" si="8"/>
        <v>3.8563678620449592E-2</v>
      </c>
      <c r="G92" s="42">
        <f t="shared" si="9"/>
        <v>3.8560288911607066E-2</v>
      </c>
      <c r="I92" s="36">
        <f t="shared" si="15"/>
        <v>12</v>
      </c>
      <c r="J92" s="36">
        <f>_xlfn.XLOOKUP(I92,[1]Sheet3!A68:A129,[1]Sheet3!B68:B129)</f>
        <v>3.4983345611418623E-2</v>
      </c>
      <c r="K92" s="36">
        <f t="shared" si="10"/>
        <v>1.5161449617158897</v>
      </c>
      <c r="L92" s="36">
        <f t="shared" si="11"/>
        <v>0.65956753823081327</v>
      </c>
      <c r="M92" s="36">
        <f>SUM($L$69:L92)</f>
        <v>19.319458708157779</v>
      </c>
      <c r="N92" s="36">
        <f t="shared" si="12"/>
        <v>1.7621221531710758E-2</v>
      </c>
      <c r="O92" s="36">
        <f t="shared" si="13"/>
        <v>3.5242443063421516E-2</v>
      </c>
    </row>
    <row r="93" spans="1:15" x14ac:dyDescent="0.2">
      <c r="A93" s="36">
        <f t="shared" si="6"/>
        <v>25</v>
      </c>
      <c r="B93" s="36">
        <v>3.8781981149881781E-2</v>
      </c>
      <c r="C93" s="36">
        <f t="shared" si="7"/>
        <v>2.5888696984816848</v>
      </c>
      <c r="D93" s="36">
        <f t="shared" si="14"/>
        <v>0.38626895767928299</v>
      </c>
      <c r="E93" s="36">
        <f>SUM($D$69:D93)</f>
        <v>16.035141586573719</v>
      </c>
      <c r="F93" s="36">
        <f t="shared" si="8"/>
        <v>3.8274126798767787E-2</v>
      </c>
      <c r="G93" s="42">
        <f t="shared" si="9"/>
        <v>3.8272449051234787E-2</v>
      </c>
      <c r="I93" s="36">
        <f t="shared" si="15"/>
        <v>12.5</v>
      </c>
      <c r="J93" s="36">
        <f>_xlfn.XLOOKUP(I93,[1]Sheet3!A69:A130,[1]Sheet3!B69:B130)</f>
        <v>3.4919406585113624E-2</v>
      </c>
      <c r="K93" s="36">
        <f t="shared" si="10"/>
        <v>1.5414535696759102</v>
      </c>
      <c r="L93" s="36">
        <f t="shared" si="11"/>
        <v>0.64873832055171765</v>
      </c>
      <c r="M93" s="36">
        <f>SUM($L$69:L93)</f>
        <v>19.968197028709497</v>
      </c>
      <c r="N93" s="36">
        <f t="shared" si="12"/>
        <v>1.7591056365442108E-2</v>
      </c>
      <c r="O93" s="36">
        <f t="shared" si="13"/>
        <v>3.5182112730884216E-2</v>
      </c>
    </row>
    <row r="94" spans="1:15" x14ac:dyDescent="0.2">
      <c r="A94" s="36">
        <f t="shared" si="6"/>
        <v>26</v>
      </c>
      <c r="B94" s="36">
        <v>3.8166454519314441E-2</v>
      </c>
      <c r="C94" s="36">
        <f t="shared" si="7"/>
        <v>2.6481451462007897</v>
      </c>
      <c r="D94" s="36">
        <f t="shared" si="14"/>
        <v>0.37762280569653384</v>
      </c>
      <c r="E94" s="36">
        <f>SUM($D$69:D94)</f>
        <v>16.412764392270251</v>
      </c>
      <c r="F94" s="36">
        <f t="shared" si="8"/>
        <v>3.7920314910301199E-2</v>
      </c>
      <c r="G94" s="42">
        <f t="shared" si="9"/>
        <v>3.7921013400194402E-2</v>
      </c>
      <c r="I94" s="36">
        <f t="shared" si="15"/>
        <v>13</v>
      </c>
      <c r="J94" s="36">
        <f>_xlfn.XLOOKUP(I94,[1]Sheet3!A70:A131,[1]Sheet3!B70:B131)</f>
        <v>3.4855467558808625E-2</v>
      </c>
      <c r="K94" s="36">
        <f t="shared" si="10"/>
        <v>1.5670861272232659</v>
      </c>
      <c r="L94" s="36">
        <f t="shared" si="11"/>
        <v>0.63812701971391261</v>
      </c>
      <c r="M94" s="36">
        <f>SUM($L$69:L94)</f>
        <v>20.60632404842341</v>
      </c>
      <c r="N94" s="36">
        <f t="shared" si="12"/>
        <v>1.7561258351354244E-2</v>
      </c>
      <c r="O94" s="36">
        <f t="shared" si="13"/>
        <v>3.5122516702708488E-2</v>
      </c>
    </row>
    <row r="95" spans="1:15" x14ac:dyDescent="0.2">
      <c r="A95" s="36">
        <f t="shared" si="6"/>
        <v>27</v>
      </c>
      <c r="B95" s="36">
        <v>3.7625079150024637E-2</v>
      </c>
      <c r="C95" s="36">
        <f t="shared" si="7"/>
        <v>2.7107684347950558</v>
      </c>
      <c r="D95" s="36">
        <f t="shared" si="14"/>
        <v>0.36889908675493477</v>
      </c>
      <c r="E95" s="36">
        <f>SUM($D$69:D95)</f>
        <v>16.781663479025188</v>
      </c>
      <c r="F95" s="36">
        <f t="shared" si="8"/>
        <v>3.7606576608681025E-2</v>
      </c>
      <c r="G95" s="42">
        <f t="shared" si="9"/>
        <v>3.7608659893319331E-2</v>
      </c>
      <c r="I95" s="36">
        <f t="shared" si="15"/>
        <v>13.5</v>
      </c>
      <c r="J95" s="36">
        <f>_xlfn.XLOOKUP(I95,[1]Sheet3!A71:A132,[1]Sheet3!B71:B132)</f>
        <v>3.514674570235491E-2</v>
      </c>
      <c r="K95" s="36">
        <f t="shared" si="10"/>
        <v>1.6005705499736822</v>
      </c>
      <c r="L95" s="36">
        <f t="shared" si="11"/>
        <v>0.62477720836263217</v>
      </c>
      <c r="M95" s="36">
        <f>SUM($L$69:L95)</f>
        <v>21.231101256786044</v>
      </c>
      <c r="N95" s="36">
        <f t="shared" si="12"/>
        <v>1.7673260896791037E-2</v>
      </c>
      <c r="O95" s="36">
        <f t="shared" si="13"/>
        <v>3.5346521793582074E-2</v>
      </c>
    </row>
    <row r="96" spans="1:15" x14ac:dyDescent="0.2">
      <c r="A96" s="36">
        <f t="shared" si="6"/>
        <v>28</v>
      </c>
      <c r="B96" s="36">
        <v>3.7137950300847676E-2</v>
      </c>
      <c r="C96" s="36">
        <f t="shared" si="7"/>
        <v>2.7760208747774802</v>
      </c>
      <c r="D96" s="36">
        <f t="shared" si="14"/>
        <v>0.36022783873343817</v>
      </c>
      <c r="E96" s="36">
        <f>SUM($D$69:D96)</f>
        <v>17.141891317758624</v>
      </c>
      <c r="F96" s="36">
        <f t="shared" si="8"/>
        <v>3.7322145462663853E-2</v>
      </c>
      <c r="G96" s="42">
        <f t="shared" si="9"/>
        <v>3.7325740053133334E-2</v>
      </c>
      <c r="I96" s="36">
        <f t="shared" si="15"/>
        <v>14</v>
      </c>
      <c r="J96" s="36">
        <f>_xlfn.XLOOKUP(I96,[1]Sheet3!A72:A133,[1]Sheet3!B72:B133)</f>
        <v>3.5521464120698475E-2</v>
      </c>
      <c r="K96" s="36">
        <f t="shared" si="10"/>
        <v>1.6371155634465695</v>
      </c>
      <c r="L96" s="36">
        <f t="shared" si="11"/>
        <v>0.61083042781337349</v>
      </c>
      <c r="M96" s="36">
        <f>SUM($L$69:L96)</f>
        <v>21.841931684599416</v>
      </c>
      <c r="N96" s="36">
        <f t="shared" si="12"/>
        <v>1.7817543695598455E-2</v>
      </c>
      <c r="O96" s="36">
        <f t="shared" si="13"/>
        <v>3.5635087391196911E-2</v>
      </c>
    </row>
    <row r="97" spans="1:15" x14ac:dyDescent="0.2">
      <c r="A97" s="36">
        <f t="shared" si="6"/>
        <v>29</v>
      </c>
      <c r="B97" s="36">
        <v>3.6650821451670722E-2</v>
      </c>
      <c r="C97" s="36">
        <f t="shared" si="7"/>
        <v>2.8401572670291904</v>
      </c>
      <c r="D97" s="36">
        <f t="shared" si="14"/>
        <v>0.35209317864499873</v>
      </c>
      <c r="E97" s="36">
        <f>SUM($D$69:D97)</f>
        <v>17.493984496403623</v>
      </c>
      <c r="F97" s="36">
        <f t="shared" si="8"/>
        <v>3.7035977795006995E-2</v>
      </c>
      <c r="G97" s="42">
        <f t="shared" si="9"/>
        <v>3.7041084773430891E-2</v>
      </c>
      <c r="I97" s="36">
        <f t="shared" si="15"/>
        <v>14.5</v>
      </c>
      <c r="J97" s="36">
        <f>_xlfn.XLOOKUP(I97,[1]Sheet3!A73:A134,[1]Sheet3!B73:B134)</f>
        <v>3.5917895350591492E-2</v>
      </c>
      <c r="K97" s="36">
        <f t="shared" si="10"/>
        <v>1.6756281922737828</v>
      </c>
      <c r="L97" s="36">
        <f t="shared" si="11"/>
        <v>0.59679110473966579</v>
      </c>
      <c r="M97" s="36">
        <f>SUM($L$69:L97)</f>
        <v>22.438722789339081</v>
      </c>
      <c r="N97" s="36">
        <f t="shared" si="12"/>
        <v>1.7969333595578077E-2</v>
      </c>
      <c r="O97" s="36">
        <f t="shared" si="13"/>
        <v>3.5938667191156154E-2</v>
      </c>
    </row>
    <row r="98" spans="1:15" x14ac:dyDescent="0.2">
      <c r="A98" s="36">
        <f t="shared" si="6"/>
        <v>30</v>
      </c>
      <c r="B98" s="36">
        <v>3.624039521134207E-2</v>
      </c>
      <c r="C98" s="36">
        <f t="shared" si="7"/>
        <v>2.9094811283820992</v>
      </c>
      <c r="D98" s="36">
        <f t="shared" si="14"/>
        <v>0.34370389628754144</v>
      </c>
      <c r="E98" s="36">
        <f>SUM($D$69:D98)</f>
        <v>17.837688392691163</v>
      </c>
      <c r="F98" s="36">
        <f t="shared" si="8"/>
        <v>3.6792665577753347E-2</v>
      </c>
      <c r="G98" s="42">
        <f t="shared" si="9"/>
        <v>3.6798644539839415E-2</v>
      </c>
      <c r="I98" s="36">
        <f t="shared" si="15"/>
        <v>15</v>
      </c>
      <c r="J98" s="36">
        <f>_xlfn.XLOOKUP(I98,[1]Sheet3!A74:A135,[1]Sheet3!B74:B135)</f>
        <v>3.6319426905345127E-2</v>
      </c>
      <c r="K98" s="36">
        <f t="shared" si="10"/>
        <v>1.7158418897067604</v>
      </c>
      <c r="L98" s="36">
        <f t="shared" si="11"/>
        <v>0.58280428167591902</v>
      </c>
      <c r="M98" s="36">
        <f>SUM($L$69:L98)</f>
        <v>23.021527071015001</v>
      </c>
      <c r="N98" s="36">
        <f t="shared" si="12"/>
        <v>1.8121982830988943E-2</v>
      </c>
      <c r="O98" s="36">
        <f t="shared" si="13"/>
        <v>3.6243965661977885E-2</v>
      </c>
    </row>
    <row r="99" spans="1:15" x14ac:dyDescent="0.2">
      <c r="I99" s="36">
        <f t="shared" si="15"/>
        <v>15.5</v>
      </c>
      <c r="J99" s="36">
        <f>_xlfn.XLOOKUP(I99,[1]Sheet3!A75:A136,[1]Sheet3!B75:B136)</f>
        <v>3.6657351290432516E-2</v>
      </c>
      <c r="K99" s="36">
        <f t="shared" si="10"/>
        <v>1.7560107787345896</v>
      </c>
      <c r="L99" s="36">
        <f t="shared" si="11"/>
        <v>0.56947258644996279</v>
      </c>
      <c r="M99" s="36">
        <f>SUM($L$69:L99)</f>
        <v>23.590999657464963</v>
      </c>
      <c r="N99" s="36">
        <f>(1-L99)/M99</f>
        <v>1.8249646890813476E-2</v>
      </c>
      <c r="O99" s="36">
        <f t="shared" si="13"/>
        <v>3.6499293781626953E-2</v>
      </c>
    </row>
    <row r="100" spans="1:15" x14ac:dyDescent="0.2">
      <c r="D100" s="36">
        <f>SUM(D69:D98)</f>
        <v>17.837688392691163</v>
      </c>
      <c r="G100" s="41"/>
      <c r="I100" s="36">
        <f t="shared" si="15"/>
        <v>16</v>
      </c>
      <c r="J100" s="36">
        <f>_xlfn.XLOOKUP(I100,[1]Sheet3!A76:A137,[1]Sheet3!B76:B137)</f>
        <v>3.6980334394054681E-2</v>
      </c>
      <c r="K100" s="36">
        <f t="shared" si="10"/>
        <v>1.7972930610612912</v>
      </c>
      <c r="L100" s="36">
        <f t="shared" si="11"/>
        <v>0.55639228886217684</v>
      </c>
      <c r="M100" s="36">
        <f>SUM($L$69:L100)</f>
        <v>24.14739194632714</v>
      </c>
      <c r="N100" s="36">
        <f t="shared" si="12"/>
        <v>1.8370833261158733E-2</v>
      </c>
      <c r="O100" s="36">
        <f t="shared" si="13"/>
        <v>3.6741666522317466E-2</v>
      </c>
    </row>
    <row r="101" spans="1:15" x14ac:dyDescent="0.2">
      <c r="G101" s="41"/>
      <c r="I101" s="36">
        <f t="shared" si="15"/>
        <v>16.5</v>
      </c>
      <c r="J101" s="36">
        <f>_xlfn.XLOOKUP(I101,[1]Sheet3!A77:A138,[1]Sheet3!B77:B138)</f>
        <v>3.7275640735448916E-2</v>
      </c>
      <c r="K101" s="36">
        <f t="shared" si="10"/>
        <v>1.8393030627066473</v>
      </c>
      <c r="L101" s="36">
        <f t="shared" si="11"/>
        <v>0.54368419227685005</v>
      </c>
      <c r="M101" s="36">
        <f>SUM($L$69:L101)</f>
        <v>24.691076138603989</v>
      </c>
      <c r="N101" s="36">
        <f t="shared" si="12"/>
        <v>1.8481001199040878E-2</v>
      </c>
      <c r="O101" s="36">
        <f t="shared" si="13"/>
        <v>3.6962002398081756E-2</v>
      </c>
    </row>
    <row r="102" spans="1:15" x14ac:dyDescent="0.2">
      <c r="I102" s="36">
        <f t="shared" si="15"/>
        <v>17</v>
      </c>
      <c r="J102" s="36">
        <f>_xlfn.XLOOKUP(I102,[1]Sheet3!A78:A139,[1]Sheet3!B78:B139)</f>
        <v>3.7564445823970817E-2</v>
      </c>
      <c r="K102" s="36">
        <f t="shared" si="10"/>
        <v>1.8826352187267859</v>
      </c>
      <c r="L102" s="36">
        <f t="shared" si="11"/>
        <v>0.53117034572225497</v>
      </c>
      <c r="M102" s="36">
        <f>SUM($L$69:L102)</f>
        <v>25.222246484326245</v>
      </c>
      <c r="N102" s="36">
        <f t="shared" si="12"/>
        <v>1.8587941980865497E-2</v>
      </c>
      <c r="O102" s="36">
        <f t="shared" si="13"/>
        <v>3.7175883961730993E-2</v>
      </c>
    </row>
    <row r="103" spans="1:15" x14ac:dyDescent="0.2">
      <c r="I103" s="36">
        <f t="shared" si="15"/>
        <v>17.5</v>
      </c>
      <c r="J103" s="36">
        <f>_xlfn.XLOOKUP(I103,[1]Sheet3!A79:A140,[1]Sheet3!B79:B140)</f>
        <v>3.7853250912492718E-2</v>
      </c>
      <c r="K103" s="36">
        <f t="shared" si="10"/>
        <v>1.9275332621209027</v>
      </c>
      <c r="L103" s="36">
        <f t="shared" si="11"/>
        <v>0.5187977917951363</v>
      </c>
      <c r="M103" s="36">
        <f>SUM($L$69:L103)</f>
        <v>25.741044276121382</v>
      </c>
      <c r="N103" s="36">
        <f t="shared" si="12"/>
        <v>1.8693966066141682E-2</v>
      </c>
      <c r="O103" s="36">
        <f t="shared" si="13"/>
        <v>3.7387932132283364E-2</v>
      </c>
    </row>
    <row r="104" spans="1:15" x14ac:dyDescent="0.2">
      <c r="I104" s="36">
        <f t="shared" si="15"/>
        <v>18</v>
      </c>
      <c r="J104" s="36">
        <f>_xlfn.XLOOKUP(I104,[1]Sheet3!A80:A141,[1]Sheet3!B80:B141)</f>
        <v>3.8310937891640473E-2</v>
      </c>
      <c r="K104" s="36">
        <f t="shared" si="10"/>
        <v>1.9799572583827032</v>
      </c>
      <c r="L104" s="36">
        <f t="shared" si="11"/>
        <v>0.50506140764717022</v>
      </c>
      <c r="M104" s="36">
        <f>SUM($L$69:L104)</f>
        <v>26.246105683768551</v>
      </c>
      <c r="N104" s="36">
        <f t="shared" si="12"/>
        <v>1.8857601135810254E-2</v>
      </c>
      <c r="O104" s="36">
        <f t="shared" si="13"/>
        <v>3.7715202271620507E-2</v>
      </c>
    </row>
    <row r="105" spans="1:15" x14ac:dyDescent="0.2">
      <c r="I105" s="36">
        <f t="shared" si="15"/>
        <v>18.5</v>
      </c>
      <c r="J105" s="36">
        <f>_xlfn.XLOOKUP(I105,[1]Sheet3!A81:A142,[1]Sheet3!B81:B142)</f>
        <v>3.8808295113552688E-2</v>
      </c>
      <c r="K105" s="36">
        <f t="shared" si="10"/>
        <v>2.0361823122690637</v>
      </c>
      <c r="L105" s="36">
        <f t="shared" si="11"/>
        <v>0.4911151589788777</v>
      </c>
      <c r="M105" s="36">
        <f>SUM($L$69:L105)</f>
        <v>26.73722084274743</v>
      </c>
      <c r="N105" s="36">
        <f t="shared" si="12"/>
        <v>1.9032824840475492E-2</v>
      </c>
      <c r="O105" s="36">
        <f t="shared" si="13"/>
        <v>3.8065649680950983E-2</v>
      </c>
    </row>
    <row r="106" spans="1:15" x14ac:dyDescent="0.2">
      <c r="I106" s="36">
        <f t="shared" si="15"/>
        <v>19</v>
      </c>
      <c r="J106" s="36">
        <f>_xlfn.XLOOKUP(I106,[1]Sheet3!A82:A143,[1]Sheet3!B82:B143)</f>
        <v>3.9069630943248307E-2</v>
      </c>
      <c r="K106" s="36">
        <f t="shared" si="10"/>
        <v>2.0858271269842441</v>
      </c>
      <c r="L106" s="36">
        <f t="shared" si="11"/>
        <v>0.47942611689293357</v>
      </c>
      <c r="M106" s="36">
        <f>SUM($L$69:L106)</f>
        <v>27.216646959640364</v>
      </c>
      <c r="N106" s="36">
        <f t="shared" si="12"/>
        <v>1.9127039560715424E-2</v>
      </c>
      <c r="O106" s="36">
        <f t="shared" si="13"/>
        <v>3.8254079121430848E-2</v>
      </c>
    </row>
    <row r="107" spans="1:15" x14ac:dyDescent="0.2">
      <c r="I107" s="36">
        <f t="shared" si="15"/>
        <v>19.5</v>
      </c>
      <c r="J107" s="36">
        <f>_xlfn.XLOOKUP(I107,[1]Sheet3!A83:A144,[1]Sheet3!B83:B144)</f>
        <v>3.9275525506315856E-2</v>
      </c>
      <c r="K107" s="36">
        <f t="shared" si="10"/>
        <v>2.1349639407178302</v>
      </c>
      <c r="L107" s="36">
        <f t="shared" si="11"/>
        <v>0.46839198589170272</v>
      </c>
      <c r="M107" s="36">
        <f>SUM($L$69:L107)</f>
        <v>27.685038945532067</v>
      </c>
      <c r="N107" s="36">
        <f t="shared" si="12"/>
        <v>1.9201996253434585E-2</v>
      </c>
      <c r="O107" s="36">
        <f t="shared" si="13"/>
        <v>3.840399250686917E-2</v>
      </c>
    </row>
    <row r="108" spans="1:15" x14ac:dyDescent="0.2">
      <c r="I108" s="36">
        <f t="shared" si="15"/>
        <v>20</v>
      </c>
      <c r="J108" s="36">
        <f>_xlfn.XLOOKUP(I108,[1]Sheet3!A84:A145,[1]Sheet3!B84:B145)</f>
        <v>3.9481420069383405E-2</v>
      </c>
      <c r="K108" s="36">
        <f t="shared" si="10"/>
        <v>2.185698736465111</v>
      </c>
      <c r="L108" s="36">
        <f t="shared" si="11"/>
        <v>0.45751959467995162</v>
      </c>
      <c r="M108" s="36">
        <f>SUM($L$69:L108)</f>
        <v>28.142558540212018</v>
      </c>
      <c r="N108" s="36">
        <f t="shared" si="12"/>
        <v>1.9276158013313366E-2</v>
      </c>
      <c r="O108" s="36">
        <f t="shared" si="13"/>
        <v>3.8552316026626732E-2</v>
      </c>
    </row>
    <row r="109" spans="1:15" x14ac:dyDescent="0.2">
      <c r="I109" s="36">
        <f t="shared" si="15"/>
        <v>20.5</v>
      </c>
      <c r="J109" s="36">
        <f>_xlfn.XLOOKUP(I109,[1]Sheet3!A85:A146,[1]Sheet3!B85:B146)</f>
        <v>3.9687314632450954E-2</v>
      </c>
      <c r="K109" s="36">
        <f t="shared" si="10"/>
        <v>2.238090114438092</v>
      </c>
      <c r="L109" s="36">
        <f t="shared" si="11"/>
        <v>0.44680953351651159</v>
      </c>
      <c r="M109" s="36">
        <f>SUM($L$69:L109)</f>
        <v>28.589368073728529</v>
      </c>
      <c r="N109" s="36">
        <f t="shared" si="12"/>
        <v>1.9349517102192567E-2</v>
      </c>
      <c r="O109" s="36">
        <f t="shared" si="13"/>
        <v>3.8699034204385134E-2</v>
      </c>
    </row>
    <row r="110" spans="1:15" x14ac:dyDescent="0.2">
      <c r="I110" s="36">
        <f t="shared" si="15"/>
        <v>21</v>
      </c>
      <c r="J110" s="36">
        <f>_xlfn.XLOOKUP(I110,[1]Sheet3!A86:A147,[1]Sheet3!B86:B147)</f>
        <v>3.9893872033070557E-2</v>
      </c>
      <c r="K110" s="36">
        <f t="shared" si="10"/>
        <v>2.2922303648996056</v>
      </c>
      <c r="L110" s="36">
        <f t="shared" si="11"/>
        <v>0.43625632716186347</v>
      </c>
      <c r="M110" s="36">
        <f>SUM($L$69:L110)</f>
        <v>29.025624400890393</v>
      </c>
      <c r="N110" s="36">
        <f t="shared" si="12"/>
        <v>1.9422275471215809E-2</v>
      </c>
      <c r="O110" s="36">
        <f t="shared" si="13"/>
        <v>3.8844550942431617E-2</v>
      </c>
    </row>
    <row r="111" spans="1:15" x14ac:dyDescent="0.2">
      <c r="I111" s="36">
        <f t="shared" si="15"/>
        <v>21.5</v>
      </c>
      <c r="J111" s="36">
        <f>_xlfn.XLOOKUP(I111,[1]Sheet3!A87:A148,[1]Sheet3!B87:B148)</f>
        <v>3.9900713347888715E-2</v>
      </c>
      <c r="K111" s="36">
        <f t="shared" si="10"/>
        <v>2.338290521265928</v>
      </c>
      <c r="L111" s="36">
        <f t="shared" si="11"/>
        <v>0.42766285493840589</v>
      </c>
      <c r="M111" s="36">
        <f>SUM($L$69:L111)</f>
        <v>29.453287255828798</v>
      </c>
      <c r="N111" s="36">
        <f t="shared" si="12"/>
        <v>1.9432029440052699E-2</v>
      </c>
      <c r="O111" s="36">
        <f t="shared" si="13"/>
        <v>3.8864058880105398E-2</v>
      </c>
    </row>
    <row r="112" spans="1:15" x14ac:dyDescent="0.2">
      <c r="I112" s="36">
        <f t="shared" si="15"/>
        <v>22</v>
      </c>
      <c r="J112" s="36">
        <f>_xlfn.XLOOKUP(I112,[1]Sheet3!A88:A149,[1]Sheet3!B88:B149)</f>
        <v>3.9860302772191179E-2</v>
      </c>
      <c r="K112" s="36">
        <f t="shared" si="10"/>
        <v>2.3828623196748464</v>
      </c>
      <c r="L112" s="36">
        <f t="shared" si="11"/>
        <v>0.41966335685582329</v>
      </c>
      <c r="M112" s="36">
        <f>SUM($L$69:L112)</f>
        <v>29.872950612684622</v>
      </c>
      <c r="N112" s="36">
        <f t="shared" si="12"/>
        <v>1.9426826987011949E-2</v>
      </c>
      <c r="O112" s="36">
        <f t="shared" si="13"/>
        <v>3.8853653974023898E-2</v>
      </c>
    </row>
    <row r="113" spans="9:15" x14ac:dyDescent="0.2">
      <c r="I113" s="36">
        <f t="shared" si="15"/>
        <v>22.5</v>
      </c>
      <c r="J113" s="36">
        <f>_xlfn.XLOOKUP(I113,[1]Sheet3!A89:A150,[1]Sheet3!B89:B150)</f>
        <v>3.9781551137051951E-2</v>
      </c>
      <c r="K113" s="36">
        <f t="shared" si="10"/>
        <v>2.4261344887189162</v>
      </c>
      <c r="L113" s="36">
        <f t="shared" si="11"/>
        <v>0.41217830447974668</v>
      </c>
      <c r="M113" s="36">
        <f>SUM($L$69:L113)</f>
        <v>30.285128917164368</v>
      </c>
      <c r="N113" s="36">
        <f t="shared" si="12"/>
        <v>1.9409582079972593E-2</v>
      </c>
      <c r="O113" s="36">
        <f t="shared" si="13"/>
        <v>3.8819164159945185E-2</v>
      </c>
    </row>
    <row r="114" spans="9:15" x14ac:dyDescent="0.2">
      <c r="I114" s="36">
        <f t="shared" si="15"/>
        <v>23</v>
      </c>
      <c r="J114" s="36">
        <f>_xlfn.XLOOKUP(I114,[1]Sheet3!A90:A151,[1]Sheet3!B90:B151)</f>
        <v>3.9619390881372916E-2</v>
      </c>
      <c r="K114" s="36">
        <f t="shared" si="10"/>
        <v>2.4653596325897231</v>
      </c>
      <c r="L114" s="36">
        <f t="shared" si="11"/>
        <v>0.40562033497301797</v>
      </c>
      <c r="M114" s="36">
        <f>SUM($L$69:L114)</f>
        <v>30.690749252137387</v>
      </c>
      <c r="N114" s="36">
        <f t="shared" si="12"/>
        <v>1.9366736867318018E-2</v>
      </c>
      <c r="O114" s="36">
        <f t="shared" si="13"/>
        <v>3.8733473734636037E-2</v>
      </c>
    </row>
    <row r="115" spans="9:15" x14ac:dyDescent="0.2">
      <c r="I115" s="36">
        <f t="shared" si="15"/>
        <v>23.5</v>
      </c>
      <c r="J115" s="36">
        <f>_xlfn.XLOOKUP(I115,[1]Sheet3!A91:A152,[1]Sheet3!B91:B152)</f>
        <v>3.9457230625693882E-2</v>
      </c>
      <c r="K115" s="36">
        <f t="shared" si="10"/>
        <v>2.5048199066107792</v>
      </c>
      <c r="L115" s="36">
        <f t="shared" si="11"/>
        <v>0.3992302988972487</v>
      </c>
      <c r="M115" s="36">
        <f>SUM($L$69:L115)</f>
        <v>31.089979551034634</v>
      </c>
      <c r="N115" s="36">
        <f t="shared" si="12"/>
        <v>1.9323579808619026E-2</v>
      </c>
      <c r="O115" s="36">
        <f t="shared" si="13"/>
        <v>3.8647159617238053E-2</v>
      </c>
    </row>
    <row r="116" spans="9:15" x14ac:dyDescent="0.2">
      <c r="I116" s="36">
        <f t="shared" si="15"/>
        <v>24</v>
      </c>
      <c r="J116" s="36">
        <f>_xlfn.XLOOKUP(I116,[1]Sheet3!A92:A153,[1]Sheet3!B92:B153)</f>
        <v>3.9295070370014847E-2</v>
      </c>
      <c r="K116" s="36">
        <f t="shared" si="10"/>
        <v>2.5445063541413711</v>
      </c>
      <c r="L116" s="36">
        <f t="shared" si="11"/>
        <v>0.39300353814107264</v>
      </c>
      <c r="M116" s="36">
        <f>SUM($L$69:L116)</f>
        <v>31.482983089175708</v>
      </c>
      <c r="N116" s="36">
        <f t="shared" si="12"/>
        <v>1.9280144455803533E-2</v>
      </c>
      <c r="O116" s="36">
        <f t="shared" si="13"/>
        <v>3.8560288911607066E-2</v>
      </c>
    </row>
    <row r="117" spans="9:15" x14ac:dyDescent="0.2">
      <c r="I117" s="36">
        <f t="shared" si="15"/>
        <v>24.5</v>
      </c>
      <c r="J117" s="36">
        <f>_xlfn.XLOOKUP(I117,[1]Sheet3!A93:A154,[1]Sheet3!B93:B154)</f>
        <v>3.9048446037436492E-2</v>
      </c>
      <c r="K117" s="36">
        <f t="shared" si="10"/>
        <v>2.5791695113152699</v>
      </c>
      <c r="L117" s="36">
        <f t="shared" si="11"/>
        <v>0.38772170484057922</v>
      </c>
      <c r="M117" s="36">
        <f>SUM($L$69:L117)</f>
        <v>31.870704794016287</v>
      </c>
      <c r="N117" s="36">
        <f t="shared" si="12"/>
        <v>1.9211319583819678E-2</v>
      </c>
      <c r="O117" s="36">
        <f t="shared" si="13"/>
        <v>3.8422639167639355E-2</v>
      </c>
    </row>
    <row r="118" spans="9:15" x14ac:dyDescent="0.2">
      <c r="I118" s="36">
        <f t="shared" si="15"/>
        <v>25</v>
      </c>
      <c r="J118" s="36">
        <f>_xlfn.XLOOKUP(I118,[1]Sheet3!A94:A155,[1]Sheet3!B94:B155)</f>
        <v>3.8781981149881781E-2</v>
      </c>
      <c r="K118" s="36">
        <f t="shared" si="10"/>
        <v>2.6123992339596915</v>
      </c>
      <c r="L118" s="36">
        <f t="shared" si="11"/>
        <v>0.38278988410369041</v>
      </c>
      <c r="M118" s="36">
        <f>SUM($L$69:L118)</f>
        <v>32.253494678119978</v>
      </c>
      <c r="N118" s="36">
        <f t="shared" si="12"/>
        <v>1.9136224525617394E-2</v>
      </c>
      <c r="O118" s="36">
        <f t="shared" si="13"/>
        <v>3.8272449051234787E-2</v>
      </c>
    </row>
    <row r="119" spans="9:15" x14ac:dyDescent="0.2">
      <c r="I119" s="36">
        <f t="shared" si="15"/>
        <v>25.5</v>
      </c>
      <c r="J119" s="36">
        <f>_xlfn.XLOOKUP(I119,[1]Sheet3!A95:A156,[1]Sheet3!B95:B156)</f>
        <v>3.8515516262327069E-2</v>
      </c>
      <c r="K119" s="36">
        <f t="shared" si="10"/>
        <v>2.6453632463501897</v>
      </c>
      <c r="L119" s="36">
        <f t="shared" si="11"/>
        <v>0.37801991895808673</v>
      </c>
      <c r="M119" s="36">
        <f>SUM($L$69:L119)</f>
        <v>32.631514597078066</v>
      </c>
      <c r="N119" s="36">
        <f t="shared" si="12"/>
        <v>1.9060717491109266E-2</v>
      </c>
      <c r="O119" s="36">
        <f t="shared" si="13"/>
        <v>3.8121434982218531E-2</v>
      </c>
    </row>
    <row r="120" spans="9:15" x14ac:dyDescent="0.2">
      <c r="I120" s="36">
        <f t="shared" si="15"/>
        <v>26</v>
      </c>
      <c r="J120" s="36">
        <f>_xlfn.XLOOKUP(I120,[1]Sheet3!A96:A157,[1]Sheet3!B96:B157)</f>
        <v>3.8166454519314441E-2</v>
      </c>
      <c r="K120" s="36">
        <f t="shared" si="10"/>
        <v>2.6724032715241743</v>
      </c>
      <c r="L120" s="36">
        <f t="shared" si="11"/>
        <v>0.37419502163296692</v>
      </c>
      <c r="M120" s="36">
        <f>SUM($L$69:L120)</f>
        <v>33.00570961871103</v>
      </c>
      <c r="N120" s="36">
        <f t="shared" si="12"/>
        <v>1.8960506700097201E-2</v>
      </c>
      <c r="O120" s="36">
        <f t="shared" si="13"/>
        <v>3.7921013400194402E-2</v>
      </c>
    </row>
    <row r="121" spans="9:15" x14ac:dyDescent="0.2">
      <c r="I121" s="36">
        <f t="shared" si="15"/>
        <v>26.5</v>
      </c>
      <c r="J121" s="36">
        <f>_xlfn.XLOOKUP(I121,[1]Sheet3!A97:A158,[1]Sheet3!B97:B158)</f>
        <v>3.7868643574613114E-2</v>
      </c>
      <c r="K121" s="36">
        <f t="shared" si="10"/>
        <v>2.7023906958792407</v>
      </c>
      <c r="L121" s="36">
        <f t="shared" si="11"/>
        <v>0.37004271866568256</v>
      </c>
      <c r="M121" s="36">
        <f>SUM($L$69:L121)</f>
        <v>33.37575233737671</v>
      </c>
      <c r="N121" s="36">
        <f t="shared" si="12"/>
        <v>1.8874699061954728E-2</v>
      </c>
      <c r="O121" s="36">
        <f t="shared" si="13"/>
        <v>3.7749398123909456E-2</v>
      </c>
    </row>
    <row r="122" spans="9:15" x14ac:dyDescent="0.2">
      <c r="I122" s="36">
        <f t="shared" si="15"/>
        <v>27</v>
      </c>
      <c r="J122" s="36">
        <f>_xlfn.XLOOKUP(I122,[1]Sheet3!A98:A159,[1]Sheet3!B98:B159)</f>
        <v>3.7625079150024637E-2</v>
      </c>
      <c r="K122" s="36">
        <f t="shared" si="10"/>
        <v>2.7358432332932066</v>
      </c>
      <c r="L122" s="36">
        <f t="shared" si="11"/>
        <v>0.36551801939187634</v>
      </c>
      <c r="M122" s="36">
        <f>SUM($L$69:L122)</f>
        <v>33.741270356768588</v>
      </c>
      <c r="N122" s="36">
        <f t="shared" si="12"/>
        <v>1.8804329946659665E-2</v>
      </c>
      <c r="O122" s="36">
        <f t="shared" si="13"/>
        <v>3.7608659893319331E-2</v>
      </c>
    </row>
    <row r="123" spans="9:15" x14ac:dyDescent="0.2">
      <c r="I123" s="36">
        <f t="shared" si="15"/>
        <v>27.5</v>
      </c>
      <c r="J123" s="36">
        <f>_xlfn.XLOOKUP(I123,[1]Sheet3!A99:A160,[1]Sheet3!B99:B160)</f>
        <v>3.738151472543616E-2</v>
      </c>
      <c r="K123" s="36">
        <f t="shared" si="10"/>
        <v>2.7690456717445953</v>
      </c>
      <c r="L123" s="36">
        <f t="shared" si="11"/>
        <v>0.36113524966526289</v>
      </c>
      <c r="M123" s="36">
        <f>SUM($L$69:L123)</f>
        <v>34.102405606433848</v>
      </c>
      <c r="N123" s="36">
        <f t="shared" si="12"/>
        <v>1.8733715084727254E-2</v>
      </c>
      <c r="O123" s="36">
        <f t="shared" si="13"/>
        <v>3.7467430169454509E-2</v>
      </c>
    </row>
    <row r="124" spans="9:15" x14ac:dyDescent="0.2">
      <c r="I124" s="36">
        <f t="shared" si="15"/>
        <v>28</v>
      </c>
      <c r="J124" s="36">
        <f>_xlfn.XLOOKUP(I124,[1]Sheet3!A100:A161,[1]Sheet3!B100:B161)</f>
        <v>3.7137950300847676E-2</v>
      </c>
      <c r="K124" s="36">
        <f t="shared" si="10"/>
        <v>2.8019788341982266</v>
      </c>
      <c r="L124" s="36">
        <f t="shared" si="11"/>
        <v>0.35689063307508723</v>
      </c>
      <c r="M124" s="36">
        <f>SUM($L$69:L124)</f>
        <v>34.459296239508937</v>
      </c>
      <c r="N124" s="36">
        <f t="shared" si="12"/>
        <v>1.8662870026566667E-2</v>
      </c>
      <c r="O124" s="36">
        <f t="shared" si="13"/>
        <v>3.7325740053133334E-2</v>
      </c>
    </row>
    <row r="125" spans="9:15" x14ac:dyDescent="0.2">
      <c r="I125" s="36">
        <f t="shared" si="15"/>
        <v>28.5</v>
      </c>
      <c r="J125" s="36">
        <f>_xlfn.XLOOKUP(I125,[1]Sheet3!A101:A162,[1]Sheet3!B101:B162)</f>
        <v>3.6894385876259199E-2</v>
      </c>
      <c r="K125" s="36">
        <f t="shared" si="10"/>
        <v>2.8346235038096581</v>
      </c>
      <c r="L125" s="36">
        <f t="shared" si="11"/>
        <v>0.35278053634143186</v>
      </c>
      <c r="M125" s="36">
        <f>SUM($L$69:L125)</f>
        <v>34.812076775850372</v>
      </c>
      <c r="N125" s="36">
        <f t="shared" si="12"/>
        <v>1.8591808464226801E-2</v>
      </c>
      <c r="O125" s="36">
        <f t="shared" si="13"/>
        <v>3.7183616928453601E-2</v>
      </c>
    </row>
    <row r="126" spans="9:15" x14ac:dyDescent="0.2">
      <c r="I126" s="36">
        <f t="shared" si="15"/>
        <v>29</v>
      </c>
      <c r="J126" s="36">
        <f>_xlfn.XLOOKUP(I126,[1]Sheet3!A102:A163,[1]Sheet3!B102:B163)</f>
        <v>3.6650821451670722E-2</v>
      </c>
      <c r="K126" s="36">
        <f t="shared" si="10"/>
        <v>2.8669604420690598</v>
      </c>
      <c r="L126" s="36">
        <f t="shared" si="11"/>
        <v>0.34880146420098807</v>
      </c>
      <c r="M126" s="36">
        <f>SUM($L$69:L126)</f>
        <v>35.16087824005136</v>
      </c>
      <c r="N126" s="36">
        <f t="shared" si="12"/>
        <v>1.8520542386715445E-2</v>
      </c>
      <c r="O126" s="36">
        <f t="shared" si="13"/>
        <v>3.7041084773430891E-2</v>
      </c>
    </row>
    <row r="127" spans="9:15" x14ac:dyDescent="0.2">
      <c r="I127" s="36">
        <f t="shared" si="15"/>
        <v>29.5</v>
      </c>
      <c r="J127" s="36">
        <f>_xlfn.XLOOKUP(I127,[1]Sheet3!A103:A164,[1]Sheet3!B103:B164)</f>
        <v>3.6407257027082245E-2</v>
      </c>
      <c r="K127" s="36">
        <f t="shared" si="10"/>
        <v>2.89897040719333</v>
      </c>
      <c r="L127" s="36">
        <f t="shared" si="11"/>
        <v>0.34495005451544469</v>
      </c>
      <c r="M127" s="36">
        <f>SUM($L$69:L127)</f>
        <v>35.505828294566804</v>
      </c>
      <c r="N127" s="36">
        <f t="shared" si="12"/>
        <v>1.8449082219687093E-2</v>
      </c>
      <c r="O127" s="36">
        <f t="shared" si="13"/>
        <v>3.6898164439374187E-2</v>
      </c>
    </row>
    <row r="128" spans="9:15" x14ac:dyDescent="0.2">
      <c r="I128" s="36">
        <f t="shared" si="15"/>
        <v>30</v>
      </c>
      <c r="J128" s="36">
        <f>_xlfn.XLOOKUP(I128,[1]Sheet3!A104:A165,[1]Sheet3!B104:B165)</f>
        <v>3.624039521134207E-2</v>
      </c>
      <c r="K128" s="36">
        <f t="shared" si="10"/>
        <v>2.9372653861984785</v>
      </c>
      <c r="L128" s="36">
        <f t="shared" si="11"/>
        <v>0.34045272337282345</v>
      </c>
      <c r="M128" s="36">
        <f>SUM($L$69:L128)</f>
        <v>35.846281017939624</v>
      </c>
      <c r="N128" s="36">
        <f t="shared" si="12"/>
        <v>1.8399322269919707E-2</v>
      </c>
      <c r="O128" s="36">
        <f t="shared" si="13"/>
        <v>3.6798644539839415E-2</v>
      </c>
    </row>
    <row r="129" s="36" customFormat="1" x14ac:dyDescent="0.2"/>
    <row r="130" s="36" customFormat="1" x14ac:dyDescent="0.2"/>
    <row r="131" s="36" customFormat="1" x14ac:dyDescent="0.2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70BA9-3517-FF47-854E-C786F932E055}">
  <sheetPr codeName="Sheet8"/>
  <dimension ref="A1:AM128"/>
  <sheetViews>
    <sheetView topLeftCell="A3" zoomScale="72" zoomScaleNormal="72" workbookViewId="0">
      <selection activeCell="L9" sqref="L9"/>
    </sheetView>
  </sheetViews>
  <sheetFormatPr baseColWidth="10" defaultColWidth="9.1640625" defaultRowHeight="13" x14ac:dyDescent="0.15"/>
  <cols>
    <col min="1" max="1" width="4.6640625" style="3" customWidth="1"/>
    <col min="2" max="2" width="11.1640625" style="3" bestFit="1" customWidth="1"/>
    <col min="3" max="5" width="9.1640625" style="3"/>
    <col min="6" max="6" width="3.6640625" style="3" customWidth="1"/>
    <col min="7" max="8" width="9.1640625" style="3"/>
    <col min="9" max="9" width="20" style="3" customWidth="1"/>
    <col min="10" max="11" width="3.33203125" style="3" customWidth="1"/>
    <col min="12" max="12" width="10.6640625" style="3" customWidth="1"/>
    <col min="13" max="14" width="9.1640625" style="3" customWidth="1"/>
    <col min="15" max="23" width="18.1640625" style="3" customWidth="1"/>
    <col min="24" max="24" width="9.1640625" style="3"/>
    <col min="25" max="25" width="13.1640625" style="12" bestFit="1" customWidth="1"/>
    <col min="26" max="28" width="12.33203125" style="3" customWidth="1"/>
    <col min="29" max="29" width="3.33203125" style="3" customWidth="1"/>
    <col min="30" max="30" width="9.1640625" style="2"/>
    <col min="31" max="16384" width="9.1640625" style="3"/>
  </cols>
  <sheetData>
    <row r="1" spans="1:39" x14ac:dyDescent="0.15">
      <c r="B1" s="2" t="s">
        <v>8</v>
      </c>
      <c r="X1" s="12"/>
      <c r="AD1" s="2" t="s">
        <v>20</v>
      </c>
    </row>
    <row r="2" spans="1:39" x14ac:dyDescent="0.15">
      <c r="X2" s="12"/>
    </row>
    <row r="3" spans="1:39" x14ac:dyDescent="0.15">
      <c r="B3" s="2" t="s">
        <v>0</v>
      </c>
      <c r="C3" s="7">
        <v>40214</v>
      </c>
      <c r="X3" s="12"/>
      <c r="AD3" s="14" t="s">
        <v>22</v>
      </c>
      <c r="AE3" s="15"/>
      <c r="AF3" s="15"/>
      <c r="AG3" s="15"/>
      <c r="AH3" s="15"/>
      <c r="AI3" s="15"/>
      <c r="AJ3" s="15"/>
      <c r="AK3" s="15"/>
      <c r="AL3" s="15"/>
      <c r="AM3" s="15"/>
    </row>
    <row r="4" spans="1:39" x14ac:dyDescent="0.15">
      <c r="B4" s="2" t="s">
        <v>4</v>
      </c>
      <c r="C4" s="3">
        <v>100</v>
      </c>
      <c r="X4" s="12"/>
      <c r="AD4" s="14" t="s">
        <v>14</v>
      </c>
      <c r="AE4" s="15"/>
      <c r="AF4" s="15"/>
      <c r="AG4" s="15"/>
      <c r="AH4" s="15"/>
      <c r="AI4" s="15"/>
      <c r="AJ4" s="15"/>
      <c r="AK4" s="15"/>
      <c r="AL4" s="15"/>
      <c r="AM4" s="15"/>
    </row>
    <row r="5" spans="1:39" x14ac:dyDescent="0.15">
      <c r="B5" s="2" t="s">
        <v>9</v>
      </c>
      <c r="C5" s="3">
        <v>2</v>
      </c>
      <c r="X5" s="12"/>
      <c r="AD5" s="14" t="s">
        <v>13</v>
      </c>
      <c r="AE5" s="15"/>
      <c r="AF5" s="15"/>
      <c r="AG5" s="15"/>
      <c r="AH5" s="15"/>
      <c r="AI5" s="15"/>
      <c r="AJ5" s="15"/>
      <c r="AK5" s="15"/>
      <c r="AL5" s="15"/>
      <c r="AM5" s="15"/>
    </row>
    <row r="6" spans="1:39" x14ac:dyDescent="0.15">
      <c r="H6" s="8" t="s">
        <v>10</v>
      </c>
      <c r="I6" s="8" t="s">
        <v>11</v>
      </c>
      <c r="Y6" s="43" t="s">
        <v>30</v>
      </c>
      <c r="Z6" s="43"/>
      <c r="AA6" s="44" t="s">
        <v>29</v>
      </c>
      <c r="AB6" s="44"/>
      <c r="AD6" s="14" t="s">
        <v>23</v>
      </c>
      <c r="AE6" s="15"/>
      <c r="AF6" s="15"/>
      <c r="AG6" s="15"/>
      <c r="AH6" s="15"/>
      <c r="AI6" s="15"/>
      <c r="AJ6" s="15"/>
      <c r="AK6" s="15"/>
      <c r="AL6" s="15"/>
      <c r="AM6" s="15"/>
    </row>
    <row r="7" spans="1:39" s="8" customFormat="1" x14ac:dyDescent="0.15">
      <c r="B7" s="8" t="s">
        <v>1</v>
      </c>
      <c r="C7" s="8" t="s">
        <v>2</v>
      </c>
      <c r="D7" s="8" t="s">
        <v>5</v>
      </c>
      <c r="E7" s="8" t="s">
        <v>6</v>
      </c>
      <c r="G7" s="8" t="s">
        <v>3</v>
      </c>
      <c r="H7" s="8" t="s">
        <v>7</v>
      </c>
      <c r="I7" s="8" t="s">
        <v>28</v>
      </c>
      <c r="X7" s="8" t="s">
        <v>3</v>
      </c>
      <c r="Y7" s="29" t="s">
        <v>10</v>
      </c>
      <c r="Z7" s="23" t="s">
        <v>12</v>
      </c>
      <c r="AA7" s="30" t="s">
        <v>10</v>
      </c>
      <c r="AB7" s="16" t="s">
        <v>12</v>
      </c>
      <c r="AD7" s="22" t="s">
        <v>24</v>
      </c>
      <c r="AE7" s="23"/>
      <c r="AF7" s="23"/>
      <c r="AG7" s="23"/>
      <c r="AH7" s="23"/>
      <c r="AI7" s="23"/>
      <c r="AJ7" s="23"/>
      <c r="AK7" s="23"/>
      <c r="AL7" s="23"/>
      <c r="AM7" s="23"/>
    </row>
    <row r="8" spans="1:39" s="4" customFormat="1" x14ac:dyDescent="0.15">
      <c r="L8" s="4" t="s">
        <v>33</v>
      </c>
      <c r="M8" s="4" t="s">
        <v>34</v>
      </c>
      <c r="N8" s="4" t="s">
        <v>35</v>
      </c>
      <c r="O8" s="4" t="s">
        <v>32</v>
      </c>
      <c r="P8" s="6" t="s">
        <v>31</v>
      </c>
      <c r="Q8" s="6" t="s">
        <v>36</v>
      </c>
      <c r="Y8" s="12"/>
      <c r="AD8" s="22" t="s">
        <v>25</v>
      </c>
      <c r="AE8" s="24"/>
      <c r="AF8" s="24"/>
      <c r="AG8" s="24"/>
      <c r="AH8" s="24"/>
      <c r="AI8" s="24"/>
      <c r="AJ8" s="24"/>
      <c r="AK8" s="24"/>
      <c r="AL8" s="24"/>
      <c r="AM8" s="24"/>
    </row>
    <row r="9" spans="1:39" ht="15" x14ac:dyDescent="0.2">
      <c r="A9" s="3">
        <v>1</v>
      </c>
      <c r="B9" s="3">
        <v>0</v>
      </c>
      <c r="C9" s="3">
        <v>91</v>
      </c>
      <c r="E9" s="3">
        <v>0.15</v>
      </c>
      <c r="G9" s="4">
        <f>C9/365</f>
        <v>0.24931506849315069</v>
      </c>
      <c r="H9" s="20">
        <v>1.5002820207405954E-3</v>
      </c>
      <c r="I9" s="21">
        <f t="array" ref="I9:I21">spline(G9:G21,H9:H21,0,0)</f>
        <v>3.4186669325394249E-2</v>
      </c>
      <c r="L9" s="12">
        <v>0.301104972375691</v>
      </c>
      <c r="M9" s="31">
        <v>4.6111340262152203E-2</v>
      </c>
      <c r="N9" s="31" cm="1">
        <f t="array" ref="N9:N34">spline($L$9:$L$34,$M$9:$M$34,0,0)</f>
        <v>-0.12363968404908007</v>
      </c>
      <c r="O9" s="3">
        <v>0.5</v>
      </c>
      <c r="P9" s="6">
        <f>PWLinear(O9,$L$9:$L$34,$M$9:$M$34)</f>
        <v>4.5612933158117465E-2</v>
      </c>
      <c r="Q9" s="6">
        <f>splint($L$9:$L$34,$M$9:$M$34,_xlfn.ANCHORARRAY($N$9),O9)</f>
        <v>4.5453242720259156E-2</v>
      </c>
      <c r="X9" s="3">
        <v>0.25</v>
      </c>
      <c r="Y9" s="6">
        <f t="shared" ref="Y9:Y72" si="0">PWLinear(X9,G$9:G$33,H$9:H$33)</f>
        <v>1.5024790581064376E-3</v>
      </c>
      <c r="Z9" s="6">
        <f t="shared" ref="Z9:Z72" si="1">splint(G$9:G$21,H$9:H$21,I$9:I$21,X9)</f>
        <v>1.5002900343083199E-3</v>
      </c>
      <c r="AA9" s="6">
        <f>Y9</f>
        <v>1.5024790581064376E-3</v>
      </c>
      <c r="AB9" s="6">
        <f>Z9</f>
        <v>1.5002900343083199E-3</v>
      </c>
      <c r="AD9" s="26" t="s">
        <v>17</v>
      </c>
      <c r="AE9" s="27"/>
      <c r="AF9" s="27"/>
      <c r="AG9" s="27"/>
      <c r="AH9" s="27"/>
      <c r="AI9" s="27"/>
      <c r="AJ9" s="27"/>
      <c r="AK9" s="27"/>
      <c r="AL9" s="27"/>
      <c r="AM9" s="27"/>
    </row>
    <row r="10" spans="1:39" ht="15" x14ac:dyDescent="0.2">
      <c r="A10" s="3">
        <f>A9+1</f>
        <v>2</v>
      </c>
      <c r="B10" s="3">
        <v>0</v>
      </c>
      <c r="C10" s="3">
        <v>182</v>
      </c>
      <c r="E10" s="3">
        <v>0.23</v>
      </c>
      <c r="G10" s="4">
        <f>C10/365</f>
        <v>0.49863013698630138</v>
      </c>
      <c r="H10" s="20">
        <v>2.3000036219071873E-3</v>
      </c>
      <c r="I10" s="21">
        <v>8.8223456738722051E-3</v>
      </c>
      <c r="L10" s="12">
        <v>0.46961325966850831</v>
      </c>
      <c r="M10" s="31">
        <v>4.5448655181640263E-2</v>
      </c>
      <c r="N10" s="31">
        <v>0.10725103642827499</v>
      </c>
      <c r="O10" s="3">
        <v>1</v>
      </c>
      <c r="P10" s="6">
        <f t="shared" ref="P10:P68" si="2">PWLinear(O10,$L$9:$L$34,$M$9:$M$34)</f>
        <v>4.6976906298536632E-2</v>
      </c>
      <c r="Q10" s="6">
        <f t="shared" ref="Q10:Q68" si="3">splint($L$9:$L$34,$M$9:$M$34,_xlfn.ANCHORARRAY($N$9),O10)</f>
        <v>4.7037525938040392E-2</v>
      </c>
      <c r="X10" s="3">
        <f>X9+0.25</f>
        <v>0.5</v>
      </c>
      <c r="Y10" s="6">
        <f t="shared" si="0"/>
        <v>2.3099047746237664E-3</v>
      </c>
      <c r="Z10" s="6">
        <f t="shared" si="1"/>
        <v>2.3073562733822539E-3</v>
      </c>
      <c r="AA10" s="28">
        <f>2*(((1+Y10/2)^$X10/(1+Y9/2)^$X9)^(1/($X10-$X9))-1)</f>
        <v>3.1176562145880382E-3</v>
      </c>
      <c r="AB10" s="28">
        <f t="shared" ref="AB10:AB73" si="4">2*(((1+Z10/2)^$X10/(1+Z9/2)^$X9)^(1/($X10-$X9))-1)</f>
        <v>3.1147479462916294E-3</v>
      </c>
      <c r="AD10" s="26"/>
      <c r="AE10" s="27" t="s">
        <v>18</v>
      </c>
      <c r="AF10" s="27"/>
      <c r="AG10" s="27"/>
      <c r="AH10" s="27"/>
      <c r="AI10" s="27"/>
      <c r="AJ10" s="27"/>
      <c r="AK10" s="27"/>
      <c r="AL10" s="27"/>
      <c r="AM10" s="27"/>
    </row>
    <row r="11" spans="1:39" ht="15" x14ac:dyDescent="0.2">
      <c r="A11" s="3">
        <f t="shared" ref="A11:A74" si="5">A10+1</f>
        <v>3</v>
      </c>
      <c r="B11" s="9">
        <v>6</v>
      </c>
      <c r="C11" s="10">
        <v>40695</v>
      </c>
      <c r="D11" s="9">
        <v>106.79</v>
      </c>
      <c r="E11" s="11">
        <v>0.77</v>
      </c>
      <c r="G11" s="4">
        <f>(COUPNUM($C$3,C11,$C$5,1)-COUPDAYBS($C$3,C11,$C$5,1)/COUPDAYS($C$3,C11,$C$5,1))/$C$5</f>
        <v>1.3186813186813187</v>
      </c>
      <c r="H11" s="18">
        <v>8.2272035712298471E-3</v>
      </c>
      <c r="I11" s="21">
        <v>-3.9886384238598943E-3</v>
      </c>
      <c r="L11" s="12">
        <v>0.71546961325966851</v>
      </c>
      <c r="M11" s="31">
        <v>4.6777813354955788E-2</v>
      </c>
      <c r="N11" s="31">
        <v>-4.886754113280168E-2</v>
      </c>
      <c r="O11" s="3">
        <v>1.5</v>
      </c>
      <c r="P11" s="6">
        <f t="shared" si="2"/>
        <v>4.5007236082164073E-2</v>
      </c>
      <c r="Q11" s="6">
        <f t="shared" si="3"/>
        <v>4.5014110931500137E-2</v>
      </c>
      <c r="X11" s="3">
        <f t="shared" ref="X11:X74" si="6">X10+0.25</f>
        <v>0.75</v>
      </c>
      <c r="Y11" s="6">
        <f t="shared" si="0"/>
        <v>4.1168651453994485E-3</v>
      </c>
      <c r="Z11" s="6">
        <f t="shared" si="1"/>
        <v>3.8850701943631129E-3</v>
      </c>
      <c r="AA11" s="28">
        <f t="shared" ref="AA11:AB74" si="7">2*(((1+Y11/2)^$X11/(1+Y10/2)^$X10)^(1/($X11-$X10))-1)</f>
        <v>7.7356793671650159E-3</v>
      </c>
      <c r="AB11" s="28">
        <f t="shared" si="4"/>
        <v>7.0442284850846804E-3</v>
      </c>
      <c r="AD11" s="26"/>
      <c r="AE11" s="27" t="s">
        <v>19</v>
      </c>
      <c r="AF11" s="27"/>
      <c r="AG11" s="27"/>
      <c r="AH11" s="27"/>
      <c r="AI11" s="27"/>
      <c r="AJ11" s="27"/>
      <c r="AK11" s="27"/>
      <c r="AL11" s="27"/>
      <c r="AM11" s="27"/>
    </row>
    <row r="12" spans="1:39" ht="15" x14ac:dyDescent="0.2">
      <c r="A12" s="3">
        <f t="shared" si="5"/>
        <v>4</v>
      </c>
      <c r="B12" s="9">
        <v>3.75</v>
      </c>
      <c r="C12" s="10">
        <v>41061</v>
      </c>
      <c r="D12" s="9">
        <v>105.31</v>
      </c>
      <c r="E12" s="11">
        <v>1.4</v>
      </c>
      <c r="G12" s="4">
        <f t="shared" ref="G12:G21" si="8">(COUPNUM($C$3,C12,$C$5,1)-COUPDAYBS($C$3,C12,$C$5,1)/COUPDAYS($C$3,C12,$C$5,1))/$C$5</f>
        <v>2.3186813186813189</v>
      </c>
      <c r="H12" s="18">
        <v>1.4334968368852466E-2</v>
      </c>
      <c r="I12" s="21">
        <v>5.6381704533920731E-4</v>
      </c>
      <c r="L12" s="12">
        <v>0.96961325966850831</v>
      </c>
      <c r="M12" s="31">
        <v>4.7092665421673299E-2</v>
      </c>
      <c r="N12" s="31">
        <v>-9.8566074447647249E-3</v>
      </c>
      <c r="O12" s="3">
        <v>2</v>
      </c>
      <c r="P12" s="6">
        <f t="shared" si="2"/>
        <v>4.210320439069648E-2</v>
      </c>
      <c r="Q12" s="6">
        <f t="shared" si="3"/>
        <v>4.2064819704079791E-2</v>
      </c>
      <c r="X12" s="3">
        <f t="shared" si="6"/>
        <v>1</v>
      </c>
      <c r="Y12" s="6">
        <f t="shared" si="0"/>
        <v>5.923825516175131E-3</v>
      </c>
      <c r="Z12" s="6">
        <f t="shared" si="1"/>
        <v>5.7687467009021566E-3</v>
      </c>
      <c r="AA12" s="28">
        <f t="shared" si="7"/>
        <v>1.1354487701290772E-2</v>
      </c>
      <c r="AB12" s="28">
        <f t="shared" si="4"/>
        <v>1.1430406953830907E-2</v>
      </c>
      <c r="AD12" s="26"/>
      <c r="AE12" s="27" t="s">
        <v>21</v>
      </c>
      <c r="AF12" s="27"/>
      <c r="AG12" s="27"/>
      <c r="AH12" s="27"/>
      <c r="AI12" s="27"/>
      <c r="AJ12" s="27"/>
      <c r="AK12" s="27"/>
      <c r="AL12" s="27"/>
      <c r="AM12" s="27"/>
    </row>
    <row r="13" spans="1:39" ht="15" x14ac:dyDescent="0.2">
      <c r="A13" s="3">
        <f t="shared" si="5"/>
        <v>5</v>
      </c>
      <c r="B13" s="9">
        <v>3.5</v>
      </c>
      <c r="C13" s="10">
        <v>41426</v>
      </c>
      <c r="D13" s="9">
        <v>104.99</v>
      </c>
      <c r="E13" s="11">
        <v>1.93</v>
      </c>
      <c r="G13" s="4">
        <f t="shared" si="8"/>
        <v>3.3186813186813189</v>
      </c>
      <c r="H13" s="18">
        <v>1.9750663158380807E-2</v>
      </c>
      <c r="I13" s="21">
        <v>-2.4190498060625938E-3</v>
      </c>
      <c r="L13" s="12">
        <v>1.4696132596685083</v>
      </c>
      <c r="M13" s="31">
        <v>4.5187901668242658E-2</v>
      </c>
      <c r="N13" s="31">
        <v>-6.0088816120088089E-3</v>
      </c>
      <c r="O13" s="3">
        <v>2.5</v>
      </c>
      <c r="P13" s="6">
        <f t="shared" si="2"/>
        <v>4.0289618534001086E-2</v>
      </c>
      <c r="Q13" s="6">
        <f t="shared" si="3"/>
        <v>4.0283063028748262E-2</v>
      </c>
      <c r="X13" s="3">
        <f t="shared" si="6"/>
        <v>1.25</v>
      </c>
      <c r="Y13" s="6">
        <f t="shared" si="0"/>
        <v>7.7307858869508136E-3</v>
      </c>
      <c r="Z13" s="6">
        <f t="shared" si="1"/>
        <v>7.7142892890307959E-3</v>
      </c>
      <c r="AA13" s="28">
        <f t="shared" si="7"/>
        <v>1.4974919356377736E-2</v>
      </c>
      <c r="AB13" s="28">
        <f t="shared" si="4"/>
        <v>1.5515349203123474E-2</v>
      </c>
    </row>
    <row r="14" spans="1:39" ht="15" x14ac:dyDescent="0.2">
      <c r="A14" s="3">
        <f t="shared" si="5"/>
        <v>6</v>
      </c>
      <c r="B14" s="9">
        <v>2.5</v>
      </c>
      <c r="C14" s="10">
        <v>42156</v>
      </c>
      <c r="D14" s="9">
        <v>99.69</v>
      </c>
      <c r="E14" s="11">
        <v>2.56</v>
      </c>
      <c r="G14" s="4">
        <f t="shared" si="8"/>
        <v>5.3186813186813184</v>
      </c>
      <c r="H14" s="18">
        <v>2.6073142931933434E-2</v>
      </c>
      <c r="I14" s="21">
        <v>2.1187618726209814E-4</v>
      </c>
      <c r="L14" s="12">
        <v>1.9696132596685083</v>
      </c>
      <c r="M14" s="31">
        <v>4.2215131570040525E-2</v>
      </c>
      <c r="N14" s="31">
        <v>8.2599816182841405E-3</v>
      </c>
      <c r="O14" s="3">
        <v>3</v>
      </c>
      <c r="P14" s="6">
        <f t="shared" si="2"/>
        <v>3.8946241419840155E-2</v>
      </c>
      <c r="Q14" s="6">
        <f t="shared" si="3"/>
        <v>3.8924173073892225E-2</v>
      </c>
      <c r="X14" s="3">
        <f t="shared" si="6"/>
        <v>1.5</v>
      </c>
      <c r="Y14" s="6">
        <f t="shared" si="0"/>
        <v>9.3346554301394422E-3</v>
      </c>
      <c r="Z14" s="6">
        <f t="shared" si="1"/>
        <v>9.4976453452542721E-3</v>
      </c>
      <c r="AA14" s="28">
        <f t="shared" si="7"/>
        <v>1.7373242322277438E-2</v>
      </c>
      <c r="AB14" s="28">
        <f t="shared" si="4"/>
        <v>1.8438214827577681E-2</v>
      </c>
      <c r="AD14" s="13" t="s">
        <v>26</v>
      </c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15" x14ac:dyDescent="0.2">
      <c r="A15" s="3">
        <f t="shared" si="5"/>
        <v>7</v>
      </c>
      <c r="B15" s="9">
        <v>4</v>
      </c>
      <c r="C15" s="10">
        <v>42887</v>
      </c>
      <c r="D15" s="9">
        <v>106.53</v>
      </c>
      <c r="E15" s="11">
        <v>3</v>
      </c>
      <c r="G15" s="4">
        <f t="shared" si="8"/>
        <v>7.3186813186813184</v>
      </c>
      <c r="H15" s="18">
        <v>3.103303918882263E-2</v>
      </c>
      <c r="I15" s="21">
        <v>-4.7233021798094902E-4</v>
      </c>
      <c r="L15" s="12">
        <v>2.4696132596685083</v>
      </c>
      <c r="M15" s="31">
        <v>4.0373420709924883E-2</v>
      </c>
      <c r="N15" s="31">
        <v>1.1437685294804674E-4</v>
      </c>
      <c r="O15" s="3">
        <v>3.5</v>
      </c>
      <c r="P15" s="6">
        <f t="shared" si="2"/>
        <v>3.8152267195714011E-2</v>
      </c>
      <c r="Q15" s="6">
        <f t="shared" si="3"/>
        <v>3.8019571005966681E-2</v>
      </c>
      <c r="X15" s="3">
        <f t="shared" si="6"/>
        <v>1.75</v>
      </c>
      <c r="Y15" s="6">
        <f t="shared" si="0"/>
        <v>1.0861596629545098E-2</v>
      </c>
      <c r="Z15" s="6">
        <f t="shared" si="1"/>
        <v>1.108439118341868E-2</v>
      </c>
      <c r="AA15" s="28">
        <f t="shared" si="7"/>
        <v>2.0047642249588105E-2</v>
      </c>
      <c r="AB15" s="28">
        <f t="shared" si="4"/>
        <v>2.0631212422598022E-2</v>
      </c>
      <c r="AD15" s="13" t="s">
        <v>15</v>
      </c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5" x14ac:dyDescent="0.2">
      <c r="A16" s="3">
        <f t="shared" si="5"/>
        <v>8</v>
      </c>
      <c r="B16" s="9">
        <v>3.5</v>
      </c>
      <c r="C16" s="10">
        <v>43983</v>
      </c>
      <c r="D16" s="9">
        <v>99.9</v>
      </c>
      <c r="E16" s="11">
        <v>3.51</v>
      </c>
      <c r="G16" s="4">
        <f t="shared" si="8"/>
        <v>10.318681318681319</v>
      </c>
      <c r="H16" s="18">
        <v>3.6548664382743734E-2</v>
      </c>
      <c r="I16" s="21">
        <v>1.503704741533039E-4</v>
      </c>
      <c r="L16" s="12">
        <v>2.9696132596685083</v>
      </c>
      <c r="M16" s="31">
        <v>3.899449399699699E-2</v>
      </c>
      <c r="N16" s="31">
        <v>2.3893305024296472E-3</v>
      </c>
      <c r="O16" s="3">
        <v>4</v>
      </c>
      <c r="P16" s="6">
        <f t="shared" si="2"/>
        <v>3.7377097839757872E-2</v>
      </c>
      <c r="Q16" s="6">
        <f t="shared" si="3"/>
        <v>3.7368225618895162E-2</v>
      </c>
      <c r="X16" s="3">
        <f t="shared" si="6"/>
        <v>2</v>
      </c>
      <c r="Y16" s="6">
        <f t="shared" si="0"/>
        <v>1.2388537828950752E-2</v>
      </c>
      <c r="Z16" s="6">
        <f t="shared" si="1"/>
        <v>1.2544569563200405E-2</v>
      </c>
      <c r="AA16" s="28">
        <f t="shared" si="7"/>
        <v>2.3109640955623068E-2</v>
      </c>
      <c r="AB16" s="28">
        <f t="shared" si="4"/>
        <v>2.2795546539139622E-2</v>
      </c>
      <c r="AD16" s="13" t="s">
        <v>13</v>
      </c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15" x14ac:dyDescent="0.2">
      <c r="A17" s="3">
        <f t="shared" si="5"/>
        <v>9</v>
      </c>
      <c r="B17" s="9">
        <v>9</v>
      </c>
      <c r="C17" s="10">
        <v>45809</v>
      </c>
      <c r="D17" s="9">
        <v>158.09</v>
      </c>
      <c r="E17" s="11">
        <v>3.92</v>
      </c>
      <c r="G17" s="4">
        <f t="shared" si="8"/>
        <v>15.318681318681319</v>
      </c>
      <c r="H17" s="18">
        <v>4.3783174005260272E-2</v>
      </c>
      <c r="I17" s="21">
        <v>-6.6775515466647485E-4</v>
      </c>
      <c r="L17" s="12">
        <v>3.9696132596685083</v>
      </c>
      <c r="M17" s="31">
        <v>3.7406545548744702E-2</v>
      </c>
      <c r="N17" s="31">
        <v>-2.0575006814198011E-4</v>
      </c>
      <c r="O17" s="3">
        <v>4.5</v>
      </c>
      <c r="P17" s="6">
        <f t="shared" si="2"/>
        <v>3.6892549173701814E-2</v>
      </c>
      <c r="Q17" s="6">
        <f t="shared" si="3"/>
        <v>3.6768715521272574E-2</v>
      </c>
      <c r="X17" s="3">
        <f t="shared" si="6"/>
        <v>2.25</v>
      </c>
      <c r="Y17" s="6">
        <f t="shared" si="0"/>
        <v>1.3915479028356405E-2</v>
      </c>
      <c r="Z17" s="6">
        <f t="shared" si="1"/>
        <v>1.3949312601305681E-2</v>
      </c>
      <c r="AA17" s="28">
        <f t="shared" si="7"/>
        <v>2.6172792082594043E-2</v>
      </c>
      <c r="AB17" s="28">
        <f t="shared" si="4"/>
        <v>2.5222612509213427E-2</v>
      </c>
      <c r="AD17" s="13" t="s">
        <v>23</v>
      </c>
      <c r="AE17" s="5"/>
      <c r="AF17" s="5"/>
      <c r="AG17" s="5"/>
      <c r="AH17" s="5"/>
      <c r="AI17" s="5"/>
      <c r="AJ17" s="5"/>
      <c r="AK17" s="5"/>
      <c r="AL17" s="5"/>
      <c r="AM17" s="5"/>
    </row>
    <row r="18" spans="1:39" ht="15" x14ac:dyDescent="0.2">
      <c r="A18" s="3">
        <f t="shared" si="5"/>
        <v>10</v>
      </c>
      <c r="B18" s="9">
        <v>5.75</v>
      </c>
      <c r="C18" s="10">
        <v>47270</v>
      </c>
      <c r="D18" s="9">
        <v>122.96</v>
      </c>
      <c r="E18" s="11">
        <v>4.03</v>
      </c>
      <c r="G18" s="4">
        <f t="shared" si="8"/>
        <v>19.318681318681318</v>
      </c>
      <c r="H18" s="18">
        <v>4.2932520443761869E-2</v>
      </c>
      <c r="I18" s="21">
        <v>3.2758713099064352E-4</v>
      </c>
      <c r="L18" s="12">
        <v>4.9696132596685079</v>
      </c>
      <c r="M18" s="31">
        <v>3.6437448216632584E-2</v>
      </c>
      <c r="N18" s="31">
        <v>2.1467764669792946E-3</v>
      </c>
      <c r="O18" s="3">
        <v>5</v>
      </c>
      <c r="P18" s="6">
        <f t="shared" si="2"/>
        <v>3.6440530673478341E-2</v>
      </c>
      <c r="Q18" s="6">
        <f t="shared" si="3"/>
        <v>3.6429673956847611E-2</v>
      </c>
      <c r="X18" s="3">
        <f t="shared" si="6"/>
        <v>2.5</v>
      </c>
      <c r="Y18" s="6">
        <f t="shared" si="0"/>
        <v>1.5316935006514197E-2</v>
      </c>
      <c r="Z18" s="6">
        <f t="shared" si="1"/>
        <v>1.53622659246078E-2</v>
      </c>
      <c r="AA18" s="28">
        <f t="shared" si="7"/>
        <v>2.7974006773094917E-2</v>
      </c>
      <c r="AB18" s="28">
        <f t="shared" si="4"/>
        <v>2.8123538099045664E-2</v>
      </c>
      <c r="AD18" s="25" t="s">
        <v>27</v>
      </c>
      <c r="AE18" s="5"/>
      <c r="AF18" s="5"/>
      <c r="AG18" s="5"/>
      <c r="AH18" s="5"/>
      <c r="AI18" s="5"/>
      <c r="AJ18" s="5"/>
      <c r="AK18" s="5"/>
      <c r="AL18" s="5"/>
      <c r="AM18" s="5"/>
    </row>
    <row r="19" spans="1:39" ht="15" x14ac:dyDescent="0.2">
      <c r="A19" s="3">
        <f t="shared" si="5"/>
        <v>11</v>
      </c>
      <c r="B19" s="9">
        <v>5.75</v>
      </c>
      <c r="C19" s="10">
        <v>48731</v>
      </c>
      <c r="D19" s="9">
        <v>125.27</v>
      </c>
      <c r="E19" s="11">
        <v>4.0599999999999996</v>
      </c>
      <c r="G19" s="4">
        <f t="shared" si="8"/>
        <v>23.318681318681318</v>
      </c>
      <c r="H19" s="18">
        <v>4.2957362470663653E-2</v>
      </c>
      <c r="I19" s="21">
        <v>-3.142825236460293E-4</v>
      </c>
      <c r="L19" s="12">
        <v>5.8425414364640886</v>
      </c>
      <c r="M19" s="31">
        <v>3.6525998795110773E-2</v>
      </c>
      <c r="N19" s="31">
        <v>-1.6181595805306781E-3</v>
      </c>
      <c r="O19" s="3">
        <v>5.5</v>
      </c>
      <c r="P19" s="6">
        <f t="shared" si="2"/>
        <v>3.6491251099758572E-2</v>
      </c>
      <c r="Q19" s="6">
        <f t="shared" si="3"/>
        <v>3.6479507423566246E-2</v>
      </c>
      <c r="X19" s="3">
        <f t="shared" si="6"/>
        <v>2.75</v>
      </c>
      <c r="Y19" s="6">
        <f t="shared" si="0"/>
        <v>1.6670858703896282E-2</v>
      </c>
      <c r="Z19" s="6">
        <f t="shared" si="1"/>
        <v>1.67762478403824E-2</v>
      </c>
      <c r="AA19" s="28">
        <f t="shared" si="7"/>
        <v>3.0260224015888681E-2</v>
      </c>
      <c r="AB19" s="28">
        <f t="shared" si="4"/>
        <v>3.097074488256224E-2</v>
      </c>
      <c r="AD19" s="25" t="s">
        <v>16</v>
      </c>
      <c r="AE19" s="5"/>
      <c r="AF19" s="5"/>
      <c r="AG19" s="5"/>
      <c r="AH19" s="5"/>
      <c r="AI19" s="5"/>
      <c r="AJ19" s="5"/>
      <c r="AK19" s="5"/>
      <c r="AL19" s="5"/>
      <c r="AM19" s="5"/>
    </row>
    <row r="20" spans="1:39" ht="15" x14ac:dyDescent="0.2">
      <c r="A20" s="3">
        <f t="shared" si="5"/>
        <v>12</v>
      </c>
      <c r="B20" s="9">
        <v>5</v>
      </c>
      <c r="C20" s="10">
        <v>50192</v>
      </c>
      <c r="D20" s="9">
        <v>116.55</v>
      </c>
      <c r="E20" s="11">
        <v>4</v>
      </c>
      <c r="G20" s="4">
        <f t="shared" si="8"/>
        <v>27.318681318681318</v>
      </c>
      <c r="H20" s="18">
        <v>4.1046523202330945E-2</v>
      </c>
      <c r="I20" s="21">
        <v>2.0366247788053952E-4</v>
      </c>
      <c r="L20" s="12">
        <v>6.9696132596685079</v>
      </c>
      <c r="M20" s="31">
        <v>3.5899327452282644E-2</v>
      </c>
      <c r="N20" s="31">
        <v>5.8018326865567243E-4</v>
      </c>
      <c r="O20" s="3">
        <v>6</v>
      </c>
      <c r="P20" s="6">
        <f t="shared" si="2"/>
        <v>3.6438449122215666E-2</v>
      </c>
      <c r="Q20" s="6">
        <f t="shared" si="3"/>
        <v>3.6498221326462806E-2</v>
      </c>
      <c r="X20" s="3">
        <f t="shared" si="6"/>
        <v>3</v>
      </c>
      <c r="Y20" s="6">
        <f t="shared" si="0"/>
        <v>1.8024782401278368E-2</v>
      </c>
      <c r="Z20" s="6">
        <f t="shared" si="1"/>
        <v>1.8145057934184711E-2</v>
      </c>
      <c r="AA20" s="28">
        <f t="shared" si="7"/>
        <v>3.2978070077825716E-2</v>
      </c>
      <c r="AB20" s="28">
        <f t="shared" si="4"/>
        <v>3.32634237279823E-2</v>
      </c>
    </row>
    <row r="21" spans="1:39" ht="15" x14ac:dyDescent="0.2">
      <c r="A21" s="3">
        <f t="shared" si="5"/>
        <v>13</v>
      </c>
      <c r="B21" s="9">
        <v>4</v>
      </c>
      <c r="C21" s="10">
        <v>51653</v>
      </c>
      <c r="D21" s="9">
        <v>100.24</v>
      </c>
      <c r="E21" s="11">
        <v>3.99</v>
      </c>
      <c r="G21" s="4">
        <f t="shared" si="8"/>
        <v>31.318681318681318</v>
      </c>
      <c r="H21" s="18">
        <v>4.0481139065995111E-2</v>
      </c>
      <c r="I21" s="21">
        <v>4.1782866226990413E-6</v>
      </c>
      <c r="L21" s="12">
        <v>9.8425414364640886</v>
      </c>
      <c r="M21" s="31">
        <v>3.5259237536625958E-2</v>
      </c>
      <c r="N21" s="31">
        <v>-2.8486055869458924E-4</v>
      </c>
      <c r="O21" s="3">
        <v>6.5</v>
      </c>
      <c r="P21" s="6">
        <f t="shared" si="2"/>
        <v>3.6160440511794366E-2</v>
      </c>
      <c r="Q21" s="6">
        <f t="shared" si="3"/>
        <v>3.6231132675064184E-2</v>
      </c>
      <c r="X21" s="3">
        <f t="shared" si="6"/>
        <v>3.25</v>
      </c>
      <c r="Y21" s="6">
        <f t="shared" si="0"/>
        <v>1.937870609866045E-2</v>
      </c>
      <c r="Z21" s="6">
        <f t="shared" si="1"/>
        <v>1.9422088911461577E-2</v>
      </c>
      <c r="AA21" s="28">
        <f t="shared" si="7"/>
        <v>3.5696817772619127E-2</v>
      </c>
      <c r="AB21" s="28">
        <f t="shared" si="4"/>
        <v>3.4809636788170728E-2</v>
      </c>
    </row>
    <row r="22" spans="1:39" ht="15" x14ac:dyDescent="0.2">
      <c r="A22" s="3">
        <f t="shared" si="5"/>
        <v>14</v>
      </c>
      <c r="B22" s="11"/>
      <c r="C22" s="19"/>
      <c r="D22" s="11"/>
      <c r="E22" s="11"/>
      <c r="G22" s="4"/>
      <c r="H22" s="18"/>
      <c r="I22" s="21"/>
      <c r="L22" s="12">
        <v>13.095108695652174</v>
      </c>
      <c r="M22" s="31">
        <v>3.4843305529386734E-2</v>
      </c>
      <c r="N22" s="31">
        <v>7.3558325893042348E-4</v>
      </c>
      <c r="O22" s="3">
        <v>7</v>
      </c>
      <c r="P22" s="6">
        <f t="shared" si="2"/>
        <v>3.5892557270482427E-2</v>
      </c>
      <c r="Q22" s="6">
        <f t="shared" si="3"/>
        <v>3.588008526494918E-2</v>
      </c>
      <c r="X22" s="3">
        <f t="shared" si="6"/>
        <v>3.5</v>
      </c>
      <c r="Y22" s="6">
        <f t="shared" si="0"/>
        <v>2.0323855005983105E-2</v>
      </c>
      <c r="Z22" s="6">
        <f t="shared" si="1"/>
        <v>2.0565003952277536E-2</v>
      </c>
      <c r="AA22" s="28">
        <f t="shared" si="7"/>
        <v>3.2651121657784721E-2</v>
      </c>
      <c r="AB22" s="28">
        <f t="shared" si="4"/>
        <v>3.5481895919237338E-2</v>
      </c>
    </row>
    <row r="23" spans="1:39" ht="15" x14ac:dyDescent="0.2">
      <c r="A23" s="3">
        <f t="shared" si="5"/>
        <v>15</v>
      </c>
      <c r="B23" s="11"/>
      <c r="C23" s="19"/>
      <c r="D23" s="11"/>
      <c r="E23" s="11"/>
      <c r="G23" s="4"/>
      <c r="H23" s="18"/>
      <c r="I23" s="21"/>
      <c r="L23" s="12">
        <v>14.095108695652174</v>
      </c>
      <c r="M23" s="31">
        <v>3.5592742144580934E-2</v>
      </c>
      <c r="N23" s="31">
        <v>-6.5818359132735133E-5</v>
      </c>
      <c r="O23" s="3">
        <v>7.5</v>
      </c>
      <c r="P23" s="6">
        <f t="shared" si="2"/>
        <v>3.5781157006315255E-2</v>
      </c>
      <c r="Q23" s="6">
        <f t="shared" si="3"/>
        <v>3.5632931217944037E-2</v>
      </c>
      <c r="X23" s="3">
        <f t="shared" si="6"/>
        <v>3.75</v>
      </c>
      <c r="Y23" s="6">
        <f t="shared" si="0"/>
        <v>2.1114164977677184E-2</v>
      </c>
      <c r="Z23" s="6">
        <f t="shared" si="1"/>
        <v>2.1571867850447943E-2</v>
      </c>
      <c r="AA23" s="28">
        <f t="shared" si="7"/>
        <v>3.221102077109661E-2</v>
      </c>
      <c r="AB23" s="28">
        <f t="shared" si="4"/>
        <v>3.5720757837323536E-2</v>
      </c>
    </row>
    <row r="24" spans="1:39" ht="15" x14ac:dyDescent="0.2">
      <c r="A24" s="3">
        <f t="shared" si="5"/>
        <v>16</v>
      </c>
      <c r="B24" s="11"/>
      <c r="C24" s="19"/>
      <c r="D24" s="11"/>
      <c r="E24" s="11"/>
      <c r="G24" s="4"/>
      <c r="H24" s="18"/>
      <c r="I24" s="21"/>
      <c r="L24" s="12">
        <v>15.095108695652174</v>
      </c>
      <c r="M24" s="31">
        <v>3.6395804914411835E-2</v>
      </c>
      <c r="N24" s="31">
        <v>-1.5055289457928091E-4</v>
      </c>
      <c r="O24" s="3">
        <v>8</v>
      </c>
      <c r="P24" s="6">
        <f t="shared" si="2"/>
        <v>3.5669756742148083E-2</v>
      </c>
      <c r="Q24" s="6">
        <f t="shared" si="3"/>
        <v>3.5490897888378961E-2</v>
      </c>
      <c r="X24" s="3">
        <f t="shared" si="6"/>
        <v>4</v>
      </c>
      <c r="Y24" s="6">
        <f t="shared" si="0"/>
        <v>2.1904474949371262E-2</v>
      </c>
      <c r="Z24" s="6">
        <f t="shared" si="1"/>
        <v>2.2463002621054686E-2</v>
      </c>
      <c r="AA24" s="28">
        <f t="shared" si="7"/>
        <v>3.3796276174616224E-2</v>
      </c>
      <c r="AB24" s="28">
        <f t="shared" si="4"/>
        <v>3.5877260124181909E-2</v>
      </c>
    </row>
    <row r="25" spans="1:39" ht="15" x14ac:dyDescent="0.2">
      <c r="A25" s="3">
        <f t="shared" si="5"/>
        <v>17</v>
      </c>
      <c r="B25" s="11"/>
      <c r="C25" s="19"/>
      <c r="D25" s="11"/>
      <c r="E25" s="11"/>
      <c r="G25" s="4"/>
      <c r="H25" s="18"/>
      <c r="I25" s="21"/>
      <c r="L25" s="12">
        <v>16.095108695652176</v>
      </c>
      <c r="M25" s="31">
        <v>3.7041772150168704E-2</v>
      </c>
      <c r="N25" s="31">
        <v>-2.7454326699433325E-4</v>
      </c>
      <c r="O25" s="3">
        <v>8.5</v>
      </c>
      <c r="P25" s="6">
        <f t="shared" si="2"/>
        <v>3.5558356477980911E-2</v>
      </c>
      <c r="Q25" s="6">
        <f t="shared" si="3"/>
        <v>3.5416347552035092E-2</v>
      </c>
      <c r="X25" s="3">
        <f t="shared" si="6"/>
        <v>4.25</v>
      </c>
      <c r="Y25" s="6">
        <f t="shared" si="0"/>
        <v>2.2694784921065341E-2</v>
      </c>
      <c r="Z25" s="6">
        <f t="shared" si="1"/>
        <v>2.3258962373420608E-2</v>
      </c>
      <c r="AA25" s="28">
        <f t="shared" si="7"/>
        <v>3.53818386722482E-2</v>
      </c>
      <c r="AB25" s="28">
        <f t="shared" si="4"/>
        <v>3.6037005396063471E-2</v>
      </c>
    </row>
    <row r="26" spans="1:39" ht="15" x14ac:dyDescent="0.2">
      <c r="A26" s="3">
        <f t="shared" si="5"/>
        <v>18</v>
      </c>
      <c r="B26" s="11"/>
      <c r="C26" s="19"/>
      <c r="D26" s="11"/>
      <c r="E26" s="11"/>
      <c r="G26" s="4"/>
      <c r="H26" s="18"/>
      <c r="I26" s="21"/>
      <c r="L26" s="12">
        <v>17.595108695652176</v>
      </c>
      <c r="M26" s="31">
        <v>3.7908186627117646E-2</v>
      </c>
      <c r="N26" s="31">
        <v>7.4208248187033565E-4</v>
      </c>
      <c r="O26" s="3">
        <v>9</v>
      </c>
      <c r="P26" s="6">
        <f t="shared" si="2"/>
        <v>3.5446956213813739E-2</v>
      </c>
      <c r="Q26" s="6">
        <f t="shared" si="3"/>
        <v>3.53716424846936E-2</v>
      </c>
      <c r="X26" s="3">
        <f t="shared" si="6"/>
        <v>4.5</v>
      </c>
      <c r="Y26" s="6">
        <f t="shared" si="0"/>
        <v>2.348509489275942E-2</v>
      </c>
      <c r="Z26" s="6">
        <f t="shared" si="1"/>
        <v>2.3980301216868567E-2</v>
      </c>
      <c r="AA26" s="28">
        <f t="shared" si="7"/>
        <v>3.6967708023242896E-2</v>
      </c>
      <c r="AB26" s="28">
        <f t="shared" si="4"/>
        <v>3.6282484105031099E-2</v>
      </c>
    </row>
    <row r="27" spans="1:39" ht="15" x14ac:dyDescent="0.2">
      <c r="A27" s="3">
        <f t="shared" si="5"/>
        <v>19</v>
      </c>
      <c r="B27" s="11"/>
      <c r="C27" s="19"/>
      <c r="D27" s="11"/>
      <c r="E27" s="11"/>
      <c r="G27" s="4"/>
      <c r="H27" s="18"/>
      <c r="I27" s="21"/>
      <c r="L27" s="12">
        <v>18.595108695652176</v>
      </c>
      <c r="M27" s="31">
        <v>3.8902901073213411E-2</v>
      </c>
      <c r="N27" s="31">
        <v>-7.9596874008135393E-4</v>
      </c>
      <c r="O27" s="3">
        <v>9.5</v>
      </c>
      <c r="P27" s="6">
        <f t="shared" si="2"/>
        <v>3.533555594964656E-2</v>
      </c>
      <c r="Q27" s="6">
        <f t="shared" si="3"/>
        <v>3.5319144962135639E-2</v>
      </c>
      <c r="X27" s="3">
        <f t="shared" si="6"/>
        <v>4.75</v>
      </c>
      <c r="Y27" s="6">
        <f t="shared" si="0"/>
        <v>2.4275404864453499E-2</v>
      </c>
      <c r="Z27" s="6">
        <f t="shared" si="1"/>
        <v>2.4647573260721398E-2</v>
      </c>
      <c r="AA27" s="28">
        <f t="shared" si="7"/>
        <v>3.8553883987132664E-2</v>
      </c>
      <c r="AB27" s="28">
        <f t="shared" si="4"/>
        <v>3.6696158419799563E-2</v>
      </c>
    </row>
    <row r="28" spans="1:39" ht="15" x14ac:dyDescent="0.2">
      <c r="A28" s="3">
        <f t="shared" si="5"/>
        <v>20</v>
      </c>
      <c r="B28" s="11"/>
      <c r="C28" s="19"/>
      <c r="D28" s="11"/>
      <c r="E28" s="11"/>
      <c r="G28" s="4"/>
      <c r="H28" s="18"/>
      <c r="I28" s="21"/>
      <c r="L28" s="12">
        <v>20.842541436464089</v>
      </c>
      <c r="M28" s="31">
        <v>3.9828369442693398E-2</v>
      </c>
      <c r="N28" s="31">
        <v>4.1383908380466687E-4</v>
      </c>
      <c r="O28" s="3">
        <v>10</v>
      </c>
      <c r="P28" s="6">
        <f t="shared" si="2"/>
        <v>3.5239102040210475E-2</v>
      </c>
      <c r="Q28" s="6">
        <f t="shared" si="3"/>
        <v>3.5221617303785327E-2</v>
      </c>
      <c r="X28" s="3">
        <f t="shared" si="6"/>
        <v>5</v>
      </c>
      <c r="Y28" s="6">
        <f t="shared" si="0"/>
        <v>2.5065714836147578E-2</v>
      </c>
      <c r="Z28" s="6">
        <f t="shared" si="1"/>
        <v>2.5281332614301971E-2</v>
      </c>
      <c r="AA28" s="28">
        <f t="shared" si="7"/>
        <v>4.0140366323667909E-2</v>
      </c>
      <c r="AB28" s="28">
        <f t="shared" si="4"/>
        <v>3.7360523542839363E-2</v>
      </c>
    </row>
    <row r="29" spans="1:39" ht="15" x14ac:dyDescent="0.2">
      <c r="A29" s="3">
        <f t="shared" si="5"/>
        <v>21</v>
      </c>
      <c r="B29" s="11"/>
      <c r="C29" s="19"/>
      <c r="D29" s="11"/>
      <c r="E29" s="11"/>
      <c r="G29" s="4"/>
      <c r="H29" s="18"/>
      <c r="I29" s="21"/>
      <c r="L29" s="12">
        <v>21.095108695652176</v>
      </c>
      <c r="M29" s="31">
        <v>3.9933437100124203E-2</v>
      </c>
      <c r="N29" s="31">
        <v>-1.0098365159337695E-3</v>
      </c>
      <c r="O29" s="3">
        <v>10.5</v>
      </c>
      <c r="P29" s="6">
        <f t="shared" si="2"/>
        <v>3.517516300773324E-2</v>
      </c>
      <c r="Q29" s="6">
        <f t="shared" si="3"/>
        <v>3.5069343150247637E-2</v>
      </c>
      <c r="X29" s="3">
        <f t="shared" si="6"/>
        <v>5.25</v>
      </c>
      <c r="Y29" s="6">
        <f t="shared" si="0"/>
        <v>2.5856024807841653E-2</v>
      </c>
      <c r="Z29" s="6">
        <f t="shared" si="1"/>
        <v>2.5902133386933111E-2</v>
      </c>
      <c r="AA29" s="28">
        <f t="shared" si="7"/>
        <v>4.1727154792801979E-2</v>
      </c>
      <c r="AB29" s="28">
        <f t="shared" si="4"/>
        <v>3.8358187716347025E-2</v>
      </c>
    </row>
    <row r="30" spans="1:39" ht="15" x14ac:dyDescent="0.2">
      <c r="A30" s="3">
        <f t="shared" si="5"/>
        <v>22</v>
      </c>
      <c r="B30" s="11"/>
      <c r="C30" s="19"/>
      <c r="D30" s="11"/>
      <c r="E30" s="11"/>
      <c r="G30" s="4"/>
      <c r="H30" s="18"/>
      <c r="I30" s="21"/>
      <c r="L30" s="12">
        <v>22.342541436464089</v>
      </c>
      <c r="M30" s="31">
        <v>3.9832619104844313E-2</v>
      </c>
      <c r="N30" s="31">
        <v>-4.483392901347577E-5</v>
      </c>
      <c r="O30" s="3">
        <v>11</v>
      </c>
      <c r="P30" s="6">
        <f t="shared" si="2"/>
        <v>3.5111223975256012E-2</v>
      </c>
      <c r="Q30" s="6">
        <f t="shared" si="3"/>
        <v>3.4897420778873936E-2</v>
      </c>
      <c r="X30" s="3">
        <f t="shared" si="6"/>
        <v>5.5</v>
      </c>
      <c r="Y30" s="6">
        <f t="shared" si="0"/>
        <v>2.652280385632174E-2</v>
      </c>
      <c r="Z30" s="6">
        <f t="shared" si="1"/>
        <v>2.6528882863559058E-2</v>
      </c>
      <c r="AA30" s="28">
        <f t="shared" si="7"/>
        <v>4.0575970538287986E-2</v>
      </c>
      <c r="AB30" s="28">
        <f t="shared" si="4"/>
        <v>3.9735504428870527E-2</v>
      </c>
    </row>
    <row r="31" spans="1:39" ht="15" x14ac:dyDescent="0.2">
      <c r="A31" s="3">
        <f t="shared" si="5"/>
        <v>23</v>
      </c>
      <c r="B31" s="11"/>
      <c r="C31" s="19"/>
      <c r="D31" s="11"/>
      <c r="E31" s="11"/>
      <c r="G31" s="4"/>
      <c r="H31" s="1"/>
      <c r="I31" s="17"/>
      <c r="L31" s="12">
        <v>24.095108695652176</v>
      </c>
      <c r="M31" s="31">
        <v>3.9264225453419802E-2</v>
      </c>
      <c r="N31" s="31">
        <v>3.8632165208105584E-5</v>
      </c>
      <c r="O31" s="3">
        <v>11.5</v>
      </c>
      <c r="P31" s="6">
        <f t="shared" si="2"/>
        <v>3.5047284942778777E-2</v>
      </c>
      <c r="Q31" s="6">
        <f t="shared" si="3"/>
        <v>3.4745067050389489E-2</v>
      </c>
      <c r="X31" s="3">
        <f t="shared" si="6"/>
        <v>5.75</v>
      </c>
      <c r="Y31" s="6">
        <f t="shared" si="0"/>
        <v>2.714279088843289E-2</v>
      </c>
      <c r="Z31" s="6">
        <f t="shared" si="1"/>
        <v>2.7164908242970316E-2</v>
      </c>
      <c r="AA31" s="28">
        <f t="shared" si="7"/>
        <v>4.0830596696957766E-2</v>
      </c>
      <c r="AB31" s="28">
        <f t="shared" si="4"/>
        <v>4.1208080651246703E-2</v>
      </c>
    </row>
    <row r="32" spans="1:39" ht="15" x14ac:dyDescent="0.2">
      <c r="A32" s="3">
        <f t="shared" si="5"/>
        <v>24</v>
      </c>
      <c r="B32" s="11"/>
      <c r="C32" s="19"/>
      <c r="D32" s="11"/>
      <c r="E32" s="11"/>
      <c r="G32" s="4"/>
      <c r="H32" s="1"/>
      <c r="I32" s="17"/>
      <c r="L32" s="12">
        <v>25.842541436464089</v>
      </c>
      <c r="M32" s="31">
        <v>3.8332965620950225E-2</v>
      </c>
      <c r="N32" s="31">
        <v>-8.2607405516981652E-4</v>
      </c>
      <c r="O32" s="3">
        <v>12</v>
      </c>
      <c r="P32" s="6">
        <f t="shared" si="2"/>
        <v>3.4983345910301542E-2</v>
      </c>
      <c r="Q32" s="6">
        <f t="shared" si="3"/>
        <v>3.4651498825519551E-2</v>
      </c>
      <c r="X32" s="3">
        <f t="shared" si="6"/>
        <v>6</v>
      </c>
      <c r="Y32" s="6">
        <f t="shared" si="0"/>
        <v>2.7762777920544039E-2</v>
      </c>
      <c r="Z32" s="6">
        <f t="shared" si="1"/>
        <v>2.7804953665196107E-2</v>
      </c>
      <c r="AA32" s="28">
        <f t="shared" si="7"/>
        <v>4.2074931952298833E-2</v>
      </c>
      <c r="AB32" s="28">
        <f t="shared" si="4"/>
        <v>4.2581902990681986E-2</v>
      </c>
    </row>
    <row r="33" spans="1:28" ht="15" x14ac:dyDescent="0.2">
      <c r="A33" s="3">
        <f t="shared" si="5"/>
        <v>25</v>
      </c>
      <c r="B33" s="11"/>
      <c r="C33" s="19"/>
      <c r="D33" s="11"/>
      <c r="E33" s="11"/>
      <c r="G33" s="4"/>
      <c r="H33" s="1"/>
      <c r="I33" s="17"/>
      <c r="L33" s="12">
        <v>26.095108695652176</v>
      </c>
      <c r="M33" s="31">
        <v>3.8065878569385571E-2</v>
      </c>
      <c r="N33" s="31">
        <v>3.5411535708703524E-4</v>
      </c>
      <c r="O33" s="3">
        <v>12.5</v>
      </c>
      <c r="P33" s="6">
        <f t="shared" si="2"/>
        <v>3.4919406877824313E-2</v>
      </c>
      <c r="Q33" s="6">
        <f t="shared" si="3"/>
        <v>3.4655932964989401E-2</v>
      </c>
      <c r="X33" s="3">
        <f t="shared" si="6"/>
        <v>6.25</v>
      </c>
      <c r="Y33" s="6">
        <f t="shared" si="0"/>
        <v>2.8382764952655189E-2</v>
      </c>
      <c r="Z33" s="6">
        <f t="shared" si="1"/>
        <v>2.8443673767695465E-2</v>
      </c>
      <c r="AA33" s="28">
        <f t="shared" si="7"/>
        <v>4.3319455429903453E-2</v>
      </c>
      <c r="AB33" s="28">
        <f t="shared" si="4"/>
        <v>4.3833457645697571E-2</v>
      </c>
    </row>
    <row r="34" spans="1:28" x14ac:dyDescent="0.15">
      <c r="A34" s="3">
        <f t="shared" si="5"/>
        <v>26</v>
      </c>
      <c r="L34" s="12">
        <v>29.842541436464089</v>
      </c>
      <c r="M34" s="31">
        <v>3.6240395391871676E-2</v>
      </c>
      <c r="N34" s="31">
        <v>2.1291249896604521E-4</v>
      </c>
      <c r="O34" s="3">
        <v>13</v>
      </c>
      <c r="P34" s="6">
        <f t="shared" si="2"/>
        <v>3.4855467845347078E-2</v>
      </c>
      <c r="Q34" s="6">
        <f t="shared" si="3"/>
        <v>3.4797586329524281E-2</v>
      </c>
      <c r="X34" s="3">
        <f t="shared" si="6"/>
        <v>6.5</v>
      </c>
      <c r="Y34" s="6">
        <f t="shared" si="0"/>
        <v>2.9002751984766338E-2</v>
      </c>
      <c r="Z34" s="6">
        <f t="shared" si="1"/>
        <v>2.9075723187927432E-2</v>
      </c>
      <c r="AA34" s="28">
        <f t="shared" si="7"/>
        <v>4.4564167014303546E-2</v>
      </c>
      <c r="AB34" s="28">
        <f t="shared" si="4"/>
        <v>4.4941124796012311E-2</v>
      </c>
    </row>
    <row r="35" spans="1:28" x14ac:dyDescent="0.15">
      <c r="A35" s="3">
        <f t="shared" si="5"/>
        <v>27</v>
      </c>
      <c r="G35"/>
      <c r="H35"/>
      <c r="I35"/>
      <c r="J35"/>
      <c r="K35"/>
      <c r="L35"/>
      <c r="M35"/>
      <c r="N35"/>
      <c r="O35" s="3">
        <v>13.5</v>
      </c>
      <c r="P35" s="6">
        <f t="shared" si="2"/>
        <v>3.5146745898038734E-2</v>
      </c>
      <c r="Q35" s="6">
        <f t="shared" si="3"/>
        <v>3.5103339275066391E-2</v>
      </c>
      <c r="X35" s="3">
        <f t="shared" si="6"/>
        <v>6.75</v>
      </c>
      <c r="Y35" s="6">
        <f t="shared" si="0"/>
        <v>2.9622739016877488E-2</v>
      </c>
      <c r="Z35" s="6">
        <f t="shared" si="1"/>
        <v>2.9695756563351043E-2</v>
      </c>
      <c r="AA35" s="28">
        <f t="shared" si="7"/>
        <v>4.580906659009365E-2</v>
      </c>
      <c r="AB35" s="28">
        <f t="shared" si="4"/>
        <v>4.5883296638066895E-2</v>
      </c>
    </row>
    <row r="36" spans="1:28" x14ac:dyDescent="0.15">
      <c r="A36" s="3">
        <f t="shared" si="5"/>
        <v>28</v>
      </c>
      <c r="G36"/>
      <c r="H36"/>
      <c r="I36"/>
      <c r="J36"/>
      <c r="K36"/>
      <c r="L36"/>
      <c r="M36"/>
      <c r="N36"/>
      <c r="O36" s="3">
        <v>14</v>
      </c>
      <c r="P36" s="6">
        <f t="shared" si="2"/>
        <v>3.552146420563583E-2</v>
      </c>
      <c r="Q36" s="6">
        <f t="shared" si="3"/>
        <v>3.5511708002781701E-2</v>
      </c>
      <c r="X36" s="3">
        <f t="shared" si="6"/>
        <v>7</v>
      </c>
      <c r="Y36" s="6">
        <f t="shared" si="0"/>
        <v>3.0242726048988637E-2</v>
      </c>
      <c r="Z36" s="6">
        <f t="shared" si="1"/>
        <v>3.029842853142534E-2</v>
      </c>
      <c r="AA36" s="28">
        <f t="shared" si="7"/>
        <v>4.7054154041982432E-2</v>
      </c>
      <c r="AB36" s="28">
        <f t="shared" si="4"/>
        <v>4.6638389060075447E-2</v>
      </c>
    </row>
    <row r="37" spans="1:28" x14ac:dyDescent="0.15">
      <c r="A37" s="3">
        <f t="shared" si="5"/>
        <v>29</v>
      </c>
      <c r="G37"/>
      <c r="H37"/>
      <c r="I37"/>
      <c r="J37"/>
      <c r="K37"/>
      <c r="L37"/>
      <c r="M37"/>
      <c r="N37"/>
      <c r="O37" s="3">
        <v>14.5</v>
      </c>
      <c r="P37" s="6">
        <f t="shared" si="2"/>
        <v>3.5917895276930949E-2</v>
      </c>
      <c r="Q37" s="6">
        <f t="shared" si="3"/>
        <v>3.5930605533396838E-2</v>
      </c>
      <c r="X37" s="3">
        <f t="shared" si="6"/>
        <v>7.25</v>
      </c>
      <c r="Y37" s="6">
        <f t="shared" si="0"/>
        <v>3.0862713081099787E-2</v>
      </c>
      <c r="Z37" s="6">
        <f t="shared" si="1"/>
        <v>3.0878393729609366E-2</v>
      </c>
      <c r="AA37" s="28">
        <f t="shared" si="7"/>
        <v>4.8299429254706094E-2</v>
      </c>
      <c r="AB37" s="28">
        <f t="shared" si="4"/>
        <v>4.7184854562118961E-2</v>
      </c>
    </row>
    <row r="38" spans="1:28" x14ac:dyDescent="0.15">
      <c r="A38" s="3">
        <f t="shared" si="5"/>
        <v>30</v>
      </c>
      <c r="G38"/>
      <c r="H38"/>
      <c r="I38"/>
      <c r="J38"/>
      <c r="K38"/>
      <c r="L38"/>
      <c r="M38"/>
      <c r="N38"/>
      <c r="O38" s="3">
        <v>15</v>
      </c>
      <c r="P38" s="6">
        <f t="shared" si="2"/>
        <v>3.6319426661846399E-2</v>
      </c>
      <c r="Q38" s="6">
        <f t="shared" si="3"/>
        <v>3.6324574165743494E-2</v>
      </c>
      <c r="X38" s="3">
        <f t="shared" si="6"/>
        <v>7.5</v>
      </c>
      <c r="Y38" s="6">
        <f t="shared" si="0"/>
        <v>3.1366401151092585E-2</v>
      </c>
      <c r="Z38" s="6">
        <f t="shared" si="1"/>
        <v>3.1430852903337365E-2</v>
      </c>
      <c r="AA38" s="28">
        <f t="shared" si="7"/>
        <v>4.6027822732633172E-2</v>
      </c>
      <c r="AB38" s="28">
        <f t="shared" si="4"/>
        <v>4.7517709326879931E-2</v>
      </c>
    </row>
    <row r="39" spans="1:28" x14ac:dyDescent="0.15">
      <c r="A39" s="3">
        <f t="shared" si="5"/>
        <v>31</v>
      </c>
      <c r="G39"/>
      <c r="H39"/>
      <c r="I39"/>
      <c r="J39"/>
      <c r="K39"/>
      <c r="L39"/>
      <c r="M39"/>
      <c r="N39"/>
      <c r="O39" s="3">
        <v>15.5</v>
      </c>
      <c r="P39" s="6">
        <f t="shared" si="2"/>
        <v>3.6657351431063391E-2</v>
      </c>
      <c r="Q39" s="6">
        <f t="shared" si="3"/>
        <v>3.6682485043720015E-2</v>
      </c>
      <c r="X39" s="3">
        <f t="shared" si="6"/>
        <v>7.75</v>
      </c>
      <c r="Y39" s="6">
        <f t="shared" si="0"/>
        <v>3.1826036583919345E-2</v>
      </c>
      <c r="Z39" s="6">
        <f t="shared" si="1"/>
        <v>3.1956173353393139E-2</v>
      </c>
      <c r="AA39" s="28">
        <f t="shared" si="7"/>
        <v>4.5663566115027976E-2</v>
      </c>
      <c r="AB39" s="28">
        <f t="shared" si="4"/>
        <v>4.7779113395964856E-2</v>
      </c>
    </row>
    <row r="40" spans="1:28" x14ac:dyDescent="0.15">
      <c r="A40" s="3">
        <f t="shared" si="5"/>
        <v>32</v>
      </c>
      <c r="G40"/>
      <c r="H40"/>
      <c r="I40"/>
      <c r="J40"/>
      <c r="K40"/>
      <c r="L40"/>
      <c r="M40"/>
      <c r="N40"/>
      <c r="O40" s="3">
        <v>16</v>
      </c>
      <c r="P40" s="6">
        <f t="shared" si="2"/>
        <v>3.6980335048941826E-2</v>
      </c>
      <c r="Q40" s="6">
        <f t="shared" si="3"/>
        <v>3.6990201413376153E-2</v>
      </c>
      <c r="X40" s="3">
        <f t="shared" si="6"/>
        <v>8</v>
      </c>
      <c r="Y40" s="6">
        <f t="shared" si="0"/>
        <v>3.2285672016746106E-2</v>
      </c>
      <c r="Z40" s="6">
        <f t="shared" si="1"/>
        <v>3.2457568632354009E-2</v>
      </c>
      <c r="AA40" s="28">
        <f t="shared" si="7"/>
        <v>4.6586060264939277E-2</v>
      </c>
      <c r="AB40" s="28">
        <f t="shared" si="4"/>
        <v>4.8062339975779356E-2</v>
      </c>
    </row>
    <row r="41" spans="1:28" x14ac:dyDescent="0.15">
      <c r="A41" s="3">
        <f t="shared" si="5"/>
        <v>33</v>
      </c>
      <c r="G41"/>
      <c r="H41"/>
      <c r="I41"/>
      <c r="J41"/>
      <c r="K41"/>
      <c r="L41"/>
      <c r="M41"/>
      <c r="N41"/>
      <c r="O41" s="3">
        <v>16.5</v>
      </c>
      <c r="P41" s="6">
        <f t="shared" si="2"/>
        <v>3.7275641275287166E-2</v>
      </c>
      <c r="Q41" s="6">
        <f t="shared" si="3"/>
        <v>3.7241099586196556E-2</v>
      </c>
      <c r="X41" s="3">
        <f t="shared" si="6"/>
        <v>8.25</v>
      </c>
      <c r="Y41" s="6">
        <f t="shared" si="0"/>
        <v>3.2745307449572859E-2</v>
      </c>
      <c r="Z41" s="6">
        <f t="shared" si="1"/>
        <v>3.2938281972991514E-2</v>
      </c>
      <c r="AA41" s="28">
        <f t="shared" si="7"/>
        <v>4.7508657637436613E-2</v>
      </c>
      <c r="AB41" s="28">
        <f t="shared" si="4"/>
        <v>4.8381288126791766E-2</v>
      </c>
    </row>
    <row r="42" spans="1:28" x14ac:dyDescent="0.15">
      <c r="A42" s="3">
        <f t="shared" si="5"/>
        <v>34</v>
      </c>
      <c r="G42"/>
      <c r="H42"/>
      <c r="I42"/>
      <c r="J42"/>
      <c r="K42"/>
      <c r="L42"/>
      <c r="M42"/>
      <c r="N42"/>
      <c r="O42" s="3">
        <v>17</v>
      </c>
      <c r="P42" s="6">
        <f t="shared" si="2"/>
        <v>3.7564446100936816E-2</v>
      </c>
      <c r="Q42" s="6">
        <f t="shared" si="3"/>
        <v>3.7492080722308876E-2</v>
      </c>
      <c r="X42" s="3">
        <f t="shared" si="6"/>
        <v>8.5</v>
      </c>
      <c r="Y42" s="6">
        <f t="shared" si="0"/>
        <v>3.320494288239962E-2</v>
      </c>
      <c r="Z42" s="6">
        <f t="shared" si="1"/>
        <v>3.3401556608077178E-2</v>
      </c>
      <c r="AA42" s="28">
        <f t="shared" si="7"/>
        <v>4.8431358185724083E-2</v>
      </c>
      <c r="AB42" s="28">
        <f t="shared" si="4"/>
        <v>4.8748990237540646E-2</v>
      </c>
    </row>
    <row r="43" spans="1:28" x14ac:dyDescent="0.15">
      <c r="A43" s="3">
        <f t="shared" si="5"/>
        <v>35</v>
      </c>
      <c r="G43"/>
      <c r="H43"/>
      <c r="I43"/>
      <c r="J43"/>
      <c r="K43"/>
      <c r="L43"/>
      <c r="M43"/>
      <c r="N43"/>
      <c r="O43" s="3">
        <v>17.5</v>
      </c>
      <c r="P43" s="6">
        <f t="shared" si="2"/>
        <v>3.7853250926586465E-2</v>
      </c>
      <c r="Q43" s="6">
        <f t="shared" si="3"/>
        <v>3.7827748674993236E-2</v>
      </c>
      <c r="X43" s="3">
        <f t="shared" si="6"/>
        <v>8.75</v>
      </c>
      <c r="Y43" s="6">
        <f t="shared" si="0"/>
        <v>3.366457831522638E-2</v>
      </c>
      <c r="Z43" s="6">
        <f t="shared" si="1"/>
        <v>3.3850635770382533E-2</v>
      </c>
      <c r="AA43" s="28">
        <f t="shared" si="7"/>
        <v>4.9354161862919188E-2</v>
      </c>
      <c r="AB43" s="28">
        <f t="shared" si="4"/>
        <v>4.9178482807016088E-2</v>
      </c>
    </row>
    <row r="44" spans="1:28" x14ac:dyDescent="0.15">
      <c r="A44" s="3">
        <f t="shared" si="5"/>
        <v>36</v>
      </c>
      <c r="G44"/>
      <c r="H44"/>
      <c r="I44"/>
      <c r="J44" s="12"/>
      <c r="K44" s="12"/>
      <c r="L44" s="12"/>
      <c r="M44" s="12"/>
      <c r="N44" s="12"/>
      <c r="O44" s="3">
        <v>18</v>
      </c>
      <c r="P44" s="6">
        <f t="shared" si="2"/>
        <v>3.8310937856650983E-2</v>
      </c>
      <c r="Q44" s="6">
        <f t="shared" si="3"/>
        <v>3.8308309339682871E-2</v>
      </c>
      <c r="X44" s="3">
        <f t="shared" si="6"/>
        <v>9</v>
      </c>
      <c r="Y44" s="6">
        <f t="shared" si="0"/>
        <v>3.4124213748053141E-2</v>
      </c>
      <c r="Z44" s="6">
        <f t="shared" si="1"/>
        <v>3.428876269267913E-2</v>
      </c>
      <c r="AA44" s="28">
        <f t="shared" si="7"/>
        <v>5.0277068622284649E-2</v>
      </c>
      <c r="AB44" s="28">
        <f t="shared" si="4"/>
        <v>4.9682809912525272E-2</v>
      </c>
    </row>
    <row r="45" spans="1:28" x14ac:dyDescent="0.15">
      <c r="A45" s="3">
        <f t="shared" si="5"/>
        <v>37</v>
      </c>
      <c r="G45"/>
      <c r="H45"/>
      <c r="I45"/>
      <c r="J45"/>
      <c r="K45"/>
      <c r="L45"/>
      <c r="M45"/>
      <c r="N45"/>
      <c r="O45" s="3">
        <v>18.5</v>
      </c>
      <c r="P45" s="6">
        <f t="shared" si="2"/>
        <v>3.8808295079698865E-2</v>
      </c>
      <c r="Q45" s="6">
        <f t="shared" si="3"/>
        <v>3.8818387016583543E-2</v>
      </c>
      <c r="X45" s="3">
        <f t="shared" si="6"/>
        <v>9.25</v>
      </c>
      <c r="Y45" s="6">
        <f t="shared" si="0"/>
        <v>3.4583849180879894E-2</v>
      </c>
      <c r="Z45" s="6">
        <f t="shared" si="1"/>
        <v>3.471918060773848E-2</v>
      </c>
      <c r="AA45" s="28">
        <f t="shared" si="7"/>
        <v>5.1200078417001471E-2</v>
      </c>
      <c r="AB45" s="28">
        <f t="shared" si="4"/>
        <v>5.0275027141427842E-2</v>
      </c>
    </row>
    <row r="46" spans="1:28" x14ac:dyDescent="0.15">
      <c r="A46" s="3">
        <f t="shared" si="5"/>
        <v>38</v>
      </c>
      <c r="G46"/>
      <c r="H46"/>
      <c r="I46"/>
      <c r="J46"/>
      <c r="K46"/>
      <c r="L46"/>
      <c r="M46"/>
      <c r="N46"/>
      <c r="O46" s="3">
        <v>19</v>
      </c>
      <c r="P46" s="6">
        <f t="shared" si="2"/>
        <v>3.9069630910528161E-2</v>
      </c>
      <c r="Q46" s="6">
        <f t="shared" si="3"/>
        <v>3.9189013300013176E-2</v>
      </c>
      <c r="X46" s="3">
        <f t="shared" si="6"/>
        <v>9.5</v>
      </c>
      <c r="Y46" s="6">
        <f t="shared" si="0"/>
        <v>3.5043484613706655E-2</v>
      </c>
      <c r="Z46" s="6">
        <f t="shared" si="1"/>
        <v>3.5145132748332121E-2</v>
      </c>
      <c r="AA46" s="28">
        <f t="shared" si="7"/>
        <v>5.2123191200358132E-2</v>
      </c>
      <c r="AB46" s="28">
        <f t="shared" si="4"/>
        <v>5.0968205987522719E-2</v>
      </c>
    </row>
    <row r="47" spans="1:28" x14ac:dyDescent="0.15">
      <c r="A47" s="3">
        <f t="shared" si="5"/>
        <v>39</v>
      </c>
      <c r="G47"/>
      <c r="H47"/>
      <c r="I47"/>
      <c r="J47"/>
      <c r="K47"/>
      <c r="L47"/>
      <c r="M47"/>
      <c r="N47"/>
      <c r="O47" s="3">
        <v>19.5</v>
      </c>
      <c r="P47" s="6">
        <f t="shared" si="2"/>
        <v>3.9275525474728921E-2</v>
      </c>
      <c r="Q47" s="6">
        <f t="shared" si="3"/>
        <v>3.941543403383839E-2</v>
      </c>
      <c r="X47" s="3">
        <f t="shared" si="6"/>
        <v>9.75</v>
      </c>
      <c r="Y47" s="6">
        <f t="shared" si="0"/>
        <v>3.5503120046533415E-2</v>
      </c>
      <c r="Z47" s="6">
        <f t="shared" si="1"/>
        <v>3.5569862347231598E-2</v>
      </c>
      <c r="AA47" s="28">
        <f t="shared" si="7"/>
        <v>5.3046406925649325E-2</v>
      </c>
      <c r="AB47" s="28">
        <f t="shared" si="4"/>
        <v>5.1775438713423494E-2</v>
      </c>
    </row>
    <row r="48" spans="1:28" x14ac:dyDescent="0.15">
      <c r="A48" s="3">
        <f t="shared" si="5"/>
        <v>40</v>
      </c>
      <c r="G48"/>
      <c r="H48"/>
      <c r="I48"/>
      <c r="J48" s="12"/>
      <c r="K48" s="12"/>
      <c r="L48" s="12"/>
      <c r="M48" s="12"/>
      <c r="N48" s="12"/>
      <c r="O48" s="3">
        <v>20</v>
      </c>
      <c r="P48" s="6">
        <f t="shared" si="2"/>
        <v>3.9481420038929682E-2</v>
      </c>
      <c r="Q48" s="6">
        <f t="shared" si="3"/>
        <v>3.9564639817606363E-2</v>
      </c>
      <c r="X48" s="3">
        <f t="shared" si="6"/>
        <v>10</v>
      </c>
      <c r="Y48" s="6">
        <f t="shared" si="0"/>
        <v>3.5962755479360176E-2</v>
      </c>
      <c r="Z48" s="6">
        <f t="shared" si="1"/>
        <v>3.5996612637208429E-2</v>
      </c>
      <c r="AA48" s="28">
        <f t="shared" si="7"/>
        <v>5.3969725546127112E-2</v>
      </c>
      <c r="AB48" s="28">
        <f t="shared" si="4"/>
        <v>5.270984368060061E-2</v>
      </c>
    </row>
    <row r="49" spans="1:28" x14ac:dyDescent="0.15">
      <c r="A49" s="3">
        <f t="shared" si="5"/>
        <v>41</v>
      </c>
      <c r="G49"/>
      <c r="H49"/>
      <c r="I49"/>
      <c r="J49"/>
      <c r="K49"/>
      <c r="L49"/>
      <c r="M49"/>
      <c r="N49"/>
      <c r="O49" s="3">
        <v>20.5</v>
      </c>
      <c r="P49" s="6">
        <f t="shared" si="2"/>
        <v>3.9687314603130443E-2</v>
      </c>
      <c r="Q49" s="6">
        <f t="shared" si="3"/>
        <v>3.9703918973338755E-2</v>
      </c>
      <c r="X49" s="3">
        <f t="shared" si="6"/>
        <v>10.25</v>
      </c>
      <c r="Y49" s="6">
        <f t="shared" si="0"/>
        <v>3.6422390912186929E-2</v>
      </c>
      <c r="Z49" s="6">
        <f t="shared" si="1"/>
        <v>3.6428626851034145E-2</v>
      </c>
      <c r="AA49" s="28">
        <f t="shared" si="7"/>
        <v>5.4893147015200761E-2</v>
      </c>
      <c r="AB49" s="28">
        <f t="shared" si="4"/>
        <v>5.3784571148307148E-2</v>
      </c>
    </row>
    <row r="50" spans="1:28" x14ac:dyDescent="0.15">
      <c r="A50" s="3">
        <f t="shared" si="5"/>
        <v>42</v>
      </c>
      <c r="G50"/>
      <c r="H50"/>
      <c r="I50"/>
      <c r="J50"/>
      <c r="K50"/>
      <c r="L50"/>
      <c r="M50"/>
      <c r="N50"/>
      <c r="O50" s="3">
        <v>21</v>
      </c>
      <c r="P50" s="6">
        <f t="shared" si="2"/>
        <v>3.9893872004135134E-2</v>
      </c>
      <c r="Q50" s="6">
        <f t="shared" si="3"/>
        <v>3.989654197685874E-2</v>
      </c>
      <c r="X50" s="3">
        <f t="shared" si="6"/>
        <v>10.5</v>
      </c>
      <c r="Y50" s="6">
        <f t="shared" si="0"/>
        <v>3.6811014731692134E-2</v>
      </c>
      <c r="Z50" s="6">
        <f t="shared" si="1"/>
        <v>3.6868779434958747E-2</v>
      </c>
      <c r="AA50" s="28">
        <f t="shared" si="7"/>
        <v>5.2808608995985828E-2</v>
      </c>
      <c r="AB50" s="28">
        <f t="shared" si="4"/>
        <v>5.4997182597513294E-2</v>
      </c>
    </row>
    <row r="51" spans="1:28" x14ac:dyDescent="0.15">
      <c r="A51" s="3">
        <f t="shared" si="5"/>
        <v>43</v>
      </c>
      <c r="G51"/>
      <c r="H51"/>
      <c r="I51"/>
      <c r="J51"/>
      <c r="K51"/>
      <c r="L51"/>
      <c r="M51"/>
      <c r="N51"/>
      <c r="O51" s="3">
        <v>21.5</v>
      </c>
      <c r="P51" s="6">
        <f t="shared" si="2"/>
        <v>3.9900713628729635E-2</v>
      </c>
      <c r="Q51" s="6">
        <f t="shared" si="3"/>
        <v>4.0000285284274219E-2</v>
      </c>
      <c r="X51" s="3">
        <f t="shared" si="6"/>
        <v>10.75</v>
      </c>
      <c r="Y51" s="6">
        <f t="shared" si="0"/>
        <v>3.717274021281796E-2</v>
      </c>
      <c r="Z51" s="6">
        <f t="shared" si="1"/>
        <v>3.7316455862241207E-2</v>
      </c>
      <c r="AA51" s="28">
        <f t="shared" si="7"/>
        <v>5.2423360444125322E-2</v>
      </c>
      <c r="AB51" s="28">
        <f t="shared" si="4"/>
        <v>5.6207982400717782E-2</v>
      </c>
    </row>
    <row r="52" spans="1:28" x14ac:dyDescent="0.15">
      <c r="A52" s="3">
        <f t="shared" si="5"/>
        <v>44</v>
      </c>
      <c r="G52"/>
      <c r="H52"/>
      <c r="I52"/>
      <c r="J52"/>
      <c r="K52"/>
      <c r="L52"/>
      <c r="M52"/>
      <c r="N52"/>
      <c r="O52" s="3">
        <v>22</v>
      </c>
      <c r="P52" s="6">
        <f t="shared" si="2"/>
        <v>3.9860303435866544E-2</v>
      </c>
      <c r="Q52" s="6">
        <f t="shared" si="3"/>
        <v>3.9930793685938305E-2</v>
      </c>
      <c r="X52" s="3">
        <f t="shared" si="6"/>
        <v>11</v>
      </c>
      <c r="Y52" s="6">
        <f t="shared" si="0"/>
        <v>3.7534465693943787E-2</v>
      </c>
      <c r="Z52" s="6">
        <f t="shared" si="1"/>
        <v>3.7769119533316055E-2</v>
      </c>
      <c r="AA52" s="28">
        <f t="shared" si="7"/>
        <v>5.3149573221282331E-2</v>
      </c>
      <c r="AB52" s="28">
        <f t="shared" si="4"/>
        <v>5.7329098574120163E-2</v>
      </c>
    </row>
    <row r="53" spans="1:28" x14ac:dyDescent="0.15">
      <c r="A53" s="3">
        <f t="shared" si="5"/>
        <v>45</v>
      </c>
      <c r="G53"/>
      <c r="H53"/>
      <c r="I53"/>
      <c r="J53"/>
      <c r="K53"/>
      <c r="L53"/>
      <c r="M53"/>
      <c r="N53"/>
      <c r="O53" s="3">
        <v>22.5</v>
      </c>
      <c r="P53" s="6">
        <f t="shared" si="2"/>
        <v>3.9781552050266504E-2</v>
      </c>
      <c r="Q53" s="6">
        <f t="shared" si="3"/>
        <v>3.9783374523005774E-2</v>
      </c>
      <c r="X53" s="3">
        <f t="shared" si="6"/>
        <v>11.25</v>
      </c>
      <c r="Y53" s="6">
        <f t="shared" si="0"/>
        <v>3.7896191175069614E-2</v>
      </c>
      <c r="Z53" s="6">
        <f t="shared" si="1"/>
        <v>3.8224213805593217E-2</v>
      </c>
      <c r="AA53" s="28">
        <f t="shared" si="7"/>
        <v>5.3875849723710623E-2</v>
      </c>
      <c r="AB53" s="28">
        <f t="shared" si="4"/>
        <v>5.8349304317822703E-2</v>
      </c>
    </row>
    <row r="54" spans="1:28" x14ac:dyDescent="0.15">
      <c r="A54" s="3">
        <f t="shared" si="5"/>
        <v>46</v>
      </c>
      <c r="G54" s="12"/>
      <c r="H54" s="12"/>
      <c r="I54" s="12"/>
      <c r="J54"/>
      <c r="K54"/>
      <c r="L54"/>
      <c r="M54"/>
      <c r="N54"/>
      <c r="O54" s="3">
        <v>23</v>
      </c>
      <c r="P54" s="6">
        <f t="shared" si="2"/>
        <v>3.9619391754151016E-2</v>
      </c>
      <c r="Q54" s="6">
        <f t="shared" si="3"/>
        <v>3.9621758620555739E-2</v>
      </c>
      <c r="X54" s="3">
        <f t="shared" si="6"/>
        <v>11.5</v>
      </c>
      <c r="Y54" s="6">
        <f t="shared" si="0"/>
        <v>3.8257916656195441E-2</v>
      </c>
      <c r="Z54" s="6">
        <f t="shared" si="1"/>
        <v>3.8679182036482657E-2</v>
      </c>
      <c r="AA54" s="28">
        <f t="shared" si="7"/>
        <v>5.4602189928703027E-2</v>
      </c>
      <c r="AB54" s="28">
        <f t="shared" si="4"/>
        <v>5.9258208948240743E-2</v>
      </c>
    </row>
    <row r="55" spans="1:28" x14ac:dyDescent="0.15">
      <c r="A55" s="3">
        <f t="shared" si="5"/>
        <v>47</v>
      </c>
      <c r="G55"/>
      <c r="H55"/>
      <c r="I55"/>
      <c r="O55" s="3">
        <v>23.5</v>
      </c>
      <c r="P55" s="6">
        <f t="shared" si="2"/>
        <v>3.9457231458035522E-2</v>
      </c>
      <c r="Q55" s="6">
        <f t="shared" si="3"/>
        <v>3.9456762109236813E-2</v>
      </c>
      <c r="X55" s="3">
        <f t="shared" si="6"/>
        <v>11.75</v>
      </c>
      <c r="Y55" s="6">
        <f t="shared" si="0"/>
        <v>3.8619642137321268E-2</v>
      </c>
      <c r="Z55" s="6">
        <f t="shared" si="1"/>
        <v>3.9131467583394294E-2</v>
      </c>
      <c r="AA55" s="28">
        <f t="shared" si="7"/>
        <v>5.5328593813502192E-2</v>
      </c>
      <c r="AB55" s="28">
        <f t="shared" si="4"/>
        <v>6.0045432730526649E-2</v>
      </c>
    </row>
    <row r="56" spans="1:28" x14ac:dyDescent="0.15">
      <c r="A56" s="3">
        <f t="shared" si="5"/>
        <v>48</v>
      </c>
      <c r="G56"/>
      <c r="H56"/>
      <c r="I56"/>
      <c r="J56"/>
      <c r="K56"/>
      <c r="L56"/>
      <c r="M56"/>
      <c r="N56"/>
      <c r="O56" s="3">
        <v>24</v>
      </c>
      <c r="P56" s="6">
        <f t="shared" si="2"/>
        <v>3.9295071161920034E-2</v>
      </c>
      <c r="Q56" s="6">
        <f t="shared" si="3"/>
        <v>3.9294338119648144E-2</v>
      </c>
      <c r="X56" s="3">
        <f t="shared" si="6"/>
        <v>12</v>
      </c>
      <c r="Y56" s="6">
        <f t="shared" si="0"/>
        <v>3.8981367618447095E-2</v>
      </c>
      <c r="Z56" s="6">
        <f t="shared" si="1"/>
        <v>3.9578513803738058E-2</v>
      </c>
      <c r="AA56" s="28">
        <f t="shared" si="7"/>
        <v>5.6055061355465341E-2</v>
      </c>
      <c r="AB56" s="28">
        <f t="shared" si="4"/>
        <v>6.0700611250382952E-2</v>
      </c>
    </row>
    <row r="57" spans="1:28" x14ac:dyDescent="0.15">
      <c r="A57" s="3">
        <f t="shared" si="5"/>
        <v>49</v>
      </c>
      <c r="G57"/>
      <c r="H57"/>
      <c r="I57"/>
      <c r="J57"/>
      <c r="K57"/>
      <c r="L57"/>
      <c r="M57"/>
      <c r="N57"/>
      <c r="O57" s="3">
        <v>24.5</v>
      </c>
      <c r="P57" s="6">
        <f t="shared" si="2"/>
        <v>3.9048446614298273E-2</v>
      </c>
      <c r="Q57" s="6">
        <f t="shared" si="3"/>
        <v>3.9134438571584843E-2</v>
      </c>
      <c r="X57" s="3">
        <f t="shared" si="6"/>
        <v>12.25</v>
      </c>
      <c r="Y57" s="6">
        <f t="shared" si="0"/>
        <v>3.9343093099572922E-2</v>
      </c>
      <c r="Z57" s="6">
        <f t="shared" si="1"/>
        <v>4.001776405492391E-2</v>
      </c>
      <c r="AA57" s="28">
        <f t="shared" si="7"/>
        <v>5.6781592531936376E-2</v>
      </c>
      <c r="AB57" s="28">
        <f t="shared" si="4"/>
        <v>6.1213400067370749E-2</v>
      </c>
    </row>
    <row r="58" spans="1:28" x14ac:dyDescent="0.15">
      <c r="A58" s="3">
        <f t="shared" si="5"/>
        <v>50</v>
      </c>
      <c r="G58"/>
      <c r="H58"/>
      <c r="I58"/>
      <c r="J58"/>
      <c r="K58"/>
      <c r="L58"/>
      <c r="M58"/>
      <c r="N58"/>
      <c r="O58" s="3">
        <v>25</v>
      </c>
      <c r="P58" s="6">
        <f t="shared" si="2"/>
        <v>3.8781981470685109E-2</v>
      </c>
      <c r="Q58" s="6">
        <f t="shared" si="3"/>
        <v>3.8934029796164157E-2</v>
      </c>
      <c r="X58" s="3">
        <f t="shared" si="6"/>
        <v>12.5</v>
      </c>
      <c r="Y58" s="6">
        <f t="shared" si="0"/>
        <v>3.9704818580698749E-2</v>
      </c>
      <c r="Z58" s="6">
        <f t="shared" si="1"/>
        <v>4.0446661694361785E-2</v>
      </c>
      <c r="AA58" s="28">
        <f t="shared" si="7"/>
        <v>5.7508187320156168E-2</v>
      </c>
      <c r="AB58" s="28">
        <f t="shared" si="4"/>
        <v>6.1573479646102047E-2</v>
      </c>
    </row>
    <row r="59" spans="1:28" x14ac:dyDescent="0.15">
      <c r="A59" s="3">
        <f t="shared" si="5"/>
        <v>51</v>
      </c>
      <c r="G59"/>
      <c r="H59"/>
      <c r="I59"/>
      <c r="J59"/>
      <c r="K59"/>
      <c r="L59"/>
      <c r="M59"/>
      <c r="N59"/>
      <c r="O59" s="3">
        <v>25.5</v>
      </c>
      <c r="P59" s="6">
        <f t="shared" si="2"/>
        <v>3.8515516327071952E-2</v>
      </c>
      <c r="Q59" s="6">
        <f t="shared" si="3"/>
        <v>3.863133410397062E-2</v>
      </c>
      <c r="X59" s="3">
        <f t="shared" si="6"/>
        <v>12.75</v>
      </c>
      <c r="Y59" s="6">
        <f t="shared" si="0"/>
        <v>4.0066544061824576E-2</v>
      </c>
      <c r="Z59" s="6">
        <f t="shared" si="1"/>
        <v>4.0862650079461604E-2</v>
      </c>
      <c r="AA59" s="28">
        <f t="shared" si="7"/>
        <v>5.8234845697541449E-2</v>
      </c>
      <c r="AB59" s="28">
        <f t="shared" si="4"/>
        <v>6.1770560564733845E-2</v>
      </c>
    </row>
    <row r="60" spans="1:28" x14ac:dyDescent="0.15">
      <c r="A60" s="3">
        <f t="shared" si="5"/>
        <v>52</v>
      </c>
      <c r="G60"/>
      <c r="H60"/>
      <c r="I60"/>
      <c r="J60"/>
      <c r="K60"/>
      <c r="L60"/>
      <c r="M60"/>
      <c r="N60"/>
      <c r="O60" s="3">
        <v>26</v>
      </c>
      <c r="P60" s="6">
        <f t="shared" si="2"/>
        <v>3.8166454951223658E-2</v>
      </c>
      <c r="Q60" s="6">
        <f t="shared" si="3"/>
        <v>3.8167858333707533E-2</v>
      </c>
      <c r="X60" s="3">
        <f t="shared" si="6"/>
        <v>13</v>
      </c>
      <c r="Y60" s="6">
        <f t="shared" si="0"/>
        <v>4.0428269542950403E-2</v>
      </c>
      <c r="Z60" s="6">
        <f t="shared" si="1"/>
        <v>4.1263172567633316E-2</v>
      </c>
      <c r="AA60" s="28">
        <f t="shared" si="7"/>
        <v>5.8961567641446333E-2</v>
      </c>
      <c r="AB60" s="28">
        <f t="shared" si="4"/>
        <v>6.1794388996732508E-2</v>
      </c>
    </row>
    <row r="61" spans="1:28" x14ac:dyDescent="0.15">
      <c r="A61" s="3">
        <f t="shared" si="5"/>
        <v>53</v>
      </c>
      <c r="G61"/>
      <c r="H61"/>
      <c r="I61"/>
      <c r="J61"/>
      <c r="K61"/>
      <c r="L61"/>
      <c r="M61"/>
      <c r="N61"/>
      <c r="O61" s="3">
        <v>26.5</v>
      </c>
      <c r="P61" s="6">
        <f t="shared" si="2"/>
        <v>3.7868644271686479E-2</v>
      </c>
      <c r="Q61" s="6">
        <f t="shared" si="3"/>
        <v>3.7664311510450271E-2</v>
      </c>
      <c r="X61" s="3">
        <f t="shared" si="6"/>
        <v>13.25</v>
      </c>
      <c r="Y61" s="6">
        <f t="shared" si="0"/>
        <v>4.078999502407623E-2</v>
      </c>
      <c r="Z61" s="6">
        <f t="shared" si="1"/>
        <v>4.1645672516286862E-2</v>
      </c>
      <c r="AA61" s="28">
        <f t="shared" si="7"/>
        <v>5.9688353129151661E-2</v>
      </c>
      <c r="AB61" s="28">
        <f t="shared" si="4"/>
        <v>6.1634752464398979E-2</v>
      </c>
    </row>
    <row r="62" spans="1:28" x14ac:dyDescent="0.15">
      <c r="A62" s="3">
        <f t="shared" si="5"/>
        <v>54</v>
      </c>
      <c r="G62"/>
      <c r="H62"/>
      <c r="I62"/>
      <c r="J62"/>
      <c r="K62"/>
      <c r="L62"/>
      <c r="M62"/>
      <c r="N62"/>
      <c r="O62" s="3">
        <v>27</v>
      </c>
      <c r="P62" s="6">
        <f t="shared" si="2"/>
        <v>3.7625079769829886E-2</v>
      </c>
      <c r="Q62" s="6">
        <f t="shared" si="3"/>
        <v>3.7244804044257035E-2</v>
      </c>
      <c r="X62" s="3">
        <f t="shared" si="6"/>
        <v>13.5</v>
      </c>
      <c r="Y62" s="6">
        <f t="shared" si="0"/>
        <v>4.1151720505202057E-2</v>
      </c>
      <c r="Z62" s="6">
        <f t="shared" si="1"/>
        <v>4.200759328283217E-2</v>
      </c>
      <c r="AA62" s="28">
        <f t="shared" si="7"/>
        <v>6.0415202138107027E-2</v>
      </c>
      <c r="AB62" s="28">
        <f t="shared" si="4"/>
        <v>6.1281485861006679E-2</v>
      </c>
    </row>
    <row r="63" spans="1:28" x14ac:dyDescent="0.15">
      <c r="A63" s="3">
        <f t="shared" si="5"/>
        <v>55</v>
      </c>
      <c r="G63"/>
      <c r="H63"/>
      <c r="I63"/>
      <c r="J63"/>
      <c r="K63"/>
      <c r="L63"/>
      <c r="M63"/>
      <c r="N63"/>
      <c r="O63" s="3">
        <v>27.5</v>
      </c>
      <c r="P63" s="6">
        <f t="shared" si="2"/>
        <v>3.7381515267973293E-2</v>
      </c>
      <c r="Q63" s="6">
        <f t="shared" si="3"/>
        <v>3.690530136585151E-2</v>
      </c>
      <c r="X63" s="3">
        <f t="shared" si="6"/>
        <v>13.75</v>
      </c>
      <c r="Y63" s="6">
        <f t="shared" si="0"/>
        <v>4.1513445986327883E-2</v>
      </c>
      <c r="Z63" s="6">
        <f t="shared" si="1"/>
        <v>4.2346378224679196E-2</v>
      </c>
      <c r="AA63" s="28">
        <f t="shared" si="7"/>
        <v>6.1142114645689638E-2</v>
      </c>
      <c r="AB63" s="28">
        <f t="shared" si="4"/>
        <v>6.0724477738659743E-2</v>
      </c>
    </row>
    <row r="64" spans="1:28" x14ac:dyDescent="0.15">
      <c r="A64" s="3">
        <f t="shared" si="5"/>
        <v>56</v>
      </c>
      <c r="G64"/>
      <c r="H64"/>
      <c r="I64"/>
      <c r="J64"/>
      <c r="K64"/>
      <c r="L64"/>
      <c r="M64"/>
      <c r="N64"/>
      <c r="O64" s="3">
        <v>28</v>
      </c>
      <c r="P64" s="6">
        <f t="shared" si="2"/>
        <v>3.7137950766116694E-2</v>
      </c>
      <c r="Q64" s="6">
        <f t="shared" si="3"/>
        <v>3.664109348882811E-2</v>
      </c>
      <c r="X64" s="3">
        <f t="shared" si="6"/>
        <v>14</v>
      </c>
      <c r="Y64" s="6">
        <f t="shared" si="0"/>
        <v>4.187517146745371E-2</v>
      </c>
      <c r="Z64" s="6">
        <f t="shared" si="1"/>
        <v>4.2659470699237853E-2</v>
      </c>
      <c r="AA64" s="28">
        <f t="shared" si="7"/>
        <v>6.1869090629214085E-2</v>
      </c>
      <c r="AB64" s="28">
        <f t="shared" si="4"/>
        <v>5.9953676858830018E-2</v>
      </c>
    </row>
    <row r="65" spans="1:28" x14ac:dyDescent="0.15">
      <c r="A65" s="3">
        <f t="shared" si="5"/>
        <v>57</v>
      </c>
      <c r="G65"/>
      <c r="H65"/>
      <c r="I65"/>
      <c r="J65"/>
      <c r="K65"/>
      <c r="L65"/>
      <c r="M65"/>
      <c r="N65"/>
      <c r="O65" s="3">
        <v>28.5</v>
      </c>
      <c r="P65" s="6">
        <f t="shared" si="2"/>
        <v>3.6894386264260101E-2</v>
      </c>
      <c r="Q65" s="6">
        <f t="shared" si="3"/>
        <v>3.644747042678121E-2</v>
      </c>
      <c r="X65" s="3">
        <f t="shared" si="6"/>
        <v>14.25</v>
      </c>
      <c r="Y65" s="6">
        <f t="shared" si="0"/>
        <v>4.2236896948579537E-2</v>
      </c>
      <c r="Z65" s="6">
        <f t="shared" si="1"/>
        <v>4.2944314063918104E-2</v>
      </c>
      <c r="AA65" s="28">
        <f t="shared" si="7"/>
        <v>6.2596130066156164E-2</v>
      </c>
      <c r="AB65" s="28">
        <f t="shared" si="4"/>
        <v>5.8959099003024207E-2</v>
      </c>
    </row>
    <row r="66" spans="1:28" x14ac:dyDescent="0.15">
      <c r="A66" s="3">
        <f t="shared" si="5"/>
        <v>58</v>
      </c>
      <c r="G66"/>
      <c r="H66"/>
      <c r="I66"/>
      <c r="J66"/>
      <c r="K66"/>
      <c r="L66"/>
      <c r="M66"/>
      <c r="N66"/>
      <c r="O66" s="3">
        <v>29</v>
      </c>
      <c r="P66" s="6">
        <f t="shared" si="2"/>
        <v>3.6650821762403508E-2</v>
      </c>
      <c r="Q66" s="6">
        <f t="shared" si="3"/>
        <v>3.6319722193305225E-2</v>
      </c>
      <c r="X66" s="3">
        <f t="shared" si="6"/>
        <v>14.5</v>
      </c>
      <c r="Y66" s="6">
        <f t="shared" si="0"/>
        <v>4.2598622429705364E-2</v>
      </c>
      <c r="Z66" s="6">
        <f t="shared" si="1"/>
        <v>4.3198351676129884E-2</v>
      </c>
      <c r="AA66" s="28">
        <f t="shared" si="7"/>
        <v>6.3323232933930385E-2</v>
      </c>
      <c r="AB66" s="28">
        <f t="shared" si="4"/>
        <v>5.7730834039046997E-2</v>
      </c>
    </row>
    <row r="67" spans="1:28" x14ac:dyDescent="0.15">
      <c r="A67" s="3">
        <f t="shared" si="5"/>
        <v>59</v>
      </c>
      <c r="G67"/>
      <c r="H67"/>
      <c r="I67"/>
      <c r="J67"/>
      <c r="K67"/>
      <c r="L67"/>
      <c r="M67"/>
      <c r="N67"/>
      <c r="O67" s="3">
        <v>29.5</v>
      </c>
      <c r="P67" s="6">
        <f t="shared" si="2"/>
        <v>3.6407257260546909E-2</v>
      </c>
      <c r="Q67" s="6">
        <f t="shared" si="3"/>
        <v>3.6253138801994551E-2</v>
      </c>
      <c r="X67" s="3">
        <f t="shared" si="6"/>
        <v>14.75</v>
      </c>
      <c r="Y67" s="6">
        <f t="shared" si="0"/>
        <v>4.2960347910831191E-2</v>
      </c>
      <c r="Z67" s="6">
        <f t="shared" si="1"/>
        <v>4.3419026893283114E-2</v>
      </c>
      <c r="AA67" s="28">
        <f t="shared" si="7"/>
        <v>6.4050399209875764E-2</v>
      </c>
      <c r="AB67" s="28">
        <f t="shared" si="4"/>
        <v>5.625905324116065E-2</v>
      </c>
    </row>
    <row r="68" spans="1:28" x14ac:dyDescent="0.15">
      <c r="A68" s="3">
        <f t="shared" si="5"/>
        <v>60</v>
      </c>
      <c r="G68"/>
      <c r="H68"/>
      <c r="I68"/>
      <c r="J68"/>
      <c r="K68"/>
      <c r="L68"/>
      <c r="M68"/>
      <c r="N68"/>
      <c r="O68" s="3">
        <v>30</v>
      </c>
      <c r="P68" s="6">
        <f t="shared" si="2"/>
        <v>3.6240395391871676E-2</v>
      </c>
      <c r="Q68" s="6">
        <f t="shared" si="3"/>
        <v>3.6243010266443582E-2</v>
      </c>
      <c r="X68" s="3">
        <f t="shared" si="6"/>
        <v>15</v>
      </c>
      <c r="Y68" s="6">
        <f t="shared" si="0"/>
        <v>4.3322073391957018E-2</v>
      </c>
      <c r="Z68" s="6">
        <f t="shared" si="1"/>
        <v>4.3603783072787734E-2</v>
      </c>
      <c r="AA68" s="28">
        <f t="shared" si="7"/>
        <v>6.4777628871503179E-2</v>
      </c>
      <c r="AB68" s="28">
        <f t="shared" si="4"/>
        <v>5.4534016858676537E-2</v>
      </c>
    </row>
    <row r="69" spans="1:28" x14ac:dyDescent="0.15">
      <c r="A69" s="3">
        <f t="shared" si="5"/>
        <v>61</v>
      </c>
      <c r="G69"/>
      <c r="H69"/>
      <c r="I69"/>
      <c r="J69"/>
      <c r="K69"/>
      <c r="L69"/>
      <c r="M69"/>
      <c r="N69"/>
      <c r="O69"/>
      <c r="X69" s="3">
        <f t="shared" si="6"/>
        <v>15.25</v>
      </c>
      <c r="Y69" s="6">
        <f t="shared" si="0"/>
        <v>4.3683798873082845E-2</v>
      </c>
      <c r="Z69" s="6">
        <f t="shared" si="1"/>
        <v>4.3750063572053702E-2</v>
      </c>
      <c r="AA69" s="28">
        <f t="shared" si="7"/>
        <v>6.5504921896254675E-2</v>
      </c>
      <c r="AB69" s="28">
        <f t="shared" si="4"/>
        <v>5.2546081931185373E-2</v>
      </c>
    </row>
    <row r="70" spans="1:28" x14ac:dyDescent="0.15">
      <c r="A70" s="3">
        <f t="shared" si="5"/>
        <v>62</v>
      </c>
      <c r="G70"/>
      <c r="H70"/>
      <c r="I70"/>
      <c r="J70"/>
      <c r="K70"/>
      <c r="L70"/>
      <c r="M70"/>
      <c r="N70"/>
      <c r="O70"/>
      <c r="X70" s="3">
        <f t="shared" si="6"/>
        <v>15.5</v>
      </c>
      <c r="Y70" s="6">
        <f t="shared" si="0"/>
        <v>4.3744614159752788E-2</v>
      </c>
      <c r="Z70" s="6">
        <f t="shared" si="1"/>
        <v>4.3855721536245798E-2</v>
      </c>
      <c r="AA70" s="28">
        <f t="shared" si="7"/>
        <v>4.7457770868117866E-2</v>
      </c>
      <c r="AB70" s="28">
        <f t="shared" si="4"/>
        <v>5.0311197276670772E-2</v>
      </c>
    </row>
    <row r="71" spans="1:28" x14ac:dyDescent="0.15">
      <c r="A71" s="3">
        <f t="shared" si="5"/>
        <v>63</v>
      </c>
      <c r="G71"/>
      <c r="H71"/>
      <c r="I71"/>
      <c r="J71"/>
      <c r="K71"/>
      <c r="L71"/>
      <c r="M71"/>
      <c r="N71"/>
      <c r="O71"/>
      <c r="X71" s="3">
        <f t="shared" si="6"/>
        <v>15.75</v>
      </c>
      <c r="Y71" s="6">
        <f t="shared" si="0"/>
        <v>4.369144831215914E-2</v>
      </c>
      <c r="Z71" s="6">
        <f t="shared" si="1"/>
        <v>4.392248698325938E-2</v>
      </c>
      <c r="AA71" s="28">
        <f t="shared" si="7"/>
        <v>4.0397865435911839E-2</v>
      </c>
      <c r="AB71" s="28">
        <f t="shared" si="4"/>
        <v>4.8066206998377048E-2</v>
      </c>
    </row>
    <row r="72" spans="1:28" x14ac:dyDescent="0.15">
      <c r="A72" s="3">
        <f t="shared" si="5"/>
        <v>64</v>
      </c>
      <c r="G72"/>
      <c r="H72"/>
      <c r="I72"/>
      <c r="J72"/>
      <c r="K72"/>
      <c r="L72"/>
      <c r="M72"/>
      <c r="N72"/>
      <c r="O72"/>
      <c r="X72" s="3">
        <f t="shared" si="6"/>
        <v>16</v>
      </c>
      <c r="Y72" s="6">
        <f t="shared" si="0"/>
        <v>4.3638282464565491E-2</v>
      </c>
      <c r="Z72" s="6">
        <f t="shared" si="1"/>
        <v>4.3954225697514254E-2</v>
      </c>
      <c r="AA72" s="28">
        <f t="shared" si="7"/>
        <v>4.0291620875274603E-2</v>
      </c>
      <c r="AB72" s="28">
        <f t="shared" si="4"/>
        <v>4.5954758598917511E-2</v>
      </c>
    </row>
    <row r="73" spans="1:28" x14ac:dyDescent="0.15">
      <c r="A73" s="3">
        <f t="shared" si="5"/>
        <v>65</v>
      </c>
      <c r="G73"/>
      <c r="H73"/>
      <c r="I73"/>
      <c r="J73"/>
      <c r="K73"/>
      <c r="L73"/>
      <c r="M73"/>
      <c r="N73"/>
      <c r="O73"/>
      <c r="X73" s="3">
        <f t="shared" si="6"/>
        <v>16.25</v>
      </c>
      <c r="Y73" s="6">
        <f t="shared" ref="Y73:Y128" si="9">PWLinear(X73,G$9:G$33,H$9:H$33)</f>
        <v>4.3585116616971842E-2</v>
      </c>
      <c r="Z73" s="6">
        <f t="shared" ref="Z73:Z128" si="10">splint(G$9:G$21,H$9:H$21,I$9:I$21,X73)</f>
        <v>4.3954825734813817E-2</v>
      </c>
      <c r="AA73" s="28">
        <f t="shared" si="7"/>
        <v>4.0185377700045599E-2</v>
      </c>
      <c r="AB73" s="28">
        <f t="shared" si="4"/>
        <v>4.3993228488369951E-2</v>
      </c>
    </row>
    <row r="74" spans="1:28" x14ac:dyDescent="0.15">
      <c r="A74" s="3">
        <f t="shared" si="5"/>
        <v>66</v>
      </c>
      <c r="G74"/>
      <c r="H74"/>
      <c r="I74"/>
      <c r="J74"/>
      <c r="K74"/>
      <c r="L74"/>
      <c r="M74"/>
      <c r="N74"/>
      <c r="O74"/>
      <c r="X74" s="3">
        <f t="shared" si="6"/>
        <v>16.5</v>
      </c>
      <c r="Y74" s="6">
        <f t="shared" si="9"/>
        <v>4.3531950769378186E-2</v>
      </c>
      <c r="Z74" s="6">
        <f t="shared" si="10"/>
        <v>4.3928175150961382E-2</v>
      </c>
      <c r="AA74" s="28">
        <f t="shared" si="7"/>
        <v>4.0079135910285668E-2</v>
      </c>
      <c r="AB74" s="28">
        <f t="shared" si="7"/>
        <v>4.2196632359075004E-2</v>
      </c>
    </row>
    <row r="75" spans="1:28" x14ac:dyDescent="0.15">
      <c r="A75" s="3">
        <f t="shared" ref="A75:A88" si="11">A74+1</f>
        <v>67</v>
      </c>
      <c r="G75"/>
      <c r="H75"/>
      <c r="I75"/>
      <c r="J75"/>
      <c r="K75"/>
      <c r="L75"/>
      <c r="M75"/>
      <c r="N75"/>
      <c r="O75"/>
      <c r="X75" s="3">
        <f t="shared" ref="X75:X128" si="12">X74+0.25</f>
        <v>16.75</v>
      </c>
      <c r="Y75" s="6">
        <f t="shared" si="9"/>
        <v>4.3478784921784537E-2</v>
      </c>
      <c r="Z75" s="6">
        <f t="shared" si="10"/>
        <v>4.3878162001760326E-2</v>
      </c>
      <c r="AA75" s="28">
        <f t="shared" ref="AA75:AB90" si="13">2*(((1+Y75/2)^$X75/(1+Y74/2)^$X74)^(1/($X75-$X74))-1)</f>
        <v>3.9972895506059647E-2</v>
      </c>
      <c r="AB75" s="28">
        <f t="shared" si="13"/>
        <v>4.0579998494518765E-2</v>
      </c>
    </row>
    <row r="76" spans="1:28" x14ac:dyDescent="0.15">
      <c r="A76" s="3">
        <f t="shared" si="11"/>
        <v>68</v>
      </c>
      <c r="G76"/>
      <c r="H76"/>
      <c r="I76"/>
      <c r="J76"/>
      <c r="K76"/>
      <c r="L76"/>
      <c r="M76"/>
      <c r="N76"/>
      <c r="O76"/>
      <c r="X76" s="3">
        <f t="shared" si="12"/>
        <v>17</v>
      </c>
      <c r="Y76" s="6">
        <f t="shared" si="9"/>
        <v>4.3425619074190888E-2</v>
      </c>
      <c r="Z76" s="6">
        <f t="shared" si="10"/>
        <v>4.380867434301397E-2</v>
      </c>
      <c r="AA76" s="28">
        <f t="shared" si="13"/>
        <v>3.98666564874679E-2</v>
      </c>
      <c r="AB76" s="28">
        <f t="shared" si="13"/>
        <v>3.9158378816988026E-2</v>
      </c>
    </row>
    <row r="77" spans="1:28" x14ac:dyDescent="0.15">
      <c r="A77" s="3">
        <f t="shared" si="11"/>
        <v>69</v>
      </c>
      <c r="G77"/>
      <c r="H77"/>
      <c r="I77"/>
      <c r="J77"/>
      <c r="K77"/>
      <c r="L77"/>
      <c r="M77"/>
      <c r="N77"/>
      <c r="O77"/>
      <c r="X77" s="3">
        <f t="shared" si="12"/>
        <v>17.25</v>
      </c>
      <c r="Y77" s="6">
        <f t="shared" si="9"/>
        <v>4.3372453226597239E-2</v>
      </c>
      <c r="Z77" s="6">
        <f t="shared" si="10"/>
        <v>4.3723600230525669E-2</v>
      </c>
      <c r="AA77" s="28">
        <f t="shared" si="13"/>
        <v>3.976041885449666E-2</v>
      </c>
      <c r="AB77" s="28">
        <f t="shared" si="13"/>
        <v>3.7946860598271126E-2</v>
      </c>
    </row>
    <row r="78" spans="1:28" x14ac:dyDescent="0.15">
      <c r="A78" s="3">
        <f t="shared" si="11"/>
        <v>70</v>
      </c>
      <c r="G78"/>
      <c r="H78"/>
      <c r="I78"/>
      <c r="J78"/>
      <c r="K78"/>
      <c r="L78"/>
      <c r="M78"/>
      <c r="N78"/>
      <c r="O78"/>
      <c r="X78" s="3">
        <f t="shared" si="12"/>
        <v>17.5</v>
      </c>
      <c r="Y78" s="6">
        <f t="shared" si="9"/>
        <v>4.331928737900359E-2</v>
      </c>
      <c r="Z78" s="6">
        <f t="shared" si="10"/>
        <v>4.3626827720098793E-2</v>
      </c>
      <c r="AA78" s="28">
        <f t="shared" si="13"/>
        <v>3.9654182607300026E-2</v>
      </c>
      <c r="AB78" s="28">
        <f t="shared" si="13"/>
        <v>3.6960578844897896E-2</v>
      </c>
    </row>
    <row r="79" spans="1:28" x14ac:dyDescent="0.15">
      <c r="A79" s="3">
        <f t="shared" si="11"/>
        <v>71</v>
      </c>
      <c r="G79"/>
      <c r="H79"/>
      <c r="I79"/>
      <c r="J79"/>
      <c r="K79"/>
      <c r="L79"/>
      <c r="M79"/>
      <c r="N79"/>
      <c r="O79"/>
      <c r="X79" s="3">
        <f t="shared" si="12"/>
        <v>17.75</v>
      </c>
      <c r="Y79" s="6">
        <f t="shared" si="9"/>
        <v>4.3266121531409941E-2</v>
      </c>
      <c r="Z79" s="6">
        <f t="shared" si="10"/>
        <v>4.3522244867536662E-2</v>
      </c>
      <c r="AA79" s="28">
        <f t="shared" si="13"/>
        <v>3.9547947745931289E-2</v>
      </c>
      <c r="AB79" s="28">
        <f t="shared" si="13"/>
        <v>3.6214729367576748E-2</v>
      </c>
    </row>
    <row r="80" spans="1:28" x14ac:dyDescent="0.15">
      <c r="A80" s="3">
        <f t="shared" si="11"/>
        <v>72</v>
      </c>
      <c r="G80"/>
      <c r="H80"/>
      <c r="I80"/>
      <c r="J80"/>
      <c r="K80"/>
      <c r="L80"/>
      <c r="M80"/>
      <c r="N80"/>
      <c r="O80"/>
      <c r="X80" s="3">
        <f t="shared" si="12"/>
        <v>18</v>
      </c>
      <c r="Y80" s="6">
        <f t="shared" si="9"/>
        <v>4.3212955683816286E-2</v>
      </c>
      <c r="Z80" s="6">
        <f t="shared" si="10"/>
        <v>4.3413739728642646E-2</v>
      </c>
      <c r="AA80" s="28">
        <f t="shared" si="13"/>
        <v>3.9441714270457506E-2</v>
      </c>
      <c r="AB80" s="28">
        <f t="shared" si="13"/>
        <v>3.5724582547820738E-2</v>
      </c>
    </row>
    <row r="81" spans="1:28" x14ac:dyDescent="0.15">
      <c r="A81" s="3">
        <f t="shared" si="11"/>
        <v>73</v>
      </c>
      <c r="G81"/>
      <c r="H81"/>
      <c r="I81"/>
      <c r="J81"/>
      <c r="K81"/>
      <c r="L81"/>
      <c r="M81"/>
      <c r="N81"/>
      <c r="O81"/>
      <c r="X81" s="3">
        <f t="shared" si="12"/>
        <v>18.25</v>
      </c>
      <c r="Y81" s="6">
        <f t="shared" si="9"/>
        <v>4.3159789836222637E-2</v>
      </c>
      <c r="Z81" s="6">
        <f t="shared" si="10"/>
        <v>4.3305200359220072E-2</v>
      </c>
      <c r="AA81" s="28">
        <f t="shared" si="13"/>
        <v>3.9335482180973713E-2</v>
      </c>
      <c r="AB81" s="28">
        <f t="shared" si="13"/>
        <v>3.5505497813846265E-2</v>
      </c>
    </row>
    <row r="82" spans="1:28" x14ac:dyDescent="0.15">
      <c r="A82" s="3">
        <f t="shared" si="11"/>
        <v>74</v>
      </c>
      <c r="G82"/>
      <c r="H82"/>
      <c r="I82"/>
      <c r="J82"/>
      <c r="K82"/>
      <c r="L82"/>
      <c r="M82"/>
      <c r="N82"/>
      <c r="O82"/>
      <c r="X82" s="3">
        <f t="shared" si="12"/>
        <v>18.5</v>
      </c>
      <c r="Y82" s="6">
        <f t="shared" si="9"/>
        <v>4.3106623988628988E-2</v>
      </c>
      <c r="Z82" s="6">
        <f t="shared" si="10"/>
        <v>4.3200514815072304E-2</v>
      </c>
      <c r="AA82" s="28">
        <f t="shared" si="13"/>
        <v>3.9229251477472804E-2</v>
      </c>
      <c r="AB82" s="28">
        <f t="shared" si="13"/>
        <v>3.5572938839255386E-2</v>
      </c>
    </row>
    <row r="83" spans="1:28" x14ac:dyDescent="0.15">
      <c r="A83" s="3">
        <f t="shared" si="11"/>
        <v>75</v>
      </c>
      <c r="G83"/>
      <c r="H83"/>
      <c r="I83"/>
      <c r="J83"/>
      <c r="K83"/>
      <c r="L83"/>
      <c r="M83"/>
      <c r="N83"/>
      <c r="O83"/>
      <c r="X83" s="3">
        <f t="shared" si="12"/>
        <v>18.75</v>
      </c>
      <c r="Y83" s="6">
        <f t="shared" si="9"/>
        <v>4.3053458141035339E-2</v>
      </c>
      <c r="Z83" s="6">
        <f t="shared" si="10"/>
        <v>4.3103571152002675E-2</v>
      </c>
      <c r="AA83" s="28">
        <f t="shared" si="13"/>
        <v>3.9123022160112875E-2</v>
      </c>
      <c r="AB83" s="28">
        <f t="shared" si="13"/>
        <v>3.5942489479829032E-2</v>
      </c>
    </row>
    <row r="84" spans="1:28" x14ac:dyDescent="0.15">
      <c r="A84" s="3">
        <f t="shared" si="11"/>
        <v>76</v>
      </c>
      <c r="G84"/>
      <c r="H84"/>
      <c r="I84"/>
      <c r="J84"/>
      <c r="K84"/>
      <c r="L84"/>
      <c r="M84"/>
      <c r="N84"/>
      <c r="O84"/>
      <c r="X84" s="3">
        <f t="shared" si="12"/>
        <v>19</v>
      </c>
      <c r="Y84" s="6">
        <f t="shared" si="9"/>
        <v>4.300029229344169E-2</v>
      </c>
      <c r="Z84" s="6">
        <f t="shared" si="10"/>
        <v>4.3018257425814561E-2</v>
      </c>
      <c r="AA84" s="28">
        <f t="shared" si="13"/>
        <v>3.9016794228934781E-2</v>
      </c>
      <c r="AB84" s="28">
        <f t="shared" si="13"/>
        <v>3.6629870463284142E-2</v>
      </c>
    </row>
    <row r="85" spans="1:28" x14ac:dyDescent="0.15">
      <c r="A85" s="3">
        <f t="shared" si="11"/>
        <v>77</v>
      </c>
      <c r="G85"/>
      <c r="H85"/>
      <c r="I85"/>
      <c r="J85"/>
      <c r="K85"/>
      <c r="L85"/>
      <c r="M85"/>
      <c r="N85"/>
      <c r="O85"/>
      <c r="X85" s="3">
        <f t="shared" si="12"/>
        <v>19.25</v>
      </c>
      <c r="Y85" s="6">
        <f t="shared" si="9"/>
        <v>4.2947126445848034E-2</v>
      </c>
      <c r="Z85" s="6">
        <f t="shared" si="10"/>
        <v>4.2948461692311285E-2</v>
      </c>
      <c r="AA85" s="28">
        <f t="shared" si="13"/>
        <v>3.8910567684005137E-2</v>
      </c>
      <c r="AB85" s="28">
        <f t="shared" si="13"/>
        <v>3.7650956848149786E-2</v>
      </c>
    </row>
    <row r="86" spans="1:28" x14ac:dyDescent="0.15">
      <c r="A86" s="3">
        <f t="shared" si="11"/>
        <v>78</v>
      </c>
      <c r="J86"/>
      <c r="K86"/>
      <c r="L86"/>
      <c r="M86"/>
      <c r="N86"/>
      <c r="O86"/>
      <c r="X86" s="3">
        <f t="shared" si="12"/>
        <v>19.5</v>
      </c>
      <c r="Y86" s="6">
        <f t="shared" si="9"/>
        <v>4.2933646524651647E-2</v>
      </c>
      <c r="Z86" s="6">
        <f t="shared" si="10"/>
        <v>4.2897665356789953E-2</v>
      </c>
      <c r="AA86" s="28">
        <f t="shared" si="13"/>
        <v>4.1895959647306302E-2</v>
      </c>
      <c r="AB86" s="28">
        <f t="shared" si="13"/>
        <v>3.8990137957657378E-2</v>
      </c>
    </row>
    <row r="87" spans="1:28" x14ac:dyDescent="0.15">
      <c r="A87" s="3">
        <f t="shared" si="11"/>
        <v>79</v>
      </c>
      <c r="X87" s="3">
        <f t="shared" si="12"/>
        <v>19.75</v>
      </c>
      <c r="Y87" s="6">
        <f t="shared" si="9"/>
        <v>4.2935199151333009E-2</v>
      </c>
      <c r="Z87" s="6">
        <f t="shared" si="10"/>
        <v>4.2865502632337106E-2</v>
      </c>
      <c r="AA87" s="28">
        <f t="shared" si="13"/>
        <v>4.3056307668118077E-2</v>
      </c>
      <c r="AB87" s="28">
        <f t="shared" si="13"/>
        <v>4.0358369588699983E-2</v>
      </c>
    </row>
    <row r="88" spans="1:28" x14ac:dyDescent="0.15">
      <c r="A88" s="3">
        <f t="shared" si="11"/>
        <v>80</v>
      </c>
      <c r="X88" s="3">
        <f t="shared" si="12"/>
        <v>20</v>
      </c>
      <c r="Y88" s="6">
        <f t="shared" si="9"/>
        <v>4.293675177801437E-2</v>
      </c>
      <c r="Z88" s="6">
        <f t="shared" si="10"/>
        <v>4.2849488316492795E-2</v>
      </c>
      <c r="AA88" s="28">
        <f t="shared" si="13"/>
        <v>4.3059413014664649E-2</v>
      </c>
      <c r="AB88" s="28">
        <f t="shared" si="13"/>
        <v>4.1584753985684397E-2</v>
      </c>
    </row>
    <row r="89" spans="1:28" x14ac:dyDescent="0.15">
      <c r="X89" s="3">
        <f t="shared" si="12"/>
        <v>20.25</v>
      </c>
      <c r="Y89" s="6">
        <f t="shared" si="9"/>
        <v>4.2938304404695732E-2</v>
      </c>
      <c r="Z89" s="6">
        <f t="shared" si="10"/>
        <v>4.2847115105918585E-2</v>
      </c>
      <c r="AA89" s="28">
        <f t="shared" si="13"/>
        <v>4.3062518362463109E-2</v>
      </c>
      <c r="AB89" s="28">
        <f t="shared" si="13"/>
        <v>4.2657267192377279E-2</v>
      </c>
    </row>
    <row r="90" spans="1:28" x14ac:dyDescent="0.15">
      <c r="X90" s="3">
        <f t="shared" si="12"/>
        <v>20.5</v>
      </c>
      <c r="Y90" s="6">
        <f t="shared" si="9"/>
        <v>4.2939857031377093E-2</v>
      </c>
      <c r="Z90" s="6">
        <f t="shared" si="10"/>
        <v>4.2855875697276072E-2</v>
      </c>
      <c r="AA90" s="28">
        <f t="shared" si="13"/>
        <v>4.3065623711405987E-2</v>
      </c>
      <c r="AB90" s="28">
        <f t="shared" si="13"/>
        <v>4.3565608378515641E-2</v>
      </c>
    </row>
    <row r="91" spans="1:28" x14ac:dyDescent="0.15">
      <c r="X91" s="3">
        <f t="shared" si="12"/>
        <v>20.75</v>
      </c>
      <c r="Y91" s="6">
        <f t="shared" si="9"/>
        <v>4.2941409658058455E-2</v>
      </c>
      <c r="Z91" s="6">
        <f t="shared" si="10"/>
        <v>4.2873262787226814E-2</v>
      </c>
      <c r="AA91" s="28">
        <f t="shared" ref="AA91:AB106" si="14">2*(((1+Y91/2)^$X91/(1+Y90/2)^$X90)^(1/($X91-$X90))-1)</f>
        <v>4.3068729061525257E-2</v>
      </c>
      <c r="AB91" s="28">
        <f t="shared" si="14"/>
        <v>4.4299507870019905E-2</v>
      </c>
    </row>
    <row r="92" spans="1:28" x14ac:dyDescent="0.15">
      <c r="X92" s="3">
        <f t="shared" si="12"/>
        <v>21</v>
      </c>
      <c r="Y92" s="6">
        <f t="shared" si="9"/>
        <v>4.2942962284739816E-2</v>
      </c>
      <c r="Z92" s="6">
        <f t="shared" si="10"/>
        <v>4.2896769072432395E-2</v>
      </c>
      <c r="AA92" s="28">
        <f t="shared" si="14"/>
        <v>4.3071834412837351E-2</v>
      </c>
      <c r="AB92" s="28">
        <f t="shared" si="14"/>
        <v>4.4848733915760608E-2</v>
      </c>
    </row>
    <row r="93" spans="1:28" x14ac:dyDescent="0.15">
      <c r="X93" s="3">
        <f t="shared" si="12"/>
        <v>21.25</v>
      </c>
      <c r="Y93" s="6">
        <f t="shared" si="9"/>
        <v>4.2944514911421178E-2</v>
      </c>
      <c r="Z93" s="6">
        <f t="shared" si="10"/>
        <v>4.2923887249554385E-2</v>
      </c>
      <c r="AA93" s="28">
        <f t="shared" si="14"/>
        <v>4.3074939765303188E-2</v>
      </c>
      <c r="AB93" s="28">
        <f t="shared" si="14"/>
        <v>4.5203099717225914E-2</v>
      </c>
    </row>
    <row r="94" spans="1:28" x14ac:dyDescent="0.15">
      <c r="X94" s="3">
        <f t="shared" si="12"/>
        <v>21.5</v>
      </c>
      <c r="Y94" s="6">
        <f t="shared" si="9"/>
        <v>4.2946067538102539E-2</v>
      </c>
      <c r="Z94" s="6">
        <f t="shared" si="10"/>
        <v>4.2952110015254362E-2</v>
      </c>
      <c r="AA94" s="28">
        <f t="shared" si="14"/>
        <v>4.3078045118934316E-2</v>
      </c>
      <c r="AB94" s="28">
        <f t="shared" si="14"/>
        <v>4.5352470715041893E-2</v>
      </c>
    </row>
    <row r="95" spans="1:28" x14ac:dyDescent="0.15">
      <c r="X95" s="3">
        <f t="shared" si="12"/>
        <v>21.75</v>
      </c>
      <c r="Y95" s="6">
        <f t="shared" si="9"/>
        <v>4.2947620164783901E-2</v>
      </c>
      <c r="Z95" s="6">
        <f t="shared" si="10"/>
        <v>4.2978930066193903E-2</v>
      </c>
      <c r="AA95" s="28">
        <f t="shared" si="14"/>
        <v>4.3081150473814223E-2</v>
      </c>
      <c r="AB95" s="28">
        <f t="shared" si="14"/>
        <v>4.5286772127978825E-2</v>
      </c>
    </row>
    <row r="96" spans="1:28" x14ac:dyDescent="0.15">
      <c r="X96" s="3">
        <f t="shared" si="12"/>
        <v>22</v>
      </c>
      <c r="Y96" s="6">
        <f t="shared" si="9"/>
        <v>4.2949172791465262E-2</v>
      </c>
      <c r="Z96" s="6">
        <f t="shared" si="10"/>
        <v>4.3001840099034586E-2</v>
      </c>
      <c r="AA96" s="28">
        <f t="shared" si="14"/>
        <v>4.3084255829833218E-2</v>
      </c>
      <c r="AB96" s="28">
        <f t="shared" si="14"/>
        <v>4.4995996738663724E-2</v>
      </c>
    </row>
    <row r="97" spans="24:28" x14ac:dyDescent="0.15">
      <c r="X97" s="3">
        <f t="shared" si="12"/>
        <v>22.25</v>
      </c>
      <c r="Y97" s="6">
        <f t="shared" si="9"/>
        <v>4.2950725418146624E-2</v>
      </c>
      <c r="Z97" s="6">
        <f t="shared" si="10"/>
        <v>4.301833281043798E-2</v>
      </c>
      <c r="AA97" s="28">
        <f t="shared" si="14"/>
        <v>4.3087361187040596E-2</v>
      </c>
      <c r="AB97" s="28">
        <f t="shared" si="14"/>
        <v>4.4470212920411978E-2</v>
      </c>
    </row>
    <row r="98" spans="24:28" x14ac:dyDescent="0.15">
      <c r="X98" s="3">
        <f t="shared" si="12"/>
        <v>22.5</v>
      </c>
      <c r="Y98" s="6">
        <f t="shared" si="9"/>
        <v>4.2952278044827985E-2</v>
      </c>
      <c r="Z98" s="6">
        <f t="shared" si="10"/>
        <v>4.3025900897065664E-2</v>
      </c>
      <c r="AA98" s="28">
        <f t="shared" si="14"/>
        <v>4.3090466545419481E-2</v>
      </c>
      <c r="AB98" s="28">
        <f t="shared" si="14"/>
        <v>4.3699572899135841E-2</v>
      </c>
    </row>
    <row r="99" spans="24:28" x14ac:dyDescent="0.15">
      <c r="X99" s="3">
        <f t="shared" si="12"/>
        <v>22.75</v>
      </c>
      <c r="Y99" s="6">
        <f t="shared" si="9"/>
        <v>4.2953830671509347E-2</v>
      </c>
      <c r="Z99" s="6">
        <f t="shared" si="10"/>
        <v>4.3022037055579214E-2</v>
      </c>
      <c r="AA99" s="28">
        <f t="shared" si="14"/>
        <v>4.3093571904939232E-2</v>
      </c>
      <c r="AB99" s="28">
        <f t="shared" si="14"/>
        <v>4.2674321244060565E-2</v>
      </c>
    </row>
    <row r="100" spans="24:28" x14ac:dyDescent="0.15">
      <c r="X100" s="3">
        <f t="shared" si="12"/>
        <v>23</v>
      </c>
      <c r="Y100" s="6">
        <f t="shared" si="9"/>
        <v>4.2955383298190708E-2</v>
      </c>
      <c r="Z100" s="6">
        <f t="shared" si="10"/>
        <v>4.3004233982640201E-2</v>
      </c>
      <c r="AA100" s="28">
        <f t="shared" si="14"/>
        <v>4.3096677265715755E-2</v>
      </c>
      <c r="AB100" s="28">
        <f t="shared" si="14"/>
        <v>4.1384803581182794E-2</v>
      </c>
    </row>
    <row r="101" spans="24:28" x14ac:dyDescent="0.15">
      <c r="X101" s="3">
        <f t="shared" si="12"/>
        <v>23.25</v>
      </c>
      <c r="Y101" s="6">
        <f t="shared" si="9"/>
        <v>4.2956935924872069E-2</v>
      </c>
      <c r="Z101" s="6">
        <f t="shared" si="10"/>
        <v>4.296998437491021E-2</v>
      </c>
      <c r="AA101" s="28">
        <f t="shared" si="14"/>
        <v>4.3099782627647354E-2</v>
      </c>
      <c r="AB101" s="28">
        <f t="shared" si="14"/>
        <v>3.9821475522557215E-2</v>
      </c>
    </row>
    <row r="102" spans="24:28" x14ac:dyDescent="0.15">
      <c r="X102" s="3">
        <f t="shared" si="12"/>
        <v>23.5</v>
      </c>
      <c r="Y102" s="6">
        <f t="shared" si="9"/>
        <v>4.2870744756577144E-2</v>
      </c>
      <c r="Z102" s="6">
        <f t="shared" si="10"/>
        <v>4.2917069003676617E-2</v>
      </c>
      <c r="AA102" s="28">
        <f t="shared" si="14"/>
        <v>3.4870840069874731E-2</v>
      </c>
      <c r="AB102" s="28">
        <f t="shared" si="14"/>
        <v>3.8001925491452759E-2</v>
      </c>
    </row>
    <row r="103" spans="24:28" x14ac:dyDescent="0.15">
      <c r="X103" s="3">
        <f t="shared" si="12"/>
        <v>23.75</v>
      </c>
      <c r="Y103" s="6">
        <f t="shared" si="9"/>
        <v>4.2751317302306351E-2</v>
      </c>
      <c r="Z103" s="6">
        <f t="shared" si="10"/>
        <v>4.2845994023423151E-2</v>
      </c>
      <c r="AA103" s="28">
        <f t="shared" si="14"/>
        <v>3.1556253922305544E-2</v>
      </c>
      <c r="AB103" s="28">
        <f t="shared" si="14"/>
        <v>3.6175974874848915E-2</v>
      </c>
    </row>
    <row r="104" spans="24:28" x14ac:dyDescent="0.15">
      <c r="X104" s="3">
        <f t="shared" si="12"/>
        <v>24</v>
      </c>
      <c r="Y104" s="6">
        <f t="shared" si="9"/>
        <v>4.2631889848035551E-2</v>
      </c>
      <c r="Z104" s="6">
        <f t="shared" si="10"/>
        <v>4.2758767000364517E-2</v>
      </c>
      <c r="AA104" s="28">
        <f t="shared" si="14"/>
        <v>3.1318062320218498E-2</v>
      </c>
      <c r="AB104" s="28">
        <f t="shared" si="14"/>
        <v>3.4489160771132177E-2</v>
      </c>
    </row>
    <row r="105" spans="24:28" x14ac:dyDescent="0.15">
      <c r="X105" s="3">
        <f t="shared" si="12"/>
        <v>24.25</v>
      </c>
      <c r="Y105" s="6">
        <f t="shared" si="9"/>
        <v>4.2512462393764758E-2</v>
      </c>
      <c r="Z105" s="6">
        <f t="shared" si="10"/>
        <v>4.2657411157162942E-2</v>
      </c>
      <c r="AA105" s="28">
        <f t="shared" si="14"/>
        <v>3.1079877739491835E-2</v>
      </c>
      <c r="AB105" s="28">
        <f t="shared" si="14"/>
        <v>3.2950628425597817E-2</v>
      </c>
    </row>
    <row r="106" spans="24:28" x14ac:dyDescent="0.15">
      <c r="X106" s="3">
        <f t="shared" si="12"/>
        <v>24.5</v>
      </c>
      <c r="Y106" s="6">
        <f t="shared" si="9"/>
        <v>4.2393034939493965E-2</v>
      </c>
      <c r="Z106" s="6">
        <f t="shared" si="10"/>
        <v>4.2543949716480636E-2</v>
      </c>
      <c r="AA106" s="28">
        <f t="shared" si="14"/>
        <v>3.0841700180762377E-2</v>
      </c>
      <c r="AB106" s="28">
        <f t="shared" si="14"/>
        <v>3.1568091764876627E-2</v>
      </c>
    </row>
    <row r="107" spans="24:28" x14ac:dyDescent="0.15">
      <c r="X107" s="3">
        <f t="shared" si="12"/>
        <v>24.75</v>
      </c>
      <c r="Y107" s="6">
        <f t="shared" si="9"/>
        <v>4.2273607485223172E-2</v>
      </c>
      <c r="Z107" s="6">
        <f t="shared" si="10"/>
        <v>4.242040590097982E-2</v>
      </c>
      <c r="AA107" s="28">
        <f t="shared" ref="AA107:AB122" si="15">2*(((1+Y107/2)^$X107/(1+Y106/2)^$X106)^(1/($X107-$X106))-1)</f>
        <v>3.0603529645012451E-2</v>
      </c>
      <c r="AB107" s="28">
        <f t="shared" si="15"/>
        <v>3.0349290680529606E-2</v>
      </c>
    </row>
    <row r="108" spans="24:28" x14ac:dyDescent="0.15">
      <c r="X108" s="3">
        <f t="shared" si="12"/>
        <v>25</v>
      </c>
      <c r="Y108" s="6">
        <f t="shared" si="9"/>
        <v>4.2154180030952379E-2</v>
      </c>
      <c r="Z108" s="6">
        <f t="shared" si="10"/>
        <v>4.2288802933322697E-2</v>
      </c>
      <c r="AA108" s="28">
        <f t="shared" si="15"/>
        <v>3.0365366133015659E-2</v>
      </c>
      <c r="AB108" s="28">
        <f t="shared" si="15"/>
        <v>2.9301995990531182E-2</v>
      </c>
    </row>
    <row r="109" spans="24:28" x14ac:dyDescent="0.15">
      <c r="X109" s="3">
        <f t="shared" si="12"/>
        <v>25.25</v>
      </c>
      <c r="Y109" s="6">
        <f t="shared" si="9"/>
        <v>4.2034752576681586E-2</v>
      </c>
      <c r="Z109" s="6">
        <f t="shared" si="10"/>
        <v>4.2151164036171473E-2</v>
      </c>
      <c r="AA109" s="28">
        <f t="shared" si="15"/>
        <v>3.0127209645564701E-2</v>
      </c>
      <c r="AB109" s="28">
        <f t="shared" si="15"/>
        <v>2.8434014592753076E-2</v>
      </c>
    </row>
    <row r="110" spans="24:28" x14ac:dyDescent="0.15">
      <c r="X110" s="3">
        <f t="shared" si="12"/>
        <v>25.5</v>
      </c>
      <c r="Y110" s="6">
        <f t="shared" si="9"/>
        <v>4.1915325122410786E-2</v>
      </c>
      <c r="Z110" s="6">
        <f t="shared" si="10"/>
        <v>4.2009512432188381E-2</v>
      </c>
      <c r="AA110" s="28">
        <f t="shared" si="15"/>
        <v>2.9889060183517557E-2</v>
      </c>
      <c r="AB110" s="28">
        <f t="shared" si="15"/>
        <v>2.7753194813407323E-2</v>
      </c>
    </row>
    <row r="111" spans="24:28" x14ac:dyDescent="0.15">
      <c r="X111" s="3">
        <f t="shared" si="12"/>
        <v>25.75</v>
      </c>
      <c r="Y111" s="6">
        <f t="shared" si="9"/>
        <v>4.1795897668139993E-2</v>
      </c>
      <c r="Z111" s="6">
        <f t="shared" si="10"/>
        <v>4.1865871344035611E-2</v>
      </c>
      <c r="AA111" s="28">
        <f t="shared" si="15"/>
        <v>2.9650917747674033E-2</v>
      </c>
      <c r="AB111" s="28">
        <f t="shared" si="15"/>
        <v>2.7267431954113963E-2</v>
      </c>
    </row>
    <row r="112" spans="24:28" x14ac:dyDescent="0.15">
      <c r="X112" s="3">
        <f t="shared" si="12"/>
        <v>26</v>
      </c>
      <c r="Y112" s="6">
        <f t="shared" si="9"/>
        <v>4.16764702138692E-2</v>
      </c>
      <c r="Z112" s="6">
        <f t="shared" si="10"/>
        <v>4.1722263994375404E-2</v>
      </c>
      <c r="AA112" s="28">
        <f t="shared" si="15"/>
        <v>2.9412782338841037E-2</v>
      </c>
      <c r="AB112" s="28">
        <f t="shared" si="15"/>
        <v>2.6984674041924617E-2</v>
      </c>
    </row>
    <row r="113" spans="24:28" x14ac:dyDescent="0.15">
      <c r="X113" s="3">
        <f t="shared" si="12"/>
        <v>26.25</v>
      </c>
      <c r="Y113" s="6">
        <f t="shared" si="9"/>
        <v>4.1557042759598407E-2</v>
      </c>
      <c r="Z113" s="6">
        <f t="shared" si="10"/>
        <v>4.1580713605869943E-2</v>
      </c>
      <c r="AA113" s="28">
        <f t="shared" si="15"/>
        <v>2.9174653957926733E-2</v>
      </c>
      <c r="AB113" s="28">
        <f t="shared" si="15"/>
        <v>2.6912927785901264E-2</v>
      </c>
    </row>
    <row r="114" spans="24:28" x14ac:dyDescent="0.15">
      <c r="X114" s="3">
        <f t="shared" si="12"/>
        <v>26.5</v>
      </c>
      <c r="Y114" s="6">
        <f t="shared" si="9"/>
        <v>4.1437615305327614E-2</v>
      </c>
      <c r="Z114" s="6">
        <f t="shared" si="10"/>
        <v>4.1443243401181468E-2</v>
      </c>
      <c r="AA114" s="28">
        <f t="shared" si="15"/>
        <v>2.8936532605554621E-2</v>
      </c>
      <c r="AB114" s="28">
        <f t="shared" si="15"/>
        <v>2.706026474438028E-2</v>
      </c>
    </row>
    <row r="115" spans="24:28" x14ac:dyDescent="0.15">
      <c r="X115" s="3">
        <f t="shared" si="12"/>
        <v>26.75</v>
      </c>
      <c r="Y115" s="6">
        <f t="shared" si="9"/>
        <v>4.1318187851056815E-2</v>
      </c>
      <c r="Z115" s="6">
        <f t="shared" si="10"/>
        <v>4.1311876602972177E-2</v>
      </c>
      <c r="AA115" s="28">
        <f t="shared" si="15"/>
        <v>2.8698418282724791E-2</v>
      </c>
      <c r="AB115" s="28">
        <f t="shared" si="15"/>
        <v>2.7434827708915144E-2</v>
      </c>
    </row>
    <row r="116" spans="24:28" x14ac:dyDescent="0.15">
      <c r="X116" s="3">
        <f t="shared" si="12"/>
        <v>27</v>
      </c>
      <c r="Y116" s="6">
        <f t="shared" si="9"/>
        <v>4.1198760396786022E-2</v>
      </c>
      <c r="Z116" s="6">
        <f t="shared" si="10"/>
        <v>4.1188636433904295E-2</v>
      </c>
      <c r="AA116" s="28">
        <f t="shared" si="15"/>
        <v>2.8460310990200632E-2</v>
      </c>
      <c r="AB116" s="28">
        <f t="shared" si="15"/>
        <v>2.804483730696683E-2</v>
      </c>
    </row>
    <row r="117" spans="24:28" x14ac:dyDescent="0.15">
      <c r="X117" s="3">
        <f t="shared" si="12"/>
        <v>27.25</v>
      </c>
      <c r="Y117" s="6">
        <f t="shared" si="9"/>
        <v>4.1079332942515229E-2</v>
      </c>
      <c r="Z117" s="6">
        <f t="shared" si="10"/>
        <v>4.1075546116640008E-2</v>
      </c>
      <c r="AA117" s="28">
        <f t="shared" si="15"/>
        <v>2.8222210728785058E-2</v>
      </c>
      <c r="AB117" s="28">
        <f t="shared" si="15"/>
        <v>2.8898598830960243E-2</v>
      </c>
    </row>
    <row r="118" spans="24:28" x14ac:dyDescent="0.15">
      <c r="X118" s="3">
        <f t="shared" si="12"/>
        <v>27.5</v>
      </c>
      <c r="Y118" s="6">
        <f t="shared" si="9"/>
        <v>4.1020894525821215E-2</v>
      </c>
      <c r="Z118" s="6">
        <f t="shared" si="10"/>
        <v>4.0974450678864315E-2</v>
      </c>
      <c r="AA118" s="28">
        <f t="shared" si="15"/>
        <v>3.4661127358522226E-2</v>
      </c>
      <c r="AB118" s="28">
        <f t="shared" si="15"/>
        <v>2.998501329847203E-2</v>
      </c>
    </row>
    <row r="119" spans="24:28" x14ac:dyDescent="0.15">
      <c r="X119" s="3">
        <f t="shared" si="12"/>
        <v>27.75</v>
      </c>
      <c r="Y119" s="6">
        <f t="shared" si="9"/>
        <v>4.0985558017300229E-2</v>
      </c>
      <c r="Z119" s="6">
        <f t="shared" si="10"/>
        <v>4.0885509301772677E-2</v>
      </c>
      <c r="AA119" s="28">
        <f t="shared" si="15"/>
        <v>3.7102274687675241E-2</v>
      </c>
      <c r="AB119" s="28">
        <f t="shared" si="15"/>
        <v>3.1125582637533178E-2</v>
      </c>
    </row>
    <row r="120" spans="24:28" x14ac:dyDescent="0.15">
      <c r="X120" s="3">
        <f t="shared" si="12"/>
        <v>28</v>
      </c>
      <c r="Y120" s="6">
        <f t="shared" si="9"/>
        <v>4.0950221508779236E-2</v>
      </c>
      <c r="Z120" s="6">
        <f t="shared" si="10"/>
        <v>4.0807952434887371E-2</v>
      </c>
      <c r="AA120" s="28">
        <f t="shared" si="15"/>
        <v>3.7031669579999704E-2</v>
      </c>
      <c r="AB120" s="28">
        <f t="shared" si="15"/>
        <v>3.2217435022142471E-2</v>
      </c>
    </row>
    <row r="121" spans="24:28" x14ac:dyDescent="0.15">
      <c r="X121" s="3">
        <f t="shared" si="12"/>
        <v>28.25</v>
      </c>
      <c r="Y121" s="6">
        <f t="shared" si="9"/>
        <v>4.091488500025825E-2</v>
      </c>
      <c r="Z121" s="6">
        <f t="shared" si="10"/>
        <v>4.0741000843086288E-2</v>
      </c>
      <c r="AA121" s="28">
        <f t="shared" si="15"/>
        <v>3.6961065085386657E-2</v>
      </c>
      <c r="AB121" s="28">
        <f t="shared" si="15"/>
        <v>3.3256304788267688E-2</v>
      </c>
    </row>
    <row r="122" spans="24:28" x14ac:dyDescent="0.15">
      <c r="X122" s="3">
        <f t="shared" si="12"/>
        <v>28.5</v>
      </c>
      <c r="Y122" s="6">
        <f t="shared" si="9"/>
        <v>4.0879548491737257E-2</v>
      </c>
      <c r="Z122" s="6">
        <f t="shared" si="10"/>
        <v>4.0683875291247319E-2</v>
      </c>
      <c r="AA122" s="28">
        <f t="shared" si="15"/>
        <v>3.689046120374373E-2</v>
      </c>
      <c r="AB122" s="28">
        <f t="shared" si="15"/>
        <v>3.4238976917186914E-2</v>
      </c>
    </row>
    <row r="123" spans="24:28" x14ac:dyDescent="0.15">
      <c r="X123" s="3">
        <f t="shared" si="12"/>
        <v>28.75</v>
      </c>
      <c r="Y123" s="6">
        <f t="shared" si="9"/>
        <v>4.0844211983216271E-2</v>
      </c>
      <c r="Z123" s="6">
        <f t="shared" si="10"/>
        <v>4.0635796544248384E-2</v>
      </c>
      <c r="AA123" s="28">
        <f t="shared" ref="AA123:AB128" si="16">2*(((1+Y123/2)^$X123/(1+Y122/2)^$X122)^(1/($X123-$X122))-1)</f>
        <v>3.6819857935135758E-2</v>
      </c>
      <c r="AB123" s="28">
        <f t="shared" si="16"/>
        <v>3.5162237917440109E-2</v>
      </c>
    </row>
    <row r="124" spans="24:28" x14ac:dyDescent="0.15">
      <c r="X124" s="3">
        <f t="shared" si="12"/>
        <v>29</v>
      </c>
      <c r="Y124" s="6">
        <f t="shared" si="9"/>
        <v>4.0808875474695278E-2</v>
      </c>
      <c r="Z124" s="6">
        <f t="shared" si="10"/>
        <v>4.0595985366967374E-2</v>
      </c>
      <c r="AA124" s="28">
        <f t="shared" si="16"/>
        <v>3.6749255279588056E-2</v>
      </c>
      <c r="AB124" s="28">
        <f t="shared" si="16"/>
        <v>3.6022876625660505E-2</v>
      </c>
    </row>
    <row r="125" spans="24:28" x14ac:dyDescent="0.15">
      <c r="X125" s="3">
        <f t="shared" si="12"/>
        <v>29.25</v>
      </c>
      <c r="Y125" s="6">
        <f t="shared" si="9"/>
        <v>4.0773538966174291E-2</v>
      </c>
      <c r="Z125" s="6">
        <f t="shared" si="10"/>
        <v>4.056366252428218E-2</v>
      </c>
      <c r="AA125" s="28">
        <f t="shared" si="16"/>
        <v>3.6678653237069536E-2</v>
      </c>
      <c r="AB125" s="28">
        <f t="shared" si="16"/>
        <v>3.6817685033010861E-2</v>
      </c>
    </row>
    <row r="126" spans="24:28" x14ac:dyDescent="0.15">
      <c r="X126" s="3">
        <f t="shared" si="12"/>
        <v>29.5</v>
      </c>
      <c r="Y126" s="6">
        <f t="shared" si="9"/>
        <v>4.0738202457653298E-2</v>
      </c>
      <c r="Z126" s="6">
        <f t="shared" si="10"/>
        <v>4.0538048781070708E-2</v>
      </c>
      <c r="AA126" s="28">
        <f t="shared" si="16"/>
        <v>3.6608051807727637E-2</v>
      </c>
      <c r="AB126" s="28">
        <f t="shared" si="16"/>
        <v>3.7543459139577795E-2</v>
      </c>
    </row>
    <row r="127" spans="24:28" x14ac:dyDescent="0.15">
      <c r="X127" s="3">
        <f t="shared" si="12"/>
        <v>29.75</v>
      </c>
      <c r="Y127" s="6">
        <f t="shared" si="9"/>
        <v>4.0702865949132312E-2</v>
      </c>
      <c r="Z127" s="6">
        <f t="shared" si="10"/>
        <v>4.0518364902210856E-2</v>
      </c>
      <c r="AA127" s="28">
        <f t="shared" si="16"/>
        <v>3.6537450991380283E-2</v>
      </c>
      <c r="AB127" s="28">
        <f t="shared" si="16"/>
        <v>3.8196999834949175E-2</v>
      </c>
    </row>
    <row r="128" spans="24:28" x14ac:dyDescent="0.15">
      <c r="X128" s="3">
        <f t="shared" si="12"/>
        <v>30</v>
      </c>
      <c r="Y128" s="6">
        <f t="shared" si="9"/>
        <v>4.0667529440611319E-2</v>
      </c>
      <c r="Z128" s="6">
        <f t="shared" si="10"/>
        <v>4.0503831652580521E-2</v>
      </c>
      <c r="AA128" s="28">
        <f t="shared" si="16"/>
        <v>3.6466850788221095E-2</v>
      </c>
      <c r="AB128" s="28">
        <f t="shared" si="16"/>
        <v>3.8775113805480821E-2</v>
      </c>
    </row>
  </sheetData>
  <mergeCells count="2">
    <mergeCell ref="Y6:Z6"/>
    <mergeCell ref="AA6:AB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Q3</vt:lpstr>
      <vt:lpstr>Q4 (a)</vt:lpstr>
      <vt:lpstr>Q4 (b)</vt:lpstr>
      <vt:lpstr>Q3 (2)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Microsoft Office User</cp:lastModifiedBy>
  <dcterms:created xsi:type="dcterms:W3CDTF">2002-08-14T18:48:00Z</dcterms:created>
  <dcterms:modified xsi:type="dcterms:W3CDTF">2023-02-12T22:41:05Z</dcterms:modified>
</cp:coreProperties>
</file>