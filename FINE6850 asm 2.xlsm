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omments1.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227" codeName="{37A63EE7-654F-3FA9-A528-636911D70600}"/>
  <workbookPr codeName="ThisWorkbook"/>
  <mc:AlternateContent xmlns:mc="http://schemas.openxmlformats.org/markup-compatibility/2006">
    <mc:Choice Requires="x15">
      <x15ac:absPath xmlns:x15ac="http://schemas.microsoft.com/office/spreadsheetml/2010/11/ac" url="https://d.docs.live.net/e832cf44f5d89a4b/Desktop/"/>
    </mc:Choice>
  </mc:AlternateContent>
  <xr:revisionPtr revIDLastSave="469" documentId="13_ncr:1_{100EC0BC-ADE1-4E7B-8EE2-4F3499E32156}" xr6:coauthVersionLast="47" xr6:coauthVersionMax="47" xr10:uidLastSave="{443CF077-016C-4745-AD7B-6BA9674E8127}"/>
  <bookViews>
    <workbookView xWindow="-110" yWindow="-110" windowWidth="22620" windowHeight="13500" tabRatio="764" firstSheet="7" activeTab="9" xr2:uid="{00000000-000D-0000-FFFF-FFFF00000000}"/>
  </bookViews>
  <sheets>
    <sheet name="Ex1" sheetId="20" state="hidden" r:id="rId1"/>
    <sheet name="Ex2" sheetId="21" state="hidden" r:id="rId2"/>
    <sheet name="Ex3" sheetId="27" state="hidden" r:id="rId3"/>
    <sheet name="Ex4" sheetId="23" state="hidden" r:id="rId4"/>
    <sheet name="Ex5" sheetId="29" state="hidden" r:id="rId5"/>
    <sheet name="Extra1" sheetId="31" state="hidden" r:id="rId6"/>
    <sheet name="Extra2" sheetId="30" state="hidden" r:id="rId7"/>
    <sheet name="Q1" sheetId="39" r:id="rId8"/>
    <sheet name="2a " sheetId="47" r:id="rId9"/>
    <sheet name="2b" sheetId="48" r:id="rId10"/>
    <sheet name="Q3 " sheetId="51" r:id="rId11"/>
    <sheet name="Q4" sheetId="42" r:id="rId12"/>
    <sheet name="Q5" sheetId="43" r:id="rId13"/>
  </sheets>
  <functionGroups builtInGroupCount="19"/>
  <externalReferences>
    <externalReference r:id="rId14"/>
  </externalReferences>
  <definedNames>
    <definedName name="AC" localSheetId="8">#REF!</definedName>
    <definedName name="AC" localSheetId="9">#REF!</definedName>
    <definedName name="AC" localSheetId="10">#REF!</definedName>
    <definedName name="AC">#REF!</definedName>
    <definedName name="Amortization_period">#REF!</definedName>
    <definedName name="AnnualCoupon" localSheetId="8">#REF!</definedName>
    <definedName name="AnnualCoupon" localSheetId="9">#REF!</definedName>
    <definedName name="AnnualCoupon" localSheetId="0">'Ex1'!$B$5</definedName>
    <definedName name="AnnualCoupon" localSheetId="1">'Ex2'!$B$6</definedName>
    <definedName name="AnnualCoupon" localSheetId="2">#REF!</definedName>
    <definedName name="AnnualCoupon" localSheetId="4">#REF!</definedName>
    <definedName name="AnnualCoupon" localSheetId="5">#REF!</definedName>
    <definedName name="AnnualCoupon" localSheetId="6">#REF!</definedName>
    <definedName name="AnnualCoupon" localSheetId="10">#REF!</definedName>
    <definedName name="AnnualCoupon">#REF!</definedName>
    <definedName name="AnnualCoupon1" localSheetId="8">#REF!</definedName>
    <definedName name="AnnualCoupon1" localSheetId="9">#REF!</definedName>
    <definedName name="AnnualCoupon1" localSheetId="0">'Ex1'!$B$5</definedName>
    <definedName name="AnnualCoupon1" localSheetId="1">'Ex2'!$B$6</definedName>
    <definedName name="AnnualCoupon1" localSheetId="2">#REF!</definedName>
    <definedName name="AnnualCoupon1" localSheetId="4">#REF!</definedName>
    <definedName name="AnnualCoupon1" localSheetId="5">#REF!</definedName>
    <definedName name="AnnualCoupon1" localSheetId="6">#REF!</definedName>
    <definedName name="AnnualCoupon1" localSheetId="10">#REF!</definedName>
    <definedName name="AnnualCoupon1">#REF!</definedName>
    <definedName name="AnnualCoupon2" localSheetId="0">'Ex1'!$B$6</definedName>
    <definedName name="AnnualCoupon2" localSheetId="1">'Ex2'!$B$7</definedName>
    <definedName name="AnnualCoupon2" localSheetId="2">#REF!</definedName>
    <definedName name="AnnualCoupon2" localSheetId="4">#REF!</definedName>
    <definedName name="AnnualCoupon2" localSheetId="5">#REF!</definedName>
    <definedName name="AnnualCoupon2" localSheetId="6">#REF!</definedName>
    <definedName name="AnnualCoupon2" localSheetId="10">#REF!</definedName>
    <definedName name="AnnualCoupon2">#REF!</definedName>
    <definedName name="BondPrice" localSheetId="0">'Ex1'!$A$5</definedName>
    <definedName name="BondPrice" localSheetId="1">'Ex2'!$A$6</definedName>
    <definedName name="BondPrice" localSheetId="2">#REF!</definedName>
    <definedName name="BondPrice" localSheetId="4">#REF!</definedName>
    <definedName name="BondPrice" localSheetId="5">#REF!</definedName>
    <definedName name="BondPrice" localSheetId="6">#REF!</definedName>
    <definedName name="BondPrice">#REF!</definedName>
    <definedName name="BondPrice2" localSheetId="0">'Ex1'!$A$6</definedName>
    <definedName name="BondPrice2" localSheetId="1">'Ex2'!$A$7</definedName>
    <definedName name="BondPrice2" localSheetId="2">#REF!</definedName>
    <definedName name="BondPrice2" localSheetId="4">#REF!</definedName>
    <definedName name="BondPrice2" localSheetId="5">#REF!</definedName>
    <definedName name="BondPrice2" localSheetId="6">#REF!</definedName>
    <definedName name="BondPrice2">#REF!</definedName>
    <definedName name="call_limit" localSheetId="10">[1]Q5!$C$100</definedName>
    <definedName name="call_limit">'Q5'!$C$100</definedName>
    <definedName name="call_price" localSheetId="10">[1]Q5!$C$99</definedName>
    <definedName name="call_price">'Q5'!$C$99</definedName>
    <definedName name="Compounding_freq">#REF!</definedName>
    <definedName name="coupon_per_period" localSheetId="10">[1]Q5!$C$58</definedName>
    <definedName name="coupon_per_period">'Q5'!$C$58</definedName>
    <definedName name="couponrate" localSheetId="10">[1]Q5!$C$56</definedName>
    <definedName name="couponrate">'Q5'!$C$56</definedName>
    <definedName name="eff_pass_rate_period">#REF!</definedName>
    <definedName name="eff_rate_period">#REF!</definedName>
    <definedName name="expected_return">#REF!</definedName>
    <definedName name="FaceValue" localSheetId="0">'Ex1'!$H$2</definedName>
    <definedName name="FaceValue" localSheetId="1">'Ex2'!$H$2</definedName>
    <definedName name="FaceValue" localSheetId="2">#REF!</definedName>
    <definedName name="FaceValue" localSheetId="4">#REF!</definedName>
    <definedName name="FaceValue" localSheetId="5">#REF!</definedName>
    <definedName name="FaceValue" localSheetId="6">#REF!</definedName>
    <definedName name="FaceValue">#REF!</definedName>
    <definedName name="fixed_rate" localSheetId="10">'Q3 '!$B$3</definedName>
    <definedName name="fixed_rate">#REF!</definedName>
    <definedName name="frequency" localSheetId="10">[1]Q5!$C$57</definedName>
    <definedName name="frequency">'Q5'!$C$57</definedName>
    <definedName name="Maturity" localSheetId="8">#REF!</definedName>
    <definedName name="Maturity" localSheetId="9">#REF!</definedName>
    <definedName name="Maturity" localSheetId="0">'Ex1'!$D$5</definedName>
    <definedName name="Maturity" localSheetId="1">'Ex2'!$D$6</definedName>
    <definedName name="Maturity" localSheetId="2">#REF!</definedName>
    <definedName name="Maturity" localSheetId="4">#REF!</definedName>
    <definedName name="Maturity" localSheetId="5">#REF!</definedName>
    <definedName name="Maturity" localSheetId="6">#REF!</definedName>
    <definedName name="Maturity" localSheetId="10">#REF!</definedName>
    <definedName name="maturity">'Q5'!$C$54</definedName>
    <definedName name="Maturity2" localSheetId="0">'Ex1'!$D$6</definedName>
    <definedName name="Maturity2" localSheetId="1">'Ex2'!$D$7</definedName>
    <definedName name="Maturity2" localSheetId="2">#REF!</definedName>
    <definedName name="Maturity2" localSheetId="4">#REF!</definedName>
    <definedName name="Maturity2" localSheetId="5">#REF!</definedName>
    <definedName name="Maturity2" localSheetId="6">#REF!</definedName>
    <definedName name="Maturity2" localSheetId="10">#REF!</definedName>
    <definedName name="Maturity2">#REF!</definedName>
    <definedName name="mortaga_pymt_perperiod">#REF!</definedName>
    <definedName name="notional" localSheetId="10">'Q3 '!$B$2</definedName>
    <definedName name="notional">#REF!</definedName>
    <definedName name="par" localSheetId="10">[1]Q5!$C$55</definedName>
    <definedName name="par">'Q5'!$C$55</definedName>
    <definedName name="Passthrough_rate">#REF!</definedName>
    <definedName name="PeriodCoupon" localSheetId="0">'Ex1'!$E$5</definedName>
    <definedName name="PeriodCoupon" localSheetId="1">'Ex2'!$E$6</definedName>
    <definedName name="PeriodCoupon" localSheetId="2">#REF!</definedName>
    <definedName name="PeriodCoupon" localSheetId="4">#REF!</definedName>
    <definedName name="PeriodCoupon" localSheetId="5">#REF!</definedName>
    <definedName name="PeriodCoupon" localSheetId="6">#REF!</definedName>
    <definedName name="PeriodCoupon" localSheetId="10">#REF!</definedName>
    <definedName name="PeriodCoupon">#REF!</definedName>
    <definedName name="PeriodCoupon2" localSheetId="0">'Ex1'!$E$6</definedName>
    <definedName name="PeriodCoupon2" localSheetId="1">'Ex2'!$E$7</definedName>
    <definedName name="PeriodCoupon2" localSheetId="2">#REF!</definedName>
    <definedName name="PeriodCoupon2" localSheetId="4">#REF!</definedName>
    <definedName name="PeriodCoupon2" localSheetId="5">#REF!</definedName>
    <definedName name="PeriodCoupon2" localSheetId="6">#REF!</definedName>
    <definedName name="PeriodCoupon2" localSheetId="10">#REF!</definedName>
    <definedName name="PeriodCoupon2">#REF!</definedName>
    <definedName name="poolsize">#REF!</definedName>
    <definedName name="prob" localSheetId="10">[1]Q5!$B$10</definedName>
    <definedName name="prob">'Q5'!$B$10</definedName>
    <definedName name="PSA">#REF!</definedName>
    <definedName name="range">#REF!</definedName>
    <definedName name="SemiAnnualPeriod" localSheetId="0">'Ex1'!$C$5</definedName>
    <definedName name="SemiAnnualPeriod" localSheetId="1">'Ex2'!$C$6</definedName>
    <definedName name="SemiAnnualPeriod" localSheetId="2">#REF!</definedName>
    <definedName name="SemiAnnualPeriod" localSheetId="4">#REF!</definedName>
    <definedName name="SemiAnnualPeriod" localSheetId="5">#REF!</definedName>
    <definedName name="SemiAnnualPeriod" localSheetId="6">#REF!</definedName>
    <definedName name="SemiAnnualPeriod" localSheetId="10">#REF!</definedName>
    <definedName name="SemiAnnualPeriod">#REF!</definedName>
    <definedName name="SemiAnnualPeriod2" localSheetId="0">'Ex1'!$C$6</definedName>
    <definedName name="SemiAnnualPeriod2" localSheetId="1">'Ex2'!$C$7</definedName>
    <definedName name="SemiAnnualPeriod2" localSheetId="2">#REF!</definedName>
    <definedName name="SemiAnnualPeriod2" localSheetId="4">#REF!</definedName>
    <definedName name="SemiAnnualPeriod2" localSheetId="5">#REF!</definedName>
    <definedName name="SemiAnnualPeriod2" localSheetId="6">#REF!</definedName>
    <definedName name="SemiAnnualPeriod2">#REF!</definedName>
    <definedName name="shock" localSheetId="10">[1]Q1!$D$38</definedName>
    <definedName name="shock">'Q1'!$D$38</definedName>
    <definedName name="solver_adj" localSheetId="8" hidden="1">'2a '!#REF!</definedName>
    <definedName name="solver_adj" localSheetId="9" hidden="1">'2b'!#REF!</definedName>
    <definedName name="solver_adj" localSheetId="1" hidden="1">'Ex2'!$G$28</definedName>
    <definedName name="solver_adj" localSheetId="2" hidden="1">'Ex3'!#REF!</definedName>
    <definedName name="solver_adj" localSheetId="3" hidden="1">'Ex4'!$K$21</definedName>
    <definedName name="solver_adj" localSheetId="4" hidden="1">'Ex5'!#REF!</definedName>
    <definedName name="solver_adj" localSheetId="5" hidden="1">Extra1!#REF!</definedName>
    <definedName name="solver_adj" localSheetId="6" hidden="1">Extra2!#REF!</definedName>
    <definedName name="solver_adj" localSheetId="11" hidden="1">'Q4'!$C$59</definedName>
    <definedName name="solver_adj" localSheetId="12" hidden="1">'Q5'!$C$142</definedName>
    <definedName name="solver_cvg" localSheetId="8" hidden="1">0.0001</definedName>
    <definedName name="solver_cvg" localSheetId="9" hidden="1">0.0001</definedName>
    <definedName name="solver_cvg" localSheetId="1" hidden="1">0.0001</definedName>
    <definedName name="solver_cvg" localSheetId="2" hidden="1">0.0001</definedName>
    <definedName name="solver_cvg" localSheetId="3" hidden="1">0.0001</definedName>
    <definedName name="solver_cvg" localSheetId="4" hidden="1">0.0001</definedName>
    <definedName name="solver_cvg" localSheetId="5" hidden="1">0.0001</definedName>
    <definedName name="solver_cvg" localSheetId="6" hidden="1">0.0001</definedName>
    <definedName name="solver_cvg" localSheetId="11" hidden="1">0.0001</definedName>
    <definedName name="solver_cvg" localSheetId="12" hidden="1">0.0001</definedName>
    <definedName name="solver_drv" localSheetId="8" hidden="1">1</definedName>
    <definedName name="solver_drv" localSheetId="9" hidden="1">1</definedName>
    <definedName name="solver_drv" localSheetId="1" hidden="1">1</definedName>
    <definedName name="solver_drv" localSheetId="2" hidden="1">1</definedName>
    <definedName name="solver_drv" localSheetId="3" hidden="1">1</definedName>
    <definedName name="solver_drv" localSheetId="4" hidden="1">1</definedName>
    <definedName name="solver_drv" localSheetId="5" hidden="1">1</definedName>
    <definedName name="solver_drv" localSheetId="6" hidden="1">1</definedName>
    <definedName name="solver_drv" localSheetId="11" hidden="1">1</definedName>
    <definedName name="solver_drv" localSheetId="12" hidden="1">1</definedName>
    <definedName name="solver_eng" localSheetId="3" hidden="1">1</definedName>
    <definedName name="solver_eng" localSheetId="11" hidden="1">1</definedName>
    <definedName name="solver_eng" localSheetId="12" hidden="1">1</definedName>
    <definedName name="solver_est" localSheetId="8" hidden="1">1</definedName>
    <definedName name="solver_est" localSheetId="9" hidden="1">1</definedName>
    <definedName name="solver_est" localSheetId="1" hidden="1">1</definedName>
    <definedName name="solver_est" localSheetId="2" hidden="1">1</definedName>
    <definedName name="solver_est" localSheetId="3" hidden="1">1</definedName>
    <definedName name="solver_est" localSheetId="4" hidden="1">1</definedName>
    <definedName name="solver_est" localSheetId="5" hidden="1">1</definedName>
    <definedName name="solver_est" localSheetId="6" hidden="1">1</definedName>
    <definedName name="solver_est" localSheetId="11" hidden="1">1</definedName>
    <definedName name="solver_est" localSheetId="12" hidden="1">1</definedName>
    <definedName name="solver_itr" localSheetId="8" hidden="1">100</definedName>
    <definedName name="solver_itr" localSheetId="9" hidden="1">100</definedName>
    <definedName name="solver_itr" localSheetId="1" hidden="1">100</definedName>
    <definedName name="solver_itr" localSheetId="2" hidden="1">100</definedName>
    <definedName name="solver_itr" localSheetId="3" hidden="1">100</definedName>
    <definedName name="solver_itr" localSheetId="4" hidden="1">100</definedName>
    <definedName name="solver_itr" localSheetId="5" hidden="1">100</definedName>
    <definedName name="solver_itr" localSheetId="6" hidden="1">100</definedName>
    <definedName name="solver_itr" localSheetId="11" hidden="1">2147483647</definedName>
    <definedName name="solver_itr" localSheetId="12" hidden="1">2147483647</definedName>
    <definedName name="solver_lin" localSheetId="8" hidden="1">2</definedName>
    <definedName name="solver_lin" localSheetId="9" hidden="1">2</definedName>
    <definedName name="solver_lin" localSheetId="1" hidden="1">2</definedName>
    <definedName name="solver_lin" localSheetId="2" hidden="1">2</definedName>
    <definedName name="solver_lin" localSheetId="3" hidden="1">2</definedName>
    <definedName name="solver_lin" localSheetId="4" hidden="1">2</definedName>
    <definedName name="solver_lin" localSheetId="5" hidden="1">2</definedName>
    <definedName name="solver_lin" localSheetId="6" hidden="1">2</definedName>
    <definedName name="solver_mip" localSheetId="3" hidden="1">2147483647</definedName>
    <definedName name="solver_mip" localSheetId="11" hidden="1">2147483647</definedName>
    <definedName name="solver_mip" localSheetId="12" hidden="1">2147483647</definedName>
    <definedName name="solver_mni" localSheetId="3" hidden="1">30</definedName>
    <definedName name="solver_mni" localSheetId="11" hidden="1">30</definedName>
    <definedName name="solver_mni" localSheetId="12" hidden="1">30</definedName>
    <definedName name="solver_mrt" localSheetId="3" hidden="1">0.075</definedName>
    <definedName name="solver_mrt" localSheetId="11" hidden="1">0.075</definedName>
    <definedName name="solver_mrt" localSheetId="12" hidden="1">0.075</definedName>
    <definedName name="solver_msl" localSheetId="3" hidden="1">2</definedName>
    <definedName name="solver_msl" localSheetId="11" hidden="1">2</definedName>
    <definedName name="solver_msl" localSheetId="12" hidden="1">2</definedName>
    <definedName name="solver_neg" localSheetId="8" hidden="1">2</definedName>
    <definedName name="solver_neg" localSheetId="9" hidden="1">2</definedName>
    <definedName name="solver_neg" localSheetId="1" hidden="1">2</definedName>
    <definedName name="solver_neg" localSheetId="2" hidden="1">2</definedName>
    <definedName name="solver_neg" localSheetId="3" hidden="1">2</definedName>
    <definedName name="solver_neg" localSheetId="4" hidden="1">2</definedName>
    <definedName name="solver_neg" localSheetId="5" hidden="1">2</definedName>
    <definedName name="solver_neg" localSheetId="6" hidden="1">2</definedName>
    <definedName name="solver_neg" localSheetId="11" hidden="1">1</definedName>
    <definedName name="solver_neg" localSheetId="12" hidden="1">1</definedName>
    <definedName name="solver_nod" localSheetId="3" hidden="1">2147483647</definedName>
    <definedName name="solver_nod" localSheetId="11" hidden="1">2147483647</definedName>
    <definedName name="solver_nod" localSheetId="12" hidden="1">2147483647</definedName>
    <definedName name="solver_num" localSheetId="8" hidden="1">0</definedName>
    <definedName name="solver_num" localSheetId="9" hidden="1">0</definedName>
    <definedName name="solver_num" localSheetId="1" hidden="1">0</definedName>
    <definedName name="solver_num" localSheetId="2" hidden="1">0</definedName>
    <definedName name="solver_num" localSheetId="3" hidden="1">0</definedName>
    <definedName name="solver_num" localSheetId="4" hidden="1">0</definedName>
    <definedName name="solver_num" localSheetId="5" hidden="1">0</definedName>
    <definedName name="solver_num" localSheetId="6" hidden="1">0</definedName>
    <definedName name="solver_num" localSheetId="11" hidden="1">0</definedName>
    <definedName name="solver_num" localSheetId="12" hidden="1">0</definedName>
    <definedName name="solver_nwt" localSheetId="8" hidden="1">1</definedName>
    <definedName name="solver_nwt" localSheetId="9" hidden="1">1</definedName>
    <definedName name="solver_nwt" localSheetId="1" hidden="1">1</definedName>
    <definedName name="solver_nwt" localSheetId="2" hidden="1">1</definedName>
    <definedName name="solver_nwt" localSheetId="3" hidden="1">1</definedName>
    <definedName name="solver_nwt" localSheetId="4" hidden="1">1</definedName>
    <definedName name="solver_nwt" localSheetId="5" hidden="1">1</definedName>
    <definedName name="solver_nwt" localSheetId="6" hidden="1">1</definedName>
    <definedName name="solver_nwt" localSheetId="11" hidden="1">1</definedName>
    <definedName name="solver_nwt" localSheetId="12" hidden="1">1</definedName>
    <definedName name="solver_opt" localSheetId="8" hidden="1">'2a '!#REF!</definedName>
    <definedName name="solver_opt" localSheetId="9" hidden="1">'2b'!#REF!</definedName>
    <definedName name="solver_opt" localSheetId="1" hidden="1">'Ex2'!$H$28</definedName>
    <definedName name="solver_opt" localSheetId="2" hidden="1">'Ex3'!#REF!</definedName>
    <definedName name="solver_opt" localSheetId="3" hidden="1">'Ex4'!$J$21</definedName>
    <definedName name="solver_opt" localSheetId="4" hidden="1">'Ex5'!#REF!</definedName>
    <definedName name="solver_opt" localSheetId="5" hidden="1">Extra1!#REF!</definedName>
    <definedName name="solver_opt" localSheetId="6" hidden="1">Extra2!#REF!</definedName>
    <definedName name="solver_opt" localSheetId="11" hidden="1">'Q4'!$B$76</definedName>
    <definedName name="solver_opt" localSheetId="12" hidden="1">'Q5'!$B$139</definedName>
    <definedName name="solver_pre" localSheetId="8" hidden="1">0.000001</definedName>
    <definedName name="solver_pre" localSheetId="9" hidden="1">0.000001</definedName>
    <definedName name="solver_pre" localSheetId="1" hidden="1">0.000001</definedName>
    <definedName name="solver_pre" localSheetId="2" hidden="1">0.000001</definedName>
    <definedName name="solver_pre" localSheetId="3" hidden="1">0.000001</definedName>
    <definedName name="solver_pre" localSheetId="4" hidden="1">0.000001</definedName>
    <definedName name="solver_pre" localSheetId="5" hidden="1">0.000001</definedName>
    <definedName name="solver_pre" localSheetId="6" hidden="1">0.000001</definedName>
    <definedName name="solver_pre" localSheetId="11" hidden="1">0.000001</definedName>
    <definedName name="solver_pre" localSheetId="12" hidden="1">0.000001</definedName>
    <definedName name="solver_rbv" localSheetId="3" hidden="1">1</definedName>
    <definedName name="solver_rbv" localSheetId="11" hidden="1">1</definedName>
    <definedName name="solver_rbv" localSheetId="12" hidden="1">1</definedName>
    <definedName name="solver_rlx" localSheetId="3" hidden="1">1</definedName>
    <definedName name="solver_rlx" localSheetId="11" hidden="1">2</definedName>
    <definedName name="solver_rlx" localSheetId="12" hidden="1">2</definedName>
    <definedName name="solver_rsd" localSheetId="3" hidden="1">0</definedName>
    <definedName name="solver_rsd" localSheetId="11" hidden="1">0</definedName>
    <definedName name="solver_rsd" localSheetId="12" hidden="1">0</definedName>
    <definedName name="solver_scl" localSheetId="8" hidden="1">2</definedName>
    <definedName name="solver_scl" localSheetId="9" hidden="1">2</definedName>
    <definedName name="solver_scl" localSheetId="1" hidden="1">2</definedName>
    <definedName name="solver_scl" localSheetId="2" hidden="1">2</definedName>
    <definedName name="solver_scl" localSheetId="3" hidden="1">2</definedName>
    <definedName name="solver_scl" localSheetId="4" hidden="1">2</definedName>
    <definedName name="solver_scl" localSheetId="5" hidden="1">2</definedName>
    <definedName name="solver_scl" localSheetId="6" hidden="1">2</definedName>
    <definedName name="solver_scl" localSheetId="11" hidden="1">1</definedName>
    <definedName name="solver_scl" localSheetId="12" hidden="1">1</definedName>
    <definedName name="solver_sho" localSheetId="8" hidden="1">2</definedName>
    <definedName name="solver_sho" localSheetId="9" hidden="1">2</definedName>
    <definedName name="solver_sho" localSheetId="1" hidden="1">2</definedName>
    <definedName name="solver_sho" localSheetId="2" hidden="1">2</definedName>
    <definedName name="solver_sho" localSheetId="3" hidden="1">2</definedName>
    <definedName name="solver_sho" localSheetId="4" hidden="1">2</definedName>
    <definedName name="solver_sho" localSheetId="5" hidden="1">2</definedName>
    <definedName name="solver_sho" localSheetId="6" hidden="1">2</definedName>
    <definedName name="solver_sho" localSheetId="11" hidden="1">2</definedName>
    <definedName name="solver_sho" localSheetId="12" hidden="1">2</definedName>
    <definedName name="solver_ssz" localSheetId="3" hidden="1">100</definedName>
    <definedName name="solver_ssz" localSheetId="11" hidden="1">100</definedName>
    <definedName name="solver_ssz" localSheetId="12" hidden="1">100</definedName>
    <definedName name="solver_tim" localSheetId="8" hidden="1">100</definedName>
    <definedName name="solver_tim" localSheetId="9" hidden="1">100</definedName>
    <definedName name="solver_tim" localSheetId="1" hidden="1">100</definedName>
    <definedName name="solver_tim" localSheetId="2" hidden="1">100</definedName>
    <definedName name="solver_tim" localSheetId="3" hidden="1">100</definedName>
    <definedName name="solver_tim" localSheetId="4" hidden="1">100</definedName>
    <definedName name="solver_tim" localSheetId="5" hidden="1">100</definedName>
    <definedName name="solver_tim" localSheetId="6" hidden="1">100</definedName>
    <definedName name="solver_tim" localSheetId="11" hidden="1">2147483647</definedName>
    <definedName name="solver_tim" localSheetId="12" hidden="1">2147483647</definedName>
    <definedName name="solver_tol" localSheetId="8" hidden="1">0.05</definedName>
    <definedName name="solver_tol" localSheetId="9" hidden="1">0.05</definedName>
    <definedName name="solver_tol" localSheetId="1" hidden="1">0.05</definedName>
    <definedName name="solver_tol" localSheetId="2" hidden="1">0.05</definedName>
    <definedName name="solver_tol" localSheetId="3" hidden="1">0.05</definedName>
    <definedName name="solver_tol" localSheetId="4" hidden="1">0.05</definedName>
    <definedName name="solver_tol" localSheetId="5" hidden="1">0.05</definedName>
    <definedName name="solver_tol" localSheetId="6" hidden="1">0.05</definedName>
    <definedName name="solver_tol" localSheetId="11" hidden="1">0.01</definedName>
    <definedName name="solver_tol" localSheetId="12" hidden="1">0.01</definedName>
    <definedName name="solver_typ" localSheetId="8" hidden="1">3</definedName>
    <definedName name="solver_typ" localSheetId="9" hidden="1">3</definedName>
    <definedName name="solver_typ" localSheetId="1" hidden="1">3</definedName>
    <definedName name="solver_typ" localSheetId="2" hidden="1">3</definedName>
    <definedName name="solver_typ" localSheetId="3" hidden="1">3</definedName>
    <definedName name="solver_typ" localSheetId="4" hidden="1">3</definedName>
    <definedName name="solver_typ" localSheetId="5" hidden="1">3</definedName>
    <definedName name="solver_typ" localSheetId="6" hidden="1">3</definedName>
    <definedName name="solver_typ" localSheetId="11" hidden="1">3</definedName>
    <definedName name="solver_typ" localSheetId="12" hidden="1">3</definedName>
    <definedName name="solver_val" localSheetId="8" hidden="1">0</definedName>
    <definedName name="solver_val" localSheetId="9" hidden="1">0</definedName>
    <definedName name="solver_val" localSheetId="1" hidden="1">0</definedName>
    <definedName name="solver_val" localSheetId="2" hidden="1">0</definedName>
    <definedName name="solver_val" localSheetId="3" hidden="1">0</definedName>
    <definedName name="solver_val" localSheetId="4" hidden="1">0</definedName>
    <definedName name="solver_val" localSheetId="5" hidden="1">0</definedName>
    <definedName name="solver_val" localSheetId="6" hidden="1">0</definedName>
    <definedName name="solver_val" localSheetId="11" hidden="1">0</definedName>
    <definedName name="solver_val" localSheetId="12" hidden="1">0</definedName>
    <definedName name="solver_ver" localSheetId="3" hidden="1">3</definedName>
    <definedName name="solver_ver" localSheetId="11" hidden="1">3</definedName>
    <definedName name="solver_ver" localSheetId="12" hidden="1">3</definedName>
    <definedName name="spread" localSheetId="10">'Q3 '!$B$5</definedName>
    <definedName name="spread">#REF!</definedName>
    <definedName name="tranche_A_par" localSheetId="10">#REF!</definedName>
    <definedName name="tranche_A_par">#REF!</definedName>
    <definedName name="tranche_A_PV" localSheetId="10">#REF!</definedName>
    <definedName name="tranche_A_PV">#REF!</definedName>
    <definedName name="tranche_B_par" localSheetId="10">#REF!</definedName>
    <definedName name="tranche_B_par">#REF!</definedName>
    <definedName name="tranche_B_PV">#REF!</definedName>
    <definedName name="tranche_C_par">#REF!</definedName>
    <definedName name="tranche_C_PV">#REF!</definedName>
    <definedName name="WAC">#REF!</definedName>
    <definedName name="WAM">#REF!</definedName>
    <definedName name="X" localSheetId="8">#REF!</definedName>
    <definedName name="X" localSheetId="9">#REF!</definedName>
    <definedName name="X" localSheetId="2">#REF!</definedName>
    <definedName name="X" localSheetId="4">#REF!</definedName>
    <definedName name="X" localSheetId="5">#REF!</definedName>
    <definedName name="X" localSheetId="6">#REF!</definedName>
    <definedName name="X" localSheetId="10">#REF!</definedName>
    <definedName name="X">#REF!</definedName>
    <definedName name="Xa" localSheetId="8">#REF!</definedName>
    <definedName name="Xa" localSheetId="9">#REF!</definedName>
    <definedName name="Xa" localSheetId="2">#REF!</definedName>
    <definedName name="Xa" localSheetId="4">#REF!</definedName>
    <definedName name="Xa" localSheetId="5">#REF!</definedName>
    <definedName name="Xa" localSheetId="6">#REF!</definedName>
    <definedName name="Xa" localSheetId="10">#REF!</definedName>
    <definedName name="Xa">#REF!</definedName>
    <definedName name="Xb" localSheetId="2">#REF!</definedName>
    <definedName name="Xb" localSheetId="4">#REF!</definedName>
    <definedName name="Xb" localSheetId="5">#REF!</definedName>
    <definedName name="Xb" localSheetId="6">#REF!</definedName>
    <definedName name="Xb" localSheetId="10">#REF!</definedName>
    <definedName name="Xb">#REF!</definedName>
    <definedName name="Xc" localSheetId="2">#REF!</definedName>
    <definedName name="Xc" localSheetId="4">#REF!</definedName>
    <definedName name="Xc" localSheetId="5">#REF!</definedName>
    <definedName name="Xc" localSheetId="6">#REF!</definedName>
    <definedName name="Xc">#REF!</definedName>
    <definedName name="XX" localSheetId="2">#REF!</definedName>
    <definedName name="XX" localSheetId="4">#REF!</definedName>
    <definedName name="XX" localSheetId="5">#REF!</definedName>
    <definedName name="XX" localSheetId="6">#REF!</definedName>
    <definedName name="XX">#REF!</definedName>
    <definedName name="Y" localSheetId="2">#REF!</definedName>
    <definedName name="Y" localSheetId="4">#REF!</definedName>
    <definedName name="Y" localSheetId="5">#REF!</definedName>
    <definedName name="Y" localSheetId="6">#REF!</definedName>
    <definedName name="Y">#REF!</definedName>
    <definedName name="Ya" localSheetId="2">#REF!</definedName>
    <definedName name="Ya" localSheetId="4">#REF!</definedName>
    <definedName name="Ya" localSheetId="5">#REF!</definedName>
    <definedName name="Ya" localSheetId="6">#REF!</definedName>
    <definedName name="Ya">#REF!</definedName>
    <definedName name="Yb" localSheetId="2">#REF!</definedName>
    <definedName name="Yb" localSheetId="4">#REF!</definedName>
    <definedName name="Yb" localSheetId="5">#REF!</definedName>
    <definedName name="Yb" localSheetId="6">#REF!</definedName>
    <definedName name="Yb">#REF!</definedName>
    <definedName name="Yc" localSheetId="2">#REF!</definedName>
    <definedName name="Yc" localSheetId="4">#REF!</definedName>
    <definedName name="Yc" localSheetId="5">#REF!</definedName>
    <definedName name="Yc" localSheetId="6">#REF!</definedName>
    <definedName name="Yc">#REF!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4" i="51" l="1"/>
  <c r="D14" i="51"/>
  <c r="C14" i="51"/>
  <c r="B4" i="51"/>
  <c r="AO17" i="48"/>
  <c r="AF17" i="48"/>
  <c r="W17" i="48"/>
  <c r="AO17" i="47"/>
  <c r="AF17" i="47"/>
  <c r="W17" i="47"/>
  <c r="B9" i="51"/>
  <c r="C9" i="51"/>
  <c r="D9" i="51"/>
  <c r="B11" i="51" s="1"/>
  <c r="E9" i="51"/>
  <c r="A12" i="51" l="1"/>
  <c r="A11" i="51"/>
  <c r="L65" i="42"/>
  <c r="N47" i="39"/>
  <c r="C15" i="51" l="1"/>
  <c r="B12" i="51"/>
  <c r="C44" i="39"/>
  <c r="D44" i="39"/>
  <c r="C45" i="39"/>
  <c r="D45" i="39"/>
  <c r="C46" i="39"/>
  <c r="D46" i="39"/>
  <c r="C47" i="39"/>
  <c r="D47" i="39"/>
  <c r="C43" i="39"/>
  <c r="D43" i="39"/>
  <c r="D54" i="39"/>
  <c r="F102" i="39" a="1"/>
  <c r="E103" i="39" a="1"/>
  <c r="N55" i="39"/>
  <c r="E96" i="39" a="1"/>
  <c r="F98" i="39" a="1"/>
  <c r="C55" i="39"/>
  <c r="E98" i="39" a="1"/>
  <c r="C50" i="39"/>
  <c r="E95" i="39" a="1"/>
  <c r="F97" i="39" a="1"/>
  <c r="D50" i="39"/>
  <c r="F101" i="39" a="1"/>
  <c r="E97" i="39" a="1"/>
  <c r="F96" i="39" a="1"/>
  <c r="F103" i="39" a="1"/>
  <c r="D53" i="39"/>
  <c r="N53" i="39"/>
  <c r="C51" i="39"/>
  <c r="E104" i="39" a="1"/>
  <c r="E99" i="39" a="1"/>
  <c r="C54" i="39"/>
  <c r="E102" i="39" a="1"/>
  <c r="N52" i="39"/>
  <c r="N54" i="39"/>
  <c r="C53" i="39"/>
  <c r="C52" i="39"/>
  <c r="N50" i="39"/>
  <c r="F95" i="39" a="1"/>
  <c r="D55" i="39"/>
  <c r="D51" i="39"/>
  <c r="F104" i="39" a="1"/>
  <c r="E100" i="39" a="1"/>
  <c r="N51" i="39"/>
  <c r="F99" i="39" a="1"/>
  <c r="D52" i="39"/>
  <c r="E101" i="39" a="1"/>
  <c r="F100" i="39" a="1"/>
  <c r="E15" i="51" l="1"/>
  <c r="F14" i="51"/>
  <c r="F15" i="51" s="1"/>
  <c r="F95" i="39"/>
  <c r="F107" i="39" s="1"/>
  <c r="E95" i="39"/>
  <c r="E107" i="39" s="1"/>
  <c r="F102" i="39"/>
  <c r="F114" i="39" s="1"/>
  <c r="F103" i="39"/>
  <c r="F115" i="39" s="1"/>
  <c r="F96" i="39"/>
  <c r="F108" i="39" s="1"/>
  <c r="F101" i="39"/>
  <c r="F113" i="39" s="1"/>
  <c r="F100" i="39"/>
  <c r="F112" i="39" s="1"/>
  <c r="F99" i="39"/>
  <c r="F111" i="39" s="1"/>
  <c r="F104" i="39"/>
  <c r="F116" i="39" s="1"/>
  <c r="F98" i="39"/>
  <c r="F110" i="39" s="1"/>
  <c r="F97" i="39"/>
  <c r="F109" i="39" s="1"/>
  <c r="E96" i="39"/>
  <c r="E108" i="39" s="1"/>
  <c r="E102" i="39"/>
  <c r="E114" i="39" s="1"/>
  <c r="E97" i="39"/>
  <c r="E109" i="39" s="1"/>
  <c r="E101" i="39"/>
  <c r="E113" i="39" s="1"/>
  <c r="E100" i="39"/>
  <c r="E112" i="39" s="1"/>
  <c r="E99" i="39"/>
  <c r="E111" i="39" s="1"/>
  <c r="E104" i="39"/>
  <c r="E116" i="39" s="1"/>
  <c r="E98" i="39"/>
  <c r="E110" i="39" s="1"/>
  <c r="E103" i="39"/>
  <c r="E115" i="39" s="1"/>
  <c r="J47" i="39"/>
  <c r="I47" i="39"/>
  <c r="H47" i="39"/>
  <c r="G47" i="39"/>
  <c r="F47" i="39"/>
  <c r="E47" i="39"/>
  <c r="L47" i="39"/>
  <c r="K47" i="39"/>
  <c r="M47" i="39"/>
  <c r="N46" i="39"/>
  <c r="M46" i="39"/>
  <c r="M42" i="39"/>
  <c r="N45" i="39"/>
  <c r="M45" i="39"/>
  <c r="N44" i="39"/>
  <c r="M44" i="39"/>
  <c r="N43" i="39"/>
  <c r="M43" i="39"/>
  <c r="N42" i="39"/>
  <c r="B42" i="39" a="1"/>
  <c r="B42" i="39" s="1"/>
  <c r="A42" i="39" a="1"/>
  <c r="A42" i="39" s="1"/>
  <c r="E23" i="39"/>
  <c r="F23" i="39"/>
  <c r="G23" i="39"/>
  <c r="M54" i="39"/>
  <c r="M51" i="39"/>
  <c r="M50" i="39"/>
  <c r="M55" i="39"/>
  <c r="M52" i="39"/>
  <c r="M53" i="39"/>
  <c r="D15" i="51" l="1"/>
  <c r="AA108" i="47"/>
  <c r="Z108" i="47"/>
  <c r="Q108" i="47"/>
  <c r="U23" i="47" l="1"/>
  <c r="T23" i="47"/>
  <c r="S23" i="47"/>
  <c r="R23" i="47"/>
  <c r="Q23" i="47"/>
  <c r="N23" i="47"/>
  <c r="M23" i="47"/>
  <c r="L23" i="47"/>
  <c r="K23" i="47"/>
  <c r="J23" i="47"/>
  <c r="I23" i="47"/>
  <c r="H23" i="47"/>
  <c r="G23" i="47"/>
  <c r="B15" i="47"/>
  <c r="A23" i="48" l="1"/>
  <c r="AH22" i="48"/>
  <c r="Y22" i="48"/>
  <c r="P22" i="48"/>
  <c r="D22" i="48"/>
  <c r="B22" i="48"/>
  <c r="B16" i="48"/>
  <c r="B15" i="48"/>
  <c r="B17" i="48" s="1"/>
  <c r="B14" i="48"/>
  <c r="B13" i="48"/>
  <c r="F9" i="48"/>
  <c r="G8" i="48"/>
  <c r="H8" i="48" s="1"/>
  <c r="G7" i="48"/>
  <c r="H7" i="48" s="1"/>
  <c r="G6" i="48"/>
  <c r="H6" i="48" s="1"/>
  <c r="A23" i="47"/>
  <c r="A24" i="47" s="1"/>
  <c r="AM24" i="47" s="1"/>
  <c r="AH22" i="47"/>
  <c r="Y22" i="47"/>
  <c r="P22" i="47"/>
  <c r="D22" i="47"/>
  <c r="B22" i="47"/>
  <c r="B16" i="47"/>
  <c r="B17" i="47"/>
  <c r="B14" i="47"/>
  <c r="B13" i="47"/>
  <c r="F9" i="47"/>
  <c r="G8" i="47"/>
  <c r="H8" i="47" s="1"/>
  <c r="G7" i="47"/>
  <c r="H7" i="47" s="1"/>
  <c r="G6" i="47"/>
  <c r="C22" i="47" l="1"/>
  <c r="C22" i="48"/>
  <c r="AM23" i="48"/>
  <c r="AI23" i="48"/>
  <c r="AD23" i="48"/>
  <c r="AF23" i="48" s="1"/>
  <c r="Z23" i="48"/>
  <c r="U23" i="48"/>
  <c r="W23" i="48" s="1"/>
  <c r="Q23" i="48"/>
  <c r="A24" i="48"/>
  <c r="G23" i="48"/>
  <c r="AO23" i="48"/>
  <c r="F23" i="48"/>
  <c r="B23" i="48"/>
  <c r="C23" i="48" s="1"/>
  <c r="J23" i="48" s="1"/>
  <c r="K23" i="48" s="1"/>
  <c r="E23" i="48"/>
  <c r="Z23" i="47"/>
  <c r="AD23" i="47"/>
  <c r="AF23" i="47" s="1"/>
  <c r="AI23" i="47"/>
  <c r="AM23" i="47"/>
  <c r="AO23" i="47" s="1"/>
  <c r="B24" i="47"/>
  <c r="C24" i="47" s="1"/>
  <c r="J24" i="47" s="1"/>
  <c r="K24" i="47" s="1"/>
  <c r="W24" i="47"/>
  <c r="AO24" i="47"/>
  <c r="E23" i="47"/>
  <c r="A25" i="47"/>
  <c r="H6" i="47"/>
  <c r="B23" i="47"/>
  <c r="C23" i="47" s="1"/>
  <c r="F23" i="47"/>
  <c r="W23" i="47"/>
  <c r="U24" i="47"/>
  <c r="AD24" i="47"/>
  <c r="AF24" i="47" s="1"/>
  <c r="I23" i="48" l="1"/>
  <c r="L23" i="48" s="1"/>
  <c r="M23" i="48" s="1"/>
  <c r="H23" i="48"/>
  <c r="B24" i="48"/>
  <c r="AM24" i="48"/>
  <c r="AO24" i="48" s="1"/>
  <c r="AD24" i="48"/>
  <c r="AF24" i="48" s="1"/>
  <c r="U24" i="48"/>
  <c r="W24" i="48" s="1"/>
  <c r="A25" i="48"/>
  <c r="C24" i="48"/>
  <c r="J24" i="48" s="1"/>
  <c r="K24" i="48" s="1"/>
  <c r="B25" i="47"/>
  <c r="C25" i="47" s="1"/>
  <c r="J25" i="47" s="1"/>
  <c r="K25" i="47" s="1"/>
  <c r="AM25" i="47"/>
  <c r="AO25" i="47" s="1"/>
  <c r="AD25" i="47"/>
  <c r="AF25" i="47" s="1"/>
  <c r="U25" i="47"/>
  <c r="W25" i="47" s="1"/>
  <c r="A26" i="47"/>
  <c r="D23" i="48" l="1"/>
  <c r="F24" i="48" s="1"/>
  <c r="AM25" i="48"/>
  <c r="AO25" i="48" s="1"/>
  <c r="AD25" i="48"/>
  <c r="AF25" i="48" s="1"/>
  <c r="U25" i="48"/>
  <c r="W25" i="48" s="1"/>
  <c r="A26" i="48"/>
  <c r="B25" i="48"/>
  <c r="C25" i="48" s="1"/>
  <c r="J25" i="48" s="1"/>
  <c r="K25" i="48" s="1"/>
  <c r="N23" i="48"/>
  <c r="R23" i="48" s="1"/>
  <c r="AM26" i="47"/>
  <c r="AO26" i="47" s="1"/>
  <c r="AD26" i="47"/>
  <c r="AF26" i="47" s="1"/>
  <c r="U26" i="47"/>
  <c r="W26" i="47" s="1"/>
  <c r="A27" i="47"/>
  <c r="C26" i="47"/>
  <c r="J26" i="47" s="1"/>
  <c r="K26" i="47" s="1"/>
  <c r="B26" i="47"/>
  <c r="D23" i="47"/>
  <c r="G24" i="48" l="1"/>
  <c r="H24" i="48" s="1"/>
  <c r="E24" i="48"/>
  <c r="I24" i="48" s="1"/>
  <c r="B26" i="48"/>
  <c r="C26" i="48" s="1"/>
  <c r="J26" i="48" s="1"/>
  <c r="K26" i="48" s="1"/>
  <c r="AM26" i="48"/>
  <c r="AO26" i="48" s="1"/>
  <c r="AD26" i="48"/>
  <c r="AF26" i="48" s="1"/>
  <c r="U26" i="48"/>
  <c r="W26" i="48" s="1"/>
  <c r="A27" i="48"/>
  <c r="P23" i="48"/>
  <c r="S23" i="48"/>
  <c r="T23" i="48" s="1"/>
  <c r="G24" i="47"/>
  <c r="F24" i="47"/>
  <c r="H24" i="47" s="1"/>
  <c r="E24" i="47"/>
  <c r="B27" i="47"/>
  <c r="AM27" i="47"/>
  <c r="AO27" i="47" s="1"/>
  <c r="AD27" i="47"/>
  <c r="AF27" i="47" s="1"/>
  <c r="U27" i="47"/>
  <c r="W27" i="47" s="1"/>
  <c r="A28" i="47"/>
  <c r="C27" i="47"/>
  <c r="J27" i="47" s="1"/>
  <c r="K27" i="47" s="1"/>
  <c r="AM27" i="48" l="1"/>
  <c r="AO27" i="48" s="1"/>
  <c r="AD27" i="48"/>
  <c r="AF27" i="48" s="1"/>
  <c r="U27" i="48"/>
  <c r="A28" i="48"/>
  <c r="W27" i="48"/>
  <c r="B27" i="48"/>
  <c r="C27" i="48" s="1"/>
  <c r="J27" i="48" s="1"/>
  <c r="K27" i="48" s="1"/>
  <c r="AA23" i="48"/>
  <c r="Q24" i="48"/>
  <c r="L24" i="48"/>
  <c r="M24" i="48" s="1"/>
  <c r="AM28" i="47"/>
  <c r="AO28" i="47" s="1"/>
  <c r="AD28" i="47"/>
  <c r="AF28" i="47" s="1"/>
  <c r="U28" i="47"/>
  <c r="W28" i="47" s="1"/>
  <c r="A29" i="47"/>
  <c r="B28" i="47"/>
  <c r="C28" i="47" s="1"/>
  <c r="J28" i="47" s="1"/>
  <c r="K28" i="47" s="1"/>
  <c r="P23" i="47"/>
  <c r="I24" i="47"/>
  <c r="N24" i="48" l="1"/>
  <c r="B28" i="48"/>
  <c r="C28" i="48" s="1"/>
  <c r="J28" i="48" s="1"/>
  <c r="K28" i="48" s="1"/>
  <c r="AM28" i="48"/>
  <c r="AO28" i="48" s="1"/>
  <c r="AD28" i="48"/>
  <c r="AF28" i="48" s="1"/>
  <c r="U28" i="48"/>
  <c r="W28" i="48" s="1"/>
  <c r="A29" i="48"/>
  <c r="D24" i="48"/>
  <c r="AB23" i="48"/>
  <c r="AC23" i="48" s="1"/>
  <c r="Y23" i="48"/>
  <c r="Q24" i="47"/>
  <c r="AA23" i="47"/>
  <c r="L24" i="47"/>
  <c r="M24" i="47" s="1"/>
  <c r="B29" i="47"/>
  <c r="AM29" i="47"/>
  <c r="AO29" i="47" s="1"/>
  <c r="AD29" i="47"/>
  <c r="AF29" i="47" s="1"/>
  <c r="U29" i="47"/>
  <c r="W29" i="47" s="1"/>
  <c r="A30" i="47"/>
  <c r="C29" i="47"/>
  <c r="J29" i="47" s="1"/>
  <c r="K29" i="47" s="1"/>
  <c r="D24" i="47" l="1"/>
  <c r="AJ23" i="48"/>
  <c r="Z24" i="48"/>
  <c r="F25" i="48"/>
  <c r="G25" i="48"/>
  <c r="E25" i="48"/>
  <c r="AM29" i="48"/>
  <c r="AO29" i="48" s="1"/>
  <c r="AD29" i="48"/>
  <c r="U29" i="48"/>
  <c r="A30" i="48"/>
  <c r="AF29" i="48"/>
  <c r="W29" i="48"/>
  <c r="B29" i="48"/>
  <c r="C29" i="48" s="1"/>
  <c r="J29" i="48" s="1"/>
  <c r="K29" i="48" s="1"/>
  <c r="AM30" i="47"/>
  <c r="AD30" i="47"/>
  <c r="U30" i="47"/>
  <c r="A31" i="47"/>
  <c r="AO30" i="47"/>
  <c r="AF30" i="47"/>
  <c r="W30" i="47"/>
  <c r="B30" i="47"/>
  <c r="C30" i="47" s="1"/>
  <c r="J30" i="47" s="1"/>
  <c r="K30" i="47" s="1"/>
  <c r="G25" i="47"/>
  <c r="F25" i="47"/>
  <c r="E25" i="47"/>
  <c r="Y23" i="47"/>
  <c r="AB23" i="47"/>
  <c r="AC23" i="47" s="1"/>
  <c r="N24" i="47"/>
  <c r="R24" i="47" s="1"/>
  <c r="P24" i="47" s="1"/>
  <c r="H25" i="47" l="1"/>
  <c r="B30" i="48"/>
  <c r="C30" i="48" s="1"/>
  <c r="J30" i="48" s="1"/>
  <c r="K30" i="48" s="1"/>
  <c r="AM30" i="48"/>
  <c r="AO30" i="48" s="1"/>
  <c r="AD30" i="48"/>
  <c r="AF30" i="48" s="1"/>
  <c r="U30" i="48"/>
  <c r="W30" i="48" s="1"/>
  <c r="A31" i="48"/>
  <c r="I25" i="48"/>
  <c r="H25" i="48"/>
  <c r="AH23" i="48"/>
  <c r="AK23" i="48"/>
  <c r="AL23" i="48" s="1"/>
  <c r="Z24" i="47"/>
  <c r="AJ23" i="47"/>
  <c r="AA24" i="47"/>
  <c r="Y24" i="47" s="1"/>
  <c r="Q25" i="47"/>
  <c r="I25" i="47"/>
  <c r="S24" i="47"/>
  <c r="T24" i="47" s="1"/>
  <c r="B31" i="47"/>
  <c r="AM31" i="47"/>
  <c r="AO31" i="47" s="1"/>
  <c r="AD31" i="47"/>
  <c r="AF31" i="47" s="1"/>
  <c r="U31" i="47"/>
  <c r="W31" i="47" s="1"/>
  <c r="A32" i="47"/>
  <c r="C31" i="47"/>
  <c r="J31" i="47" s="1"/>
  <c r="K31" i="47" s="1"/>
  <c r="AI24" i="48" l="1"/>
  <c r="AM31" i="48"/>
  <c r="AO31" i="48" s="1"/>
  <c r="AD31" i="48"/>
  <c r="AF31" i="48" s="1"/>
  <c r="U31" i="48"/>
  <c r="W31" i="48" s="1"/>
  <c r="A32" i="48"/>
  <c r="B31" i="48"/>
  <c r="C31" i="48" s="1"/>
  <c r="J31" i="48" s="1"/>
  <c r="K31" i="48" s="1"/>
  <c r="L25" i="48"/>
  <c r="M25" i="48" s="1"/>
  <c r="AJ24" i="47"/>
  <c r="Z25" i="47"/>
  <c r="L25" i="47"/>
  <c r="M25" i="47" s="1"/>
  <c r="D25" i="47"/>
  <c r="AM32" i="47"/>
  <c r="AD32" i="47"/>
  <c r="U32" i="47"/>
  <c r="A33" i="47"/>
  <c r="AO32" i="47"/>
  <c r="AF32" i="47"/>
  <c r="W32" i="47"/>
  <c r="B32" i="47"/>
  <c r="C32" i="47" s="1"/>
  <c r="J32" i="47" s="1"/>
  <c r="K32" i="47" s="1"/>
  <c r="AH23" i="47"/>
  <c r="AK23" i="47"/>
  <c r="AL23" i="47" s="1"/>
  <c r="AB24" i="47"/>
  <c r="AC24" i="47" s="1"/>
  <c r="N25" i="47" l="1"/>
  <c r="R25" i="47" s="1"/>
  <c r="D25" i="48"/>
  <c r="F26" i="48" s="1"/>
  <c r="N25" i="48"/>
  <c r="R24" i="48"/>
  <c r="B32" i="48"/>
  <c r="AM32" i="48"/>
  <c r="AO32" i="48" s="1"/>
  <c r="AD32" i="48"/>
  <c r="AF32" i="48" s="1"/>
  <c r="U32" i="48"/>
  <c r="W32" i="48" s="1"/>
  <c r="A33" i="48"/>
  <c r="C32" i="48"/>
  <c r="J32" i="48" s="1"/>
  <c r="K32" i="48" s="1"/>
  <c r="B33" i="47"/>
  <c r="C33" i="47" s="1"/>
  <c r="J33" i="47" s="1"/>
  <c r="K33" i="47" s="1"/>
  <c r="AM33" i="47"/>
  <c r="AO33" i="47" s="1"/>
  <c r="AD33" i="47"/>
  <c r="AF33" i="47" s="1"/>
  <c r="U33" i="47"/>
  <c r="W33" i="47" s="1"/>
  <c r="A34" i="47"/>
  <c r="AH24" i="47"/>
  <c r="AI24" i="47"/>
  <c r="AK24" i="47" s="1"/>
  <c r="AL24" i="47" s="1"/>
  <c r="G26" i="47"/>
  <c r="F26" i="47"/>
  <c r="E26" i="47"/>
  <c r="H26" i="47" l="1"/>
  <c r="P25" i="47"/>
  <c r="S25" i="47"/>
  <c r="T25" i="47" s="1"/>
  <c r="E26" i="48"/>
  <c r="G26" i="48"/>
  <c r="H26" i="48"/>
  <c r="P24" i="48"/>
  <c r="S24" i="48"/>
  <c r="T24" i="48" s="1"/>
  <c r="I26" i="48"/>
  <c r="AM33" i="48"/>
  <c r="AD33" i="48"/>
  <c r="U33" i="48"/>
  <c r="W33" i="48" s="1"/>
  <c r="A34" i="48"/>
  <c r="AO33" i="48"/>
  <c r="AF33" i="48"/>
  <c r="B33" i="48"/>
  <c r="C33" i="48" s="1"/>
  <c r="J33" i="48" s="1"/>
  <c r="K33" i="48" s="1"/>
  <c r="AI25" i="47"/>
  <c r="I26" i="47"/>
  <c r="AM34" i="47"/>
  <c r="AO34" i="47" s="1"/>
  <c r="AD34" i="47"/>
  <c r="AF34" i="47" s="1"/>
  <c r="U34" i="47"/>
  <c r="W34" i="47" s="1"/>
  <c r="A35" i="47"/>
  <c r="B34" i="47"/>
  <c r="C34" i="47" s="1"/>
  <c r="J34" i="47" s="1"/>
  <c r="K34" i="47" s="1"/>
  <c r="AA25" i="47" l="1"/>
  <c r="Q26" i="47"/>
  <c r="L26" i="48"/>
  <c r="M26" i="48" s="1"/>
  <c r="B34" i="48"/>
  <c r="AM34" i="48"/>
  <c r="AO34" i="48" s="1"/>
  <c r="AD34" i="48"/>
  <c r="AF34" i="48" s="1"/>
  <c r="U34" i="48"/>
  <c r="W34" i="48" s="1"/>
  <c r="C34" i="48"/>
  <c r="J34" i="48" s="1"/>
  <c r="K34" i="48" s="1"/>
  <c r="A35" i="48"/>
  <c r="AA24" i="48"/>
  <c r="Q25" i="48"/>
  <c r="L26" i="47"/>
  <c r="N26" i="47" s="1"/>
  <c r="R26" i="47" s="1"/>
  <c r="B35" i="47"/>
  <c r="AM35" i="47"/>
  <c r="AO35" i="47" s="1"/>
  <c r="AD35" i="47"/>
  <c r="AF35" i="47" s="1"/>
  <c r="U35" i="47"/>
  <c r="W35" i="47" s="1"/>
  <c r="A36" i="47"/>
  <c r="C35" i="47"/>
  <c r="J35" i="47" s="1"/>
  <c r="K35" i="47" s="1"/>
  <c r="M26" i="47" l="1"/>
  <c r="Y25" i="47"/>
  <c r="AB25" i="47"/>
  <c r="AC25" i="47" s="1"/>
  <c r="AM35" i="48"/>
  <c r="AD35" i="48"/>
  <c r="U35" i="48"/>
  <c r="A36" i="48"/>
  <c r="AO35" i="48"/>
  <c r="AF35" i="48"/>
  <c r="W35" i="48"/>
  <c r="B35" i="48"/>
  <c r="C35" i="48" s="1"/>
  <c r="J35" i="48" s="1"/>
  <c r="K35" i="48" s="1"/>
  <c r="D26" i="48"/>
  <c r="Y24" i="48"/>
  <c r="AB24" i="48"/>
  <c r="AC24" i="48" s="1"/>
  <c r="N26" i="48"/>
  <c r="P26" i="47"/>
  <c r="S26" i="47"/>
  <c r="T26" i="47" s="1"/>
  <c r="AM36" i="47"/>
  <c r="AD36" i="47"/>
  <c r="U36" i="47"/>
  <c r="A37" i="47"/>
  <c r="AO36" i="47"/>
  <c r="AF36" i="47"/>
  <c r="W36" i="47"/>
  <c r="B36" i="47"/>
  <c r="C36" i="47" s="1"/>
  <c r="J36" i="47" s="1"/>
  <c r="K36" i="47" s="1"/>
  <c r="D26" i="47"/>
  <c r="AJ25" i="47" l="1"/>
  <c r="Z26" i="47"/>
  <c r="F27" i="48"/>
  <c r="G27" i="48"/>
  <c r="E27" i="48"/>
  <c r="B36" i="48"/>
  <c r="C36" i="48" s="1"/>
  <c r="J36" i="48" s="1"/>
  <c r="K36" i="48" s="1"/>
  <c r="AM36" i="48"/>
  <c r="AO36" i="48" s="1"/>
  <c r="AD36" i="48"/>
  <c r="AF36" i="48" s="1"/>
  <c r="U36" i="48"/>
  <c r="W36" i="48" s="1"/>
  <c r="A37" i="48"/>
  <c r="AJ24" i="48"/>
  <c r="Z25" i="48"/>
  <c r="F27" i="47"/>
  <c r="G27" i="47"/>
  <c r="E27" i="47"/>
  <c r="B37" i="47"/>
  <c r="AM37" i="47"/>
  <c r="AO37" i="47" s="1"/>
  <c r="AD37" i="47"/>
  <c r="AF37" i="47" s="1"/>
  <c r="U37" i="47"/>
  <c r="W37" i="47" s="1"/>
  <c r="A38" i="47"/>
  <c r="C37" i="47"/>
  <c r="J37" i="47" s="1"/>
  <c r="K37" i="47" s="1"/>
  <c r="AA26" i="47"/>
  <c r="Q27" i="47"/>
  <c r="H27" i="47" l="1"/>
  <c r="AH25" i="47"/>
  <c r="AI26" i="47" s="1"/>
  <c r="AK25" i="47"/>
  <c r="AL25" i="47" s="1"/>
  <c r="AH24" i="48"/>
  <c r="AK24" i="48"/>
  <c r="AL24" i="48" s="1"/>
  <c r="H27" i="48"/>
  <c r="AM37" i="48"/>
  <c r="AO37" i="48" s="1"/>
  <c r="AD37" i="48"/>
  <c r="U37" i="48"/>
  <c r="W37" i="48" s="1"/>
  <c r="A38" i="48"/>
  <c r="AF37" i="48"/>
  <c r="B37" i="48"/>
  <c r="C37" i="48" s="1"/>
  <c r="J37" i="48" s="1"/>
  <c r="K37" i="48" s="1"/>
  <c r="I27" i="48"/>
  <c r="AM38" i="47"/>
  <c r="AD38" i="47"/>
  <c r="U38" i="47"/>
  <c r="A39" i="47"/>
  <c r="AO38" i="47"/>
  <c r="AF38" i="47"/>
  <c r="W38" i="47"/>
  <c r="B38" i="47"/>
  <c r="C38" i="47" s="1"/>
  <c r="J38" i="47" s="1"/>
  <c r="K38" i="47" s="1"/>
  <c r="I27" i="47"/>
  <c r="Y26" i="47"/>
  <c r="AB26" i="47"/>
  <c r="AC26" i="47" s="1"/>
  <c r="L27" i="48" l="1"/>
  <c r="N27" i="48" s="1"/>
  <c r="B38" i="48"/>
  <c r="AM38" i="48"/>
  <c r="AO38" i="48" s="1"/>
  <c r="AD38" i="48"/>
  <c r="AF38" i="48" s="1"/>
  <c r="U38" i="48"/>
  <c r="W38" i="48" s="1"/>
  <c r="A39" i="48"/>
  <c r="C38" i="48"/>
  <c r="J38" i="48" s="1"/>
  <c r="K38" i="48" s="1"/>
  <c r="AI25" i="48"/>
  <c r="B39" i="47"/>
  <c r="C39" i="47" s="1"/>
  <c r="J39" i="47" s="1"/>
  <c r="K39" i="47" s="1"/>
  <c r="AM39" i="47"/>
  <c r="AO39" i="47" s="1"/>
  <c r="AD39" i="47"/>
  <c r="AF39" i="47" s="1"/>
  <c r="U39" i="47"/>
  <c r="W39" i="47" s="1"/>
  <c r="A40" i="47"/>
  <c r="L27" i="47"/>
  <c r="M27" i="47" s="1"/>
  <c r="AJ26" i="47"/>
  <c r="Z27" i="47"/>
  <c r="M27" i="48" l="1"/>
  <c r="D27" i="48"/>
  <c r="AM39" i="48"/>
  <c r="AD39" i="48"/>
  <c r="U39" i="48"/>
  <c r="A40" i="48"/>
  <c r="AO39" i="48"/>
  <c r="AF39" i="48"/>
  <c r="W39" i="48"/>
  <c r="B39" i="48"/>
  <c r="C39" i="48" s="1"/>
  <c r="J39" i="48" s="1"/>
  <c r="K39" i="48" s="1"/>
  <c r="R25" i="48"/>
  <c r="AH26" i="47"/>
  <c r="AK26" i="47"/>
  <c r="AL26" i="47" s="1"/>
  <c r="N27" i="47"/>
  <c r="R27" i="47" s="1"/>
  <c r="D27" i="47"/>
  <c r="AM40" i="47"/>
  <c r="AO40" i="47" s="1"/>
  <c r="AD40" i="47"/>
  <c r="U40" i="47"/>
  <c r="W40" i="47" s="1"/>
  <c r="A41" i="47"/>
  <c r="AF40" i="47"/>
  <c r="B40" i="47"/>
  <c r="C40" i="47" s="1"/>
  <c r="J40" i="47" s="1"/>
  <c r="K40" i="47" s="1"/>
  <c r="B40" i="48" l="1"/>
  <c r="C40" i="48" s="1"/>
  <c r="J40" i="48" s="1"/>
  <c r="K40" i="48" s="1"/>
  <c r="AM40" i="48"/>
  <c r="AO40" i="48" s="1"/>
  <c r="AD40" i="48"/>
  <c r="AF40" i="48" s="1"/>
  <c r="U40" i="48"/>
  <c r="W40" i="48" s="1"/>
  <c r="A41" i="48"/>
  <c r="F28" i="48"/>
  <c r="G28" i="48"/>
  <c r="E28" i="48"/>
  <c r="P25" i="48"/>
  <c r="S25" i="48"/>
  <c r="T25" i="48" s="1"/>
  <c r="B41" i="47"/>
  <c r="C41" i="47" s="1"/>
  <c r="J41" i="47" s="1"/>
  <c r="K41" i="47" s="1"/>
  <c r="AM41" i="47"/>
  <c r="AO41" i="47" s="1"/>
  <c r="AD41" i="47"/>
  <c r="AF41" i="47" s="1"/>
  <c r="U41" i="47"/>
  <c r="W41" i="47" s="1"/>
  <c r="A42" i="47"/>
  <c r="P27" i="47"/>
  <c r="S27" i="47"/>
  <c r="T27" i="47" s="1"/>
  <c r="G28" i="47"/>
  <c r="F28" i="47"/>
  <c r="E28" i="47"/>
  <c r="AI27" i="47"/>
  <c r="AA25" i="48" l="1"/>
  <c r="Q26" i="48"/>
  <c r="I28" i="48"/>
  <c r="H28" i="48"/>
  <c r="AM41" i="48"/>
  <c r="AO41" i="48" s="1"/>
  <c r="AD41" i="48"/>
  <c r="AF41" i="48" s="1"/>
  <c r="U41" i="48"/>
  <c r="W41" i="48" s="1"/>
  <c r="A42" i="48"/>
  <c r="B41" i="48"/>
  <c r="C41" i="48" s="1"/>
  <c r="J41" i="48" s="1"/>
  <c r="K41" i="48" s="1"/>
  <c r="AA27" i="47"/>
  <c r="Q28" i="47"/>
  <c r="I28" i="47"/>
  <c r="H28" i="47"/>
  <c r="AM42" i="47"/>
  <c r="AD42" i="47"/>
  <c r="U42" i="47"/>
  <c r="A43" i="47"/>
  <c r="AO42" i="47"/>
  <c r="AF42" i="47"/>
  <c r="W42" i="47"/>
  <c r="B42" i="47"/>
  <c r="C42" i="47" s="1"/>
  <c r="J42" i="47" s="1"/>
  <c r="K42" i="47" s="1"/>
  <c r="L28" i="48" l="1"/>
  <c r="N28" i="48" s="1"/>
  <c r="B42" i="48"/>
  <c r="AM42" i="48"/>
  <c r="AO42" i="48" s="1"/>
  <c r="AD42" i="48"/>
  <c r="AF42" i="48" s="1"/>
  <c r="U42" i="48"/>
  <c r="W42" i="48" s="1"/>
  <c r="C42" i="48"/>
  <c r="J42" i="48" s="1"/>
  <c r="K42" i="48" s="1"/>
  <c r="A43" i="48"/>
  <c r="Y25" i="48"/>
  <c r="AB25" i="48"/>
  <c r="AC25" i="48" s="1"/>
  <c r="L28" i="47"/>
  <c r="N28" i="47" s="1"/>
  <c r="R28" i="47" s="1"/>
  <c r="Y27" i="47"/>
  <c r="AB27" i="47"/>
  <c r="AC27" i="47" s="1"/>
  <c r="B43" i="47"/>
  <c r="AM43" i="47"/>
  <c r="AO43" i="47" s="1"/>
  <c r="AD43" i="47"/>
  <c r="AF43" i="47" s="1"/>
  <c r="U43" i="47"/>
  <c r="W43" i="47" s="1"/>
  <c r="A44" i="47"/>
  <c r="C43" i="47"/>
  <c r="J43" i="47" s="1"/>
  <c r="K43" i="47" s="1"/>
  <c r="D28" i="47" l="1"/>
  <c r="M28" i="47"/>
  <c r="M28" i="48"/>
  <c r="AM43" i="48"/>
  <c r="AO43" i="48" s="1"/>
  <c r="AD43" i="48"/>
  <c r="AF43" i="48" s="1"/>
  <c r="U43" i="48"/>
  <c r="W43" i="48" s="1"/>
  <c r="A44" i="48"/>
  <c r="B43" i="48"/>
  <c r="C43" i="48" s="1"/>
  <c r="J43" i="48" s="1"/>
  <c r="K43" i="48" s="1"/>
  <c r="AJ25" i="48"/>
  <c r="Z26" i="48"/>
  <c r="D28" i="48"/>
  <c r="P28" i="47"/>
  <c r="S28" i="47"/>
  <c r="T28" i="47" s="1"/>
  <c r="AJ27" i="47"/>
  <c r="Z28" i="47"/>
  <c r="AM44" i="47"/>
  <c r="AD44" i="47"/>
  <c r="U44" i="47"/>
  <c r="A45" i="47"/>
  <c r="AO44" i="47"/>
  <c r="AF44" i="47"/>
  <c r="W44" i="47"/>
  <c r="B44" i="47"/>
  <c r="C44" i="47" s="1"/>
  <c r="J44" i="47" s="1"/>
  <c r="K44" i="47" s="1"/>
  <c r="F29" i="47"/>
  <c r="G29" i="47"/>
  <c r="E29" i="47"/>
  <c r="AH25" i="48" l="1"/>
  <c r="AK25" i="48"/>
  <c r="AL25" i="48" s="1"/>
  <c r="F29" i="48"/>
  <c r="G29" i="48"/>
  <c r="E29" i="48"/>
  <c r="B44" i="48"/>
  <c r="C44" i="48" s="1"/>
  <c r="J44" i="48" s="1"/>
  <c r="K44" i="48" s="1"/>
  <c r="AM44" i="48"/>
  <c r="AO44" i="48" s="1"/>
  <c r="AD44" i="48"/>
  <c r="AF44" i="48" s="1"/>
  <c r="U44" i="48"/>
  <c r="W44" i="48" s="1"/>
  <c r="A45" i="48"/>
  <c r="I29" i="47"/>
  <c r="AF45" i="47"/>
  <c r="B45" i="47"/>
  <c r="AM45" i="47"/>
  <c r="AO45" i="47" s="1"/>
  <c r="AD45" i="47"/>
  <c r="U45" i="47"/>
  <c r="W45" i="47" s="1"/>
  <c r="A46" i="47"/>
  <c r="C45" i="47"/>
  <c r="J45" i="47" s="1"/>
  <c r="K45" i="47" s="1"/>
  <c r="AH27" i="47"/>
  <c r="AK27" i="47"/>
  <c r="AL27" i="47" s="1"/>
  <c r="H29" i="47"/>
  <c r="AA28" i="47"/>
  <c r="Y28" i="47" s="1"/>
  <c r="Q29" i="47"/>
  <c r="AB28" i="47" l="1"/>
  <c r="AC28" i="47" s="1"/>
  <c r="H29" i="48"/>
  <c r="AM45" i="48"/>
  <c r="AO45" i="48" s="1"/>
  <c r="AD45" i="48"/>
  <c r="AF45" i="48" s="1"/>
  <c r="U45" i="48"/>
  <c r="A46" i="48"/>
  <c r="W45" i="48"/>
  <c r="B45" i="48"/>
  <c r="C45" i="48" s="1"/>
  <c r="J45" i="48" s="1"/>
  <c r="K45" i="48" s="1"/>
  <c r="I29" i="48"/>
  <c r="AI26" i="48"/>
  <c r="AJ28" i="47"/>
  <c r="AH28" i="47" s="1"/>
  <c r="Z29" i="47"/>
  <c r="AM46" i="47"/>
  <c r="AO46" i="47" s="1"/>
  <c r="AD46" i="47"/>
  <c r="AF46" i="47" s="1"/>
  <c r="U46" i="47"/>
  <c r="A47" i="47"/>
  <c r="W46" i="47"/>
  <c r="B46" i="47"/>
  <c r="C46" i="47" s="1"/>
  <c r="J46" i="47" s="1"/>
  <c r="K46" i="47" s="1"/>
  <c r="AI28" i="47"/>
  <c r="L29" i="47"/>
  <c r="M29" i="47" s="1"/>
  <c r="D29" i="47" l="1"/>
  <c r="N29" i="47"/>
  <c r="R29" i="47" s="1"/>
  <c r="P29" i="47" s="1"/>
  <c r="AA29" i="47" s="1"/>
  <c r="Y29" i="47" s="1"/>
  <c r="AK28" i="47"/>
  <c r="AL28" i="47" s="1"/>
  <c r="L29" i="48"/>
  <c r="N29" i="48" s="1"/>
  <c r="B46" i="48"/>
  <c r="C46" i="48" s="1"/>
  <c r="J46" i="48" s="1"/>
  <c r="K46" i="48" s="1"/>
  <c r="AM46" i="48"/>
  <c r="AO46" i="48" s="1"/>
  <c r="AD46" i="48"/>
  <c r="AF46" i="48" s="1"/>
  <c r="U46" i="48"/>
  <c r="W46" i="48" s="1"/>
  <c r="A47" i="48"/>
  <c r="R26" i="48"/>
  <c r="G30" i="47"/>
  <c r="F30" i="47"/>
  <c r="H30" i="47" s="1"/>
  <c r="E30" i="47"/>
  <c r="AI29" i="47"/>
  <c r="B47" i="47"/>
  <c r="C47" i="47" s="1"/>
  <c r="J47" i="47" s="1"/>
  <c r="K47" i="47" s="1"/>
  <c r="AM47" i="47"/>
  <c r="AO47" i="47" s="1"/>
  <c r="AD47" i="47"/>
  <c r="AF47" i="47" s="1"/>
  <c r="U47" i="47"/>
  <c r="W47" i="47" s="1"/>
  <c r="A48" i="47"/>
  <c r="Q30" i="47" l="1"/>
  <c r="AB29" i="47"/>
  <c r="AC29" i="47" s="1"/>
  <c r="S29" i="47"/>
  <c r="T29" i="47" s="1"/>
  <c r="M29" i="48"/>
  <c r="D29" i="48"/>
  <c r="P26" i="48"/>
  <c r="S26" i="48"/>
  <c r="T26" i="48" s="1"/>
  <c r="AM47" i="48"/>
  <c r="AO47" i="48" s="1"/>
  <c r="AD47" i="48"/>
  <c r="U47" i="48"/>
  <c r="A48" i="48"/>
  <c r="AF47" i="48"/>
  <c r="W47" i="48"/>
  <c r="B47" i="48"/>
  <c r="C47" i="48" s="1"/>
  <c r="J47" i="48" s="1"/>
  <c r="K47" i="48" s="1"/>
  <c r="I30" i="47"/>
  <c r="AM48" i="47"/>
  <c r="AD48" i="47"/>
  <c r="U48" i="47"/>
  <c r="A49" i="47"/>
  <c r="AO48" i="47"/>
  <c r="AF48" i="47"/>
  <c r="W48" i="47"/>
  <c r="B48" i="47"/>
  <c r="C48" i="47" s="1"/>
  <c r="J48" i="47" s="1"/>
  <c r="K48" i="47" s="1"/>
  <c r="AJ29" i="47"/>
  <c r="AH29" i="47" s="1"/>
  <c r="Z30" i="47"/>
  <c r="AK29" i="47" l="1"/>
  <c r="AL29" i="47" s="1"/>
  <c r="AA26" i="48"/>
  <c r="Q27" i="48"/>
  <c r="B48" i="48"/>
  <c r="C48" i="48" s="1"/>
  <c r="J48" i="48" s="1"/>
  <c r="K48" i="48" s="1"/>
  <c r="AM48" i="48"/>
  <c r="AO48" i="48" s="1"/>
  <c r="AD48" i="48"/>
  <c r="AF48" i="48" s="1"/>
  <c r="U48" i="48"/>
  <c r="W48" i="48" s="1"/>
  <c r="A49" i="48"/>
  <c r="F30" i="48"/>
  <c r="G30" i="48"/>
  <c r="E30" i="48"/>
  <c r="B49" i="47"/>
  <c r="C49" i="47" s="1"/>
  <c r="J49" i="47" s="1"/>
  <c r="K49" i="47" s="1"/>
  <c r="AM49" i="47"/>
  <c r="AO49" i="47" s="1"/>
  <c r="AD49" i="47"/>
  <c r="AF49" i="47" s="1"/>
  <c r="U49" i="47"/>
  <c r="W49" i="47" s="1"/>
  <c r="A50" i="47"/>
  <c r="AI30" i="47"/>
  <c r="L30" i="47"/>
  <c r="M30" i="47" s="1"/>
  <c r="H30" i="48" l="1"/>
  <c r="I30" i="48"/>
  <c r="Y26" i="48"/>
  <c r="AB26" i="48"/>
  <c r="AC26" i="48" s="1"/>
  <c r="AM49" i="48"/>
  <c r="AD49" i="48"/>
  <c r="U49" i="48"/>
  <c r="A50" i="48"/>
  <c r="AO49" i="48"/>
  <c r="AF49" i="48"/>
  <c r="W49" i="48"/>
  <c r="B49" i="48"/>
  <c r="C49" i="48" s="1"/>
  <c r="J49" i="48" s="1"/>
  <c r="K49" i="48" s="1"/>
  <c r="N30" i="47"/>
  <c r="R30" i="47" s="1"/>
  <c r="AM50" i="47"/>
  <c r="AD50" i="47"/>
  <c r="U50" i="47"/>
  <c r="A51" i="47"/>
  <c r="AO50" i="47"/>
  <c r="AF50" i="47"/>
  <c r="W50" i="47"/>
  <c r="B50" i="47"/>
  <c r="C50" i="47" s="1"/>
  <c r="J50" i="47" s="1"/>
  <c r="K50" i="47" s="1"/>
  <c r="D30" i="47"/>
  <c r="AJ26" i="48" l="1"/>
  <c r="Z27" i="48"/>
  <c r="B50" i="48"/>
  <c r="AM50" i="48"/>
  <c r="AO50" i="48" s="1"/>
  <c r="AD50" i="48"/>
  <c r="AF50" i="48" s="1"/>
  <c r="U50" i="48"/>
  <c r="W50" i="48" s="1"/>
  <c r="C50" i="48"/>
  <c r="J50" i="48" s="1"/>
  <c r="K50" i="48" s="1"/>
  <c r="A51" i="48"/>
  <c r="L30" i="48"/>
  <c r="M30" i="48" s="1"/>
  <c r="D30" i="48"/>
  <c r="B51" i="47"/>
  <c r="C51" i="47" s="1"/>
  <c r="J51" i="47" s="1"/>
  <c r="K51" i="47" s="1"/>
  <c r="AM51" i="47"/>
  <c r="AO51" i="47" s="1"/>
  <c r="AD51" i="47"/>
  <c r="AF51" i="47" s="1"/>
  <c r="U51" i="47"/>
  <c r="W51" i="47" s="1"/>
  <c r="A52" i="47"/>
  <c r="G31" i="47"/>
  <c r="F31" i="47"/>
  <c r="E31" i="47"/>
  <c r="P30" i="47"/>
  <c r="S30" i="47"/>
  <c r="T30" i="47" s="1"/>
  <c r="N30" i="48" l="1"/>
  <c r="AH26" i="48"/>
  <c r="AK26" i="48"/>
  <c r="AL26" i="48" s="1"/>
  <c r="G31" i="48"/>
  <c r="F31" i="48"/>
  <c r="E31" i="48"/>
  <c r="AM51" i="48"/>
  <c r="AO51" i="48" s="1"/>
  <c r="AD51" i="48"/>
  <c r="U51" i="48"/>
  <c r="W51" i="48" s="1"/>
  <c r="A52" i="48"/>
  <c r="AF51" i="48"/>
  <c r="B51" i="48"/>
  <c r="C51" i="48" s="1"/>
  <c r="J51" i="48" s="1"/>
  <c r="K51" i="48" s="1"/>
  <c r="AA30" i="47"/>
  <c r="Q31" i="47"/>
  <c r="I31" i="47"/>
  <c r="H31" i="47"/>
  <c r="AM52" i="47"/>
  <c r="AO52" i="47" s="1"/>
  <c r="AD52" i="47"/>
  <c r="U52" i="47"/>
  <c r="W52" i="47" s="1"/>
  <c r="A53" i="47"/>
  <c r="AF52" i="47"/>
  <c r="B52" i="47"/>
  <c r="C52" i="47" s="1"/>
  <c r="J52" i="47" s="1"/>
  <c r="K52" i="47" s="1"/>
  <c r="H31" i="48" l="1"/>
  <c r="I31" i="48"/>
  <c r="B52" i="48"/>
  <c r="AM52" i="48"/>
  <c r="AO52" i="48" s="1"/>
  <c r="AD52" i="48"/>
  <c r="AF52" i="48" s="1"/>
  <c r="U52" i="48"/>
  <c r="W52" i="48" s="1"/>
  <c r="A53" i="48"/>
  <c r="C52" i="48"/>
  <c r="J52" i="48" s="1"/>
  <c r="K52" i="48" s="1"/>
  <c r="AI27" i="48"/>
  <c r="B53" i="47"/>
  <c r="C53" i="47" s="1"/>
  <c r="J53" i="47" s="1"/>
  <c r="K53" i="47" s="1"/>
  <c r="AM53" i="47"/>
  <c r="AO53" i="47" s="1"/>
  <c r="AD53" i="47"/>
  <c r="AF53" i="47" s="1"/>
  <c r="U53" i="47"/>
  <c r="W53" i="47" s="1"/>
  <c r="A54" i="47"/>
  <c r="L31" i="47"/>
  <c r="M31" i="47" s="1"/>
  <c r="Y30" i="47"/>
  <c r="AB30" i="47"/>
  <c r="AC30" i="47" s="1"/>
  <c r="N31" i="47" l="1"/>
  <c r="R31" i="47" s="1"/>
  <c r="P31" i="47" s="1"/>
  <c r="AM53" i="48"/>
  <c r="AO53" i="48" s="1"/>
  <c r="AD53" i="48"/>
  <c r="U53" i="48"/>
  <c r="W53" i="48" s="1"/>
  <c r="A54" i="48"/>
  <c r="AF53" i="48"/>
  <c r="B53" i="48"/>
  <c r="C53" i="48" s="1"/>
  <c r="J53" i="48" s="1"/>
  <c r="K53" i="48" s="1"/>
  <c r="R27" i="48"/>
  <c r="L31" i="48"/>
  <c r="M31" i="48" s="1"/>
  <c r="AA31" i="47"/>
  <c r="Y31" i="47" s="1"/>
  <c r="Q32" i="47"/>
  <c r="AJ30" i="47"/>
  <c r="Z31" i="47"/>
  <c r="D31" i="47"/>
  <c r="AM54" i="47"/>
  <c r="AO54" i="47" s="1"/>
  <c r="AD54" i="47"/>
  <c r="AF54" i="47" s="1"/>
  <c r="U54" i="47"/>
  <c r="W54" i="47" s="1"/>
  <c r="A55" i="47"/>
  <c r="B54" i="47"/>
  <c r="C54" i="47" s="1"/>
  <c r="J54" i="47" s="1"/>
  <c r="K54" i="47" s="1"/>
  <c r="S31" i="47"/>
  <c r="T31" i="47" s="1"/>
  <c r="AB31" i="47" l="1"/>
  <c r="AC31" i="47" s="1"/>
  <c r="P27" i="48"/>
  <c r="S27" i="48"/>
  <c r="T27" i="48" s="1"/>
  <c r="D31" i="48"/>
  <c r="B54" i="48"/>
  <c r="AM54" i="48"/>
  <c r="AO54" i="48" s="1"/>
  <c r="AD54" i="48"/>
  <c r="AF54" i="48" s="1"/>
  <c r="U54" i="48"/>
  <c r="W54" i="48" s="1"/>
  <c r="A55" i="48"/>
  <c r="C54" i="48"/>
  <c r="J54" i="48" s="1"/>
  <c r="K54" i="48" s="1"/>
  <c r="N31" i="48"/>
  <c r="B55" i="47"/>
  <c r="C55" i="47" s="1"/>
  <c r="J55" i="47" s="1"/>
  <c r="K55" i="47" s="1"/>
  <c r="AM55" i="47"/>
  <c r="AO55" i="47" s="1"/>
  <c r="AD55" i="47"/>
  <c r="AF55" i="47" s="1"/>
  <c r="U55" i="47"/>
  <c r="W55" i="47" s="1"/>
  <c r="A56" i="47"/>
  <c r="AJ31" i="47"/>
  <c r="Z32" i="47"/>
  <c r="F32" i="47"/>
  <c r="G32" i="47"/>
  <c r="E32" i="47"/>
  <c r="AH30" i="47"/>
  <c r="AK30" i="47"/>
  <c r="AL30" i="47" s="1"/>
  <c r="F32" i="48" l="1"/>
  <c r="G32" i="48"/>
  <c r="E32" i="48"/>
  <c r="AM55" i="48"/>
  <c r="AD55" i="48"/>
  <c r="U55" i="48"/>
  <c r="A56" i="48"/>
  <c r="AO55" i="48"/>
  <c r="AF55" i="48"/>
  <c r="W55" i="48"/>
  <c r="B55" i="48"/>
  <c r="C55" i="48" s="1"/>
  <c r="J55" i="48" s="1"/>
  <c r="K55" i="48" s="1"/>
  <c r="AA27" i="48"/>
  <c r="Q28" i="48"/>
  <c r="AM56" i="47"/>
  <c r="AD56" i="47"/>
  <c r="U56" i="47"/>
  <c r="A57" i="47"/>
  <c r="AO56" i="47"/>
  <c r="AF56" i="47"/>
  <c r="W56" i="47"/>
  <c r="B56" i="47"/>
  <c r="C56" i="47" s="1"/>
  <c r="J56" i="47" s="1"/>
  <c r="K56" i="47" s="1"/>
  <c r="AH31" i="47"/>
  <c r="AI31" i="47"/>
  <c r="AK31" i="47" s="1"/>
  <c r="AL31" i="47" s="1"/>
  <c r="H32" i="47"/>
  <c r="I32" i="47"/>
  <c r="B56" i="48" l="1"/>
  <c r="C56" i="48" s="1"/>
  <c r="J56" i="48" s="1"/>
  <c r="K56" i="48" s="1"/>
  <c r="AM56" i="48"/>
  <c r="AO56" i="48" s="1"/>
  <c r="AD56" i="48"/>
  <c r="AF56" i="48" s="1"/>
  <c r="U56" i="48"/>
  <c r="W56" i="48" s="1"/>
  <c r="A57" i="48"/>
  <c r="Y27" i="48"/>
  <c r="AB27" i="48"/>
  <c r="AC27" i="48" s="1"/>
  <c r="I32" i="48"/>
  <c r="H32" i="48"/>
  <c r="B57" i="47"/>
  <c r="C57" i="47" s="1"/>
  <c r="J57" i="47" s="1"/>
  <c r="K57" i="47" s="1"/>
  <c r="AM57" i="47"/>
  <c r="AO57" i="47" s="1"/>
  <c r="AD57" i="47"/>
  <c r="AF57" i="47" s="1"/>
  <c r="U57" i="47"/>
  <c r="W57" i="47" s="1"/>
  <c r="A58" i="47"/>
  <c r="L32" i="47"/>
  <c r="N32" i="47" s="1"/>
  <c r="R32" i="47" s="1"/>
  <c r="D32" i="47"/>
  <c r="AI32" i="47"/>
  <c r="M32" i="47"/>
  <c r="AJ27" i="48" l="1"/>
  <c r="Z28" i="48"/>
  <c r="L32" i="48"/>
  <c r="M32" i="48" s="1"/>
  <c r="AM57" i="48"/>
  <c r="AD57" i="48"/>
  <c r="U57" i="48"/>
  <c r="A58" i="48"/>
  <c r="AO57" i="48"/>
  <c r="AF57" i="48"/>
  <c r="W57" i="48"/>
  <c r="B57" i="48"/>
  <c r="C57" i="48" s="1"/>
  <c r="J57" i="48" s="1"/>
  <c r="K57" i="48" s="1"/>
  <c r="P32" i="47"/>
  <c r="S32" i="47"/>
  <c r="T32" i="47" s="1"/>
  <c r="F33" i="47"/>
  <c r="G33" i="47"/>
  <c r="E33" i="47"/>
  <c r="AM58" i="47"/>
  <c r="AD58" i="47"/>
  <c r="AF58" i="47" s="1"/>
  <c r="U58" i="47"/>
  <c r="A59" i="47"/>
  <c r="C58" i="47"/>
  <c r="AO58" i="47"/>
  <c r="W58" i="47"/>
  <c r="J58" i="47"/>
  <c r="K58" i="47" s="1"/>
  <c r="B58" i="47"/>
  <c r="H33" i="47" l="1"/>
  <c r="D32" i="48"/>
  <c r="F33" i="48" s="1"/>
  <c r="N32" i="48"/>
  <c r="B58" i="48"/>
  <c r="AM58" i="48"/>
  <c r="AO58" i="48" s="1"/>
  <c r="AD58" i="48"/>
  <c r="AF58" i="48" s="1"/>
  <c r="U58" i="48"/>
  <c r="W58" i="48" s="1"/>
  <c r="C58" i="48"/>
  <c r="J58" i="48" s="1"/>
  <c r="K58" i="48" s="1"/>
  <c r="A59" i="48"/>
  <c r="AH27" i="48"/>
  <c r="AK27" i="48"/>
  <c r="AL27" i="48" s="1"/>
  <c r="I33" i="47"/>
  <c r="B59" i="47"/>
  <c r="C59" i="47" s="1"/>
  <c r="J59" i="47" s="1"/>
  <c r="K59" i="47" s="1"/>
  <c r="AM59" i="47"/>
  <c r="AO59" i="47" s="1"/>
  <c r="AD59" i="47"/>
  <c r="AF59" i="47" s="1"/>
  <c r="U59" i="47"/>
  <c r="W59" i="47" s="1"/>
  <c r="A60" i="47"/>
  <c r="AA32" i="47"/>
  <c r="Q33" i="47"/>
  <c r="E33" i="48" l="1"/>
  <c r="I33" i="48" s="1"/>
  <c r="G33" i="48"/>
  <c r="H33" i="48" s="1"/>
  <c r="AI28" i="48"/>
  <c r="AM59" i="48"/>
  <c r="AO59" i="48" s="1"/>
  <c r="AD59" i="48"/>
  <c r="U59" i="48"/>
  <c r="W59" i="48" s="1"/>
  <c r="A60" i="48"/>
  <c r="AF59" i="48"/>
  <c r="B59" i="48"/>
  <c r="C59" i="48" s="1"/>
  <c r="J59" i="48" s="1"/>
  <c r="K59" i="48" s="1"/>
  <c r="AM60" i="47"/>
  <c r="AO60" i="47" s="1"/>
  <c r="AD60" i="47"/>
  <c r="AF60" i="47" s="1"/>
  <c r="U60" i="47"/>
  <c r="W60" i="47" s="1"/>
  <c r="A61" i="47"/>
  <c r="B60" i="47"/>
  <c r="C60" i="47" s="1"/>
  <c r="J60" i="47" s="1"/>
  <c r="K60" i="47" s="1"/>
  <c r="Y32" i="47"/>
  <c r="AB32" i="47"/>
  <c r="AC32" i="47" s="1"/>
  <c r="L33" i="47"/>
  <c r="M33" i="47" s="1"/>
  <c r="D33" i="47" l="1"/>
  <c r="L33" i="48"/>
  <c r="N33" i="48" s="1"/>
  <c r="B60" i="48"/>
  <c r="AM60" i="48"/>
  <c r="AO60" i="48" s="1"/>
  <c r="AD60" i="48"/>
  <c r="AF60" i="48" s="1"/>
  <c r="U60" i="48"/>
  <c r="W60" i="48" s="1"/>
  <c r="A61" i="48"/>
  <c r="C60" i="48"/>
  <c r="J60" i="48" s="1"/>
  <c r="K60" i="48" s="1"/>
  <c r="R28" i="48"/>
  <c r="AJ32" i="47"/>
  <c r="Z33" i="47"/>
  <c r="F34" i="47"/>
  <c r="G34" i="47"/>
  <c r="E34" i="47"/>
  <c r="B61" i="47"/>
  <c r="AM61" i="47"/>
  <c r="AO61" i="47" s="1"/>
  <c r="AD61" i="47"/>
  <c r="AF61" i="47" s="1"/>
  <c r="U61" i="47"/>
  <c r="W61" i="47" s="1"/>
  <c r="A62" i="47"/>
  <c r="C61" i="47"/>
  <c r="J61" i="47" s="1"/>
  <c r="K61" i="47" s="1"/>
  <c r="N33" i="47"/>
  <c r="R33" i="47" s="1"/>
  <c r="M33" i="48" l="1"/>
  <c r="AM61" i="48"/>
  <c r="AO61" i="48" s="1"/>
  <c r="AD61" i="48"/>
  <c r="AF61" i="48" s="1"/>
  <c r="U61" i="48"/>
  <c r="W61" i="48" s="1"/>
  <c r="A62" i="48"/>
  <c r="B61" i="48"/>
  <c r="C61" i="48" s="1"/>
  <c r="J61" i="48" s="1"/>
  <c r="K61" i="48" s="1"/>
  <c r="P28" i="48"/>
  <c r="S28" i="48"/>
  <c r="T28" i="48" s="1"/>
  <c r="D33" i="48"/>
  <c r="P33" i="47"/>
  <c r="S33" i="47"/>
  <c r="T33" i="47" s="1"/>
  <c r="AM62" i="47"/>
  <c r="AO62" i="47" s="1"/>
  <c r="AD62" i="47"/>
  <c r="U62" i="47"/>
  <c r="A63" i="47"/>
  <c r="AF62" i="47"/>
  <c r="W62" i="47"/>
  <c r="B62" i="47"/>
  <c r="C62" i="47" s="1"/>
  <c r="J62" i="47" s="1"/>
  <c r="K62" i="47" s="1"/>
  <c r="AH32" i="47"/>
  <c r="AK32" i="47"/>
  <c r="AL32" i="47" s="1"/>
  <c r="I34" i="47"/>
  <c r="H34" i="47"/>
  <c r="B62" i="48" l="1"/>
  <c r="C62" i="48" s="1"/>
  <c r="J62" i="48" s="1"/>
  <c r="K62" i="48" s="1"/>
  <c r="AM62" i="48"/>
  <c r="AO62" i="48" s="1"/>
  <c r="AD62" i="48"/>
  <c r="AF62" i="48" s="1"/>
  <c r="U62" i="48"/>
  <c r="W62" i="48" s="1"/>
  <c r="A63" i="48"/>
  <c r="G34" i="48"/>
  <c r="F34" i="48"/>
  <c r="E34" i="48"/>
  <c r="AA28" i="48"/>
  <c r="Q29" i="48"/>
  <c r="B63" i="47"/>
  <c r="C63" i="47" s="1"/>
  <c r="J63" i="47" s="1"/>
  <c r="K63" i="47" s="1"/>
  <c r="AM63" i="47"/>
  <c r="AO63" i="47" s="1"/>
  <c r="AD63" i="47"/>
  <c r="AF63" i="47" s="1"/>
  <c r="U63" i="47"/>
  <c r="W63" i="47" s="1"/>
  <c r="A64" i="47"/>
  <c r="AI33" i="47"/>
  <c r="L34" i="47"/>
  <c r="M34" i="47" s="1"/>
  <c r="AA33" i="47"/>
  <c r="Q34" i="47"/>
  <c r="N34" i="47" l="1"/>
  <c r="R34" i="47" s="1"/>
  <c r="P34" i="47" s="1"/>
  <c r="Q35" i="47" s="1"/>
  <c r="Y28" i="48"/>
  <c r="AB28" i="48"/>
  <c r="AC28" i="48" s="1"/>
  <c r="I34" i="48"/>
  <c r="AM63" i="48"/>
  <c r="AD63" i="48"/>
  <c r="U63" i="48"/>
  <c r="W63" i="48" s="1"/>
  <c r="A64" i="48"/>
  <c r="AO63" i="48"/>
  <c r="AF63" i="48"/>
  <c r="B63" i="48"/>
  <c r="C63" i="48" s="1"/>
  <c r="J63" i="48" s="1"/>
  <c r="K63" i="48" s="1"/>
  <c r="H34" i="48"/>
  <c r="AA34" i="47"/>
  <c r="Y33" i="47"/>
  <c r="AB33" i="47"/>
  <c r="AC33" i="47" s="1"/>
  <c r="AM64" i="47"/>
  <c r="AO64" i="47" s="1"/>
  <c r="AD64" i="47"/>
  <c r="AF64" i="47" s="1"/>
  <c r="U64" i="47"/>
  <c r="W64" i="47" s="1"/>
  <c r="B64" i="47"/>
  <c r="C64" i="47" s="1"/>
  <c r="J64" i="47" s="1"/>
  <c r="K64" i="47" s="1"/>
  <c r="A65" i="47"/>
  <c r="S34" i="47"/>
  <c r="T34" i="47" s="1"/>
  <c r="D34" i="47"/>
  <c r="L34" i="48" l="1"/>
  <c r="M34" i="48" s="1"/>
  <c r="B64" i="48"/>
  <c r="AM64" i="48"/>
  <c r="AO64" i="48" s="1"/>
  <c r="AD64" i="48"/>
  <c r="AF64" i="48" s="1"/>
  <c r="U64" i="48"/>
  <c r="W64" i="48" s="1"/>
  <c r="A65" i="48"/>
  <c r="C64" i="48"/>
  <c r="J64" i="48" s="1"/>
  <c r="K64" i="48" s="1"/>
  <c r="AJ28" i="48"/>
  <c r="Z29" i="48"/>
  <c r="F35" i="47"/>
  <c r="G35" i="47"/>
  <c r="E35" i="47"/>
  <c r="AM65" i="47"/>
  <c r="AO65" i="47" s="1"/>
  <c r="AD65" i="47"/>
  <c r="AF65" i="47" s="1"/>
  <c r="U65" i="47"/>
  <c r="A66" i="47"/>
  <c r="W65" i="47"/>
  <c r="B65" i="47"/>
  <c r="C65" i="47" s="1"/>
  <c r="J65" i="47" s="1"/>
  <c r="K65" i="47" s="1"/>
  <c r="AJ33" i="47"/>
  <c r="Z34" i="47"/>
  <c r="AB34" i="47" s="1"/>
  <c r="AC34" i="47" s="1"/>
  <c r="Y34" i="47"/>
  <c r="D34" i="48" l="1"/>
  <c r="E35" i="48" s="1"/>
  <c r="AM65" i="48"/>
  <c r="AD65" i="48"/>
  <c r="U65" i="48"/>
  <c r="A66" i="48"/>
  <c r="AO65" i="48"/>
  <c r="AF65" i="48"/>
  <c r="W65" i="48"/>
  <c r="B65" i="48"/>
  <c r="C65" i="48" s="1"/>
  <c r="J65" i="48" s="1"/>
  <c r="K65" i="48" s="1"/>
  <c r="AH28" i="48"/>
  <c r="AK28" i="48"/>
  <c r="AL28" i="48" s="1"/>
  <c r="N34" i="48"/>
  <c r="I35" i="47"/>
  <c r="AH33" i="47"/>
  <c r="AK33" i="47"/>
  <c r="AL33" i="47" s="1"/>
  <c r="B66" i="47"/>
  <c r="A67" i="47"/>
  <c r="AM66" i="47"/>
  <c r="AO66" i="47" s="1"/>
  <c r="AD66" i="47"/>
  <c r="AF66" i="47" s="1"/>
  <c r="U66" i="47"/>
  <c r="W66" i="47" s="1"/>
  <c r="C66" i="47"/>
  <c r="J66" i="47" s="1"/>
  <c r="K66" i="47" s="1"/>
  <c r="H35" i="47"/>
  <c r="AJ34" i="47"/>
  <c r="Z35" i="47"/>
  <c r="F35" i="48" l="1"/>
  <c r="G35" i="48"/>
  <c r="AI29" i="48"/>
  <c r="B66" i="48"/>
  <c r="C66" i="48" s="1"/>
  <c r="J66" i="48" s="1"/>
  <c r="K66" i="48" s="1"/>
  <c r="AM66" i="48"/>
  <c r="AO66" i="48" s="1"/>
  <c r="AD66" i="48"/>
  <c r="AF66" i="48" s="1"/>
  <c r="U66" i="48"/>
  <c r="W66" i="48" s="1"/>
  <c r="A67" i="48"/>
  <c r="AH34" i="47"/>
  <c r="AI34" i="47"/>
  <c r="AK34" i="47" s="1"/>
  <c r="AL34" i="47" s="1"/>
  <c r="AM67" i="47"/>
  <c r="AO67" i="47" s="1"/>
  <c r="AD67" i="47"/>
  <c r="AF67" i="47" s="1"/>
  <c r="U67" i="47"/>
  <c r="A68" i="47"/>
  <c r="B67" i="47"/>
  <c r="C67" i="47" s="1"/>
  <c r="J67" i="47" s="1"/>
  <c r="K67" i="47" s="1"/>
  <c r="W67" i="47"/>
  <c r="L35" i="47"/>
  <c r="M35" i="47" s="1"/>
  <c r="D35" i="47" l="1"/>
  <c r="N35" i="47"/>
  <c r="R35" i="47" s="1"/>
  <c r="P35" i="47" s="1"/>
  <c r="H35" i="48"/>
  <c r="I35" i="48"/>
  <c r="L35" i="48" s="1"/>
  <c r="M35" i="48" s="1"/>
  <c r="AM67" i="48"/>
  <c r="AO67" i="48" s="1"/>
  <c r="AD67" i="48"/>
  <c r="U67" i="48"/>
  <c r="A68" i="48"/>
  <c r="AF67" i="48"/>
  <c r="W67" i="48"/>
  <c r="B67" i="48"/>
  <c r="C67" i="48" s="1"/>
  <c r="J67" i="48" s="1"/>
  <c r="K67" i="48" s="1"/>
  <c r="R29" i="48"/>
  <c r="AI35" i="47"/>
  <c r="G36" i="47"/>
  <c r="F36" i="47"/>
  <c r="E36" i="47"/>
  <c r="B68" i="47"/>
  <c r="AM68" i="47"/>
  <c r="AO68" i="47" s="1"/>
  <c r="AD68" i="47"/>
  <c r="AF68" i="47" s="1"/>
  <c r="U68" i="47"/>
  <c r="W68" i="47" s="1"/>
  <c r="C68" i="47"/>
  <c r="J68" i="47" s="1"/>
  <c r="K68" i="47" s="1"/>
  <c r="A69" i="47"/>
  <c r="H36" i="47" l="1"/>
  <c r="S35" i="47"/>
  <c r="T35" i="47" s="1"/>
  <c r="D35" i="48"/>
  <c r="P29" i="48"/>
  <c r="S29" i="48"/>
  <c r="T29" i="48" s="1"/>
  <c r="F36" i="48"/>
  <c r="G36" i="48"/>
  <c r="E36" i="48"/>
  <c r="B68" i="48"/>
  <c r="C68" i="48" s="1"/>
  <c r="J68" i="48" s="1"/>
  <c r="K68" i="48" s="1"/>
  <c r="AM68" i="48"/>
  <c r="AO68" i="48" s="1"/>
  <c r="AD68" i="48"/>
  <c r="AF68" i="48" s="1"/>
  <c r="U68" i="48"/>
  <c r="W68" i="48" s="1"/>
  <c r="A69" i="48"/>
  <c r="N35" i="48"/>
  <c r="AM69" i="47"/>
  <c r="AD69" i="47"/>
  <c r="AF69" i="47" s="1"/>
  <c r="U69" i="47"/>
  <c r="A70" i="47"/>
  <c r="AO69" i="47"/>
  <c r="W69" i="47"/>
  <c r="B69" i="47"/>
  <c r="C69" i="47" s="1"/>
  <c r="J69" i="47" s="1"/>
  <c r="K69" i="47" s="1"/>
  <c r="I36" i="47"/>
  <c r="AA35" i="47"/>
  <c r="Q36" i="47"/>
  <c r="H36" i="48" l="1"/>
  <c r="I36" i="48"/>
  <c r="AM69" i="48"/>
  <c r="AO69" i="48" s="1"/>
  <c r="AD69" i="48"/>
  <c r="U69" i="48"/>
  <c r="W69" i="48" s="1"/>
  <c r="A70" i="48"/>
  <c r="AF69" i="48"/>
  <c r="B69" i="48"/>
  <c r="C69" i="48" s="1"/>
  <c r="J69" i="48" s="1"/>
  <c r="K69" i="48" s="1"/>
  <c r="AA29" i="48"/>
  <c r="Q30" i="48"/>
  <c r="L36" i="47"/>
  <c r="N36" i="47" s="1"/>
  <c r="R36" i="47" s="1"/>
  <c r="M36" i="47"/>
  <c r="B70" i="47"/>
  <c r="A71" i="47"/>
  <c r="AM70" i="47"/>
  <c r="AO70" i="47" s="1"/>
  <c r="AD70" i="47"/>
  <c r="AF70" i="47" s="1"/>
  <c r="U70" i="47"/>
  <c r="W70" i="47" s="1"/>
  <c r="C70" i="47"/>
  <c r="J70" i="47" s="1"/>
  <c r="K70" i="47" s="1"/>
  <c r="Y35" i="47"/>
  <c r="AB35" i="47"/>
  <c r="AC35" i="47" s="1"/>
  <c r="Y29" i="48" l="1"/>
  <c r="AB29" i="48"/>
  <c r="AC29" i="48" s="1"/>
  <c r="B70" i="48"/>
  <c r="AM70" i="48"/>
  <c r="AO70" i="48" s="1"/>
  <c r="AD70" i="48"/>
  <c r="AF70" i="48" s="1"/>
  <c r="U70" i="48"/>
  <c r="W70" i="48" s="1"/>
  <c r="A71" i="48"/>
  <c r="C70" i="48"/>
  <c r="J70" i="48" s="1"/>
  <c r="K70" i="48" s="1"/>
  <c r="L36" i="48"/>
  <c r="M36" i="48" s="1"/>
  <c r="P36" i="47"/>
  <c r="S36" i="47"/>
  <c r="T36" i="47" s="1"/>
  <c r="AJ35" i="47"/>
  <c r="Z36" i="47"/>
  <c r="AM71" i="47"/>
  <c r="AD71" i="47"/>
  <c r="U71" i="47"/>
  <c r="A72" i="47"/>
  <c r="B71" i="47"/>
  <c r="C71" i="47" s="1"/>
  <c r="J71" i="47" s="1"/>
  <c r="K71" i="47" s="1"/>
  <c r="AO71" i="47"/>
  <c r="AF71" i="47"/>
  <c r="W71" i="47"/>
  <c r="D36" i="47"/>
  <c r="AM71" i="48" l="1"/>
  <c r="AO71" i="48" s="1"/>
  <c r="AD71" i="48"/>
  <c r="U71" i="48"/>
  <c r="A72" i="48"/>
  <c r="AF71" i="48"/>
  <c r="W71" i="48"/>
  <c r="B71" i="48"/>
  <c r="C71" i="48" s="1"/>
  <c r="J71" i="48" s="1"/>
  <c r="K71" i="48" s="1"/>
  <c r="D36" i="48"/>
  <c r="N36" i="48"/>
  <c r="AJ29" i="48"/>
  <c r="Z30" i="48"/>
  <c r="F37" i="47"/>
  <c r="G37" i="47"/>
  <c r="E37" i="47"/>
  <c r="B72" i="47"/>
  <c r="C72" i="47" s="1"/>
  <c r="J72" i="47" s="1"/>
  <c r="K72" i="47" s="1"/>
  <c r="AM72" i="47"/>
  <c r="AO72" i="47" s="1"/>
  <c r="AD72" i="47"/>
  <c r="AF72" i="47" s="1"/>
  <c r="U72" i="47"/>
  <c r="W72" i="47" s="1"/>
  <c r="A73" i="47"/>
  <c r="AH35" i="47"/>
  <c r="AK35" i="47"/>
  <c r="AL35" i="47" s="1"/>
  <c r="AA36" i="47"/>
  <c r="Y36" i="47" s="1"/>
  <c r="Q37" i="47"/>
  <c r="F37" i="48" l="1"/>
  <c r="G37" i="48"/>
  <c r="E37" i="48"/>
  <c r="B72" i="48"/>
  <c r="C72" i="48" s="1"/>
  <c r="J72" i="48" s="1"/>
  <c r="K72" i="48" s="1"/>
  <c r="AM72" i="48"/>
  <c r="AO72" i="48" s="1"/>
  <c r="AD72" i="48"/>
  <c r="AF72" i="48" s="1"/>
  <c r="U72" i="48"/>
  <c r="W72" i="48" s="1"/>
  <c r="A73" i="48"/>
  <c r="AH29" i="48"/>
  <c r="AK29" i="48"/>
  <c r="AL29" i="48" s="1"/>
  <c r="AI36" i="47"/>
  <c r="AB36" i="47"/>
  <c r="AC36" i="47" s="1"/>
  <c r="AM73" i="47"/>
  <c r="AD73" i="47"/>
  <c r="AF73" i="47" s="1"/>
  <c r="U73" i="47"/>
  <c r="A74" i="47"/>
  <c r="AO73" i="47"/>
  <c r="W73" i="47"/>
  <c r="B73" i="47"/>
  <c r="C73" i="47" s="1"/>
  <c r="J73" i="47" s="1"/>
  <c r="K73" i="47" s="1"/>
  <c r="H37" i="47"/>
  <c r="AJ36" i="47"/>
  <c r="AH36" i="47" s="1"/>
  <c r="Z37" i="47"/>
  <c r="I37" i="47"/>
  <c r="AM73" i="48" l="1"/>
  <c r="AD73" i="48"/>
  <c r="AF73" i="48" s="1"/>
  <c r="U73" i="48"/>
  <c r="A74" i="48"/>
  <c r="AO73" i="48"/>
  <c r="W73" i="48"/>
  <c r="B73" i="48"/>
  <c r="C73" i="48" s="1"/>
  <c r="J73" i="48" s="1"/>
  <c r="K73" i="48" s="1"/>
  <c r="AI30" i="48"/>
  <c r="I37" i="48"/>
  <c r="H37" i="48"/>
  <c r="AI37" i="47"/>
  <c r="B74" i="47"/>
  <c r="C74" i="47" s="1"/>
  <c r="J74" i="47" s="1"/>
  <c r="K74" i="47" s="1"/>
  <c r="A75" i="47"/>
  <c r="AM74" i="47"/>
  <c r="AO74" i="47" s="1"/>
  <c r="AD74" i="47"/>
  <c r="AF74" i="47" s="1"/>
  <c r="U74" i="47"/>
  <c r="W74" i="47" s="1"/>
  <c r="L37" i="47"/>
  <c r="M37" i="47" s="1"/>
  <c r="AK36" i="47"/>
  <c r="AL36" i="47" s="1"/>
  <c r="D37" i="47" l="1"/>
  <c r="N37" i="47"/>
  <c r="R37" i="47" s="1"/>
  <c r="P37" i="47" s="1"/>
  <c r="L37" i="48"/>
  <c r="N37" i="48" s="1"/>
  <c r="B74" i="48"/>
  <c r="C74" i="48" s="1"/>
  <c r="J74" i="48" s="1"/>
  <c r="K74" i="48" s="1"/>
  <c r="AM74" i="48"/>
  <c r="AO74" i="48" s="1"/>
  <c r="AD74" i="48"/>
  <c r="AF74" i="48" s="1"/>
  <c r="U74" i="48"/>
  <c r="W74" i="48" s="1"/>
  <c r="A75" i="48"/>
  <c r="R30" i="48"/>
  <c r="G38" i="47"/>
  <c r="F38" i="47"/>
  <c r="E38" i="47"/>
  <c r="AM75" i="47"/>
  <c r="AD75" i="47"/>
  <c r="U75" i="47"/>
  <c r="A76" i="47"/>
  <c r="B75" i="47"/>
  <c r="C75" i="47" s="1"/>
  <c r="J75" i="47" s="1"/>
  <c r="K75" i="47" s="1"/>
  <c r="AO75" i="47"/>
  <c r="AF75" i="47"/>
  <c r="W75" i="47"/>
  <c r="S37" i="47" l="1"/>
  <c r="T37" i="47" s="1"/>
  <c r="M37" i="48"/>
  <c r="P30" i="48"/>
  <c r="S30" i="48"/>
  <c r="T30" i="48" s="1"/>
  <c r="D37" i="48"/>
  <c r="AM75" i="48"/>
  <c r="AD75" i="48"/>
  <c r="U75" i="48"/>
  <c r="A76" i="48"/>
  <c r="C75" i="48"/>
  <c r="J75" i="48" s="1"/>
  <c r="K75" i="48" s="1"/>
  <c r="AO75" i="48"/>
  <c r="AF75" i="48"/>
  <c r="W75" i="48"/>
  <c r="B75" i="48"/>
  <c r="AA37" i="47"/>
  <c r="Q38" i="47"/>
  <c r="B76" i="47"/>
  <c r="AM76" i="47"/>
  <c r="AO76" i="47" s="1"/>
  <c r="AD76" i="47"/>
  <c r="AF76" i="47" s="1"/>
  <c r="U76" i="47"/>
  <c r="W76" i="47" s="1"/>
  <c r="C76" i="47"/>
  <c r="J76" i="47" s="1"/>
  <c r="K76" i="47" s="1"/>
  <c r="A77" i="47"/>
  <c r="I38" i="47"/>
  <c r="H38" i="47"/>
  <c r="F38" i="48" l="1"/>
  <c r="G38" i="48"/>
  <c r="E38" i="48"/>
  <c r="B76" i="48"/>
  <c r="C76" i="48" s="1"/>
  <c r="J76" i="48" s="1"/>
  <c r="K76" i="48" s="1"/>
  <c r="AM76" i="48"/>
  <c r="AO76" i="48" s="1"/>
  <c r="AD76" i="48"/>
  <c r="AF76" i="48" s="1"/>
  <c r="U76" i="48"/>
  <c r="W76" i="48" s="1"/>
  <c r="A77" i="48"/>
  <c r="AA30" i="48"/>
  <c r="Q31" i="48"/>
  <c r="L38" i="47"/>
  <c r="N38" i="47" s="1"/>
  <c r="R38" i="47" s="1"/>
  <c r="AM77" i="47"/>
  <c r="AD77" i="47"/>
  <c r="AF77" i="47" s="1"/>
  <c r="U77" i="47"/>
  <c r="A78" i="47"/>
  <c r="AO77" i="47"/>
  <c r="W77" i="47"/>
  <c r="B77" i="47"/>
  <c r="C77" i="47" s="1"/>
  <c r="J77" i="47" s="1"/>
  <c r="K77" i="47" s="1"/>
  <c r="Y37" i="47"/>
  <c r="AB37" i="47"/>
  <c r="AC37" i="47" s="1"/>
  <c r="M38" i="47" l="1"/>
  <c r="H38" i="48"/>
  <c r="AM77" i="48"/>
  <c r="AO77" i="48" s="1"/>
  <c r="AD77" i="48"/>
  <c r="AF77" i="48" s="1"/>
  <c r="U77" i="48"/>
  <c r="W77" i="48" s="1"/>
  <c r="A78" i="48"/>
  <c r="B77" i="48"/>
  <c r="C77" i="48" s="1"/>
  <c r="J77" i="48" s="1"/>
  <c r="K77" i="48" s="1"/>
  <c r="Y30" i="48"/>
  <c r="AB30" i="48"/>
  <c r="AC30" i="48" s="1"/>
  <c r="I38" i="48"/>
  <c r="P38" i="47"/>
  <c r="S38" i="47"/>
  <c r="T38" i="47" s="1"/>
  <c r="AJ37" i="47"/>
  <c r="Z38" i="47"/>
  <c r="A79" i="47"/>
  <c r="B78" i="47"/>
  <c r="AD78" i="47"/>
  <c r="AF78" i="47" s="1"/>
  <c r="U78" i="47"/>
  <c r="W78" i="47" s="1"/>
  <c r="AM78" i="47"/>
  <c r="AO78" i="47" s="1"/>
  <c r="C78" i="47"/>
  <c r="J78" i="47" s="1"/>
  <c r="K78" i="47" s="1"/>
  <c r="D38" i="47"/>
  <c r="L38" i="48" l="1"/>
  <c r="N38" i="48" s="1"/>
  <c r="AJ30" i="48"/>
  <c r="Z31" i="48"/>
  <c r="B78" i="48"/>
  <c r="C78" i="48" s="1"/>
  <c r="J78" i="48" s="1"/>
  <c r="K78" i="48" s="1"/>
  <c r="AM78" i="48"/>
  <c r="AO78" i="48" s="1"/>
  <c r="AD78" i="48"/>
  <c r="AF78" i="48" s="1"/>
  <c r="U78" i="48"/>
  <c r="W78" i="48" s="1"/>
  <c r="A79" i="48"/>
  <c r="M38" i="48"/>
  <c r="F39" i="47"/>
  <c r="G39" i="47"/>
  <c r="E39" i="47"/>
  <c r="AH37" i="47"/>
  <c r="AK37" i="47"/>
  <c r="AL37" i="47" s="1"/>
  <c r="AM79" i="47"/>
  <c r="AD79" i="47"/>
  <c r="U79" i="47"/>
  <c r="A80" i="47"/>
  <c r="AO79" i="47"/>
  <c r="W79" i="47"/>
  <c r="B79" i="47"/>
  <c r="C79" i="47" s="1"/>
  <c r="J79" i="47" s="1"/>
  <c r="K79" i="47" s="1"/>
  <c r="AF79" i="47"/>
  <c r="AA38" i="47"/>
  <c r="Y38" i="47" s="1"/>
  <c r="Q39" i="47"/>
  <c r="D38" i="48" l="1"/>
  <c r="AM79" i="48"/>
  <c r="AD79" i="48"/>
  <c r="AF79" i="48" s="1"/>
  <c r="U79" i="48"/>
  <c r="A80" i="48"/>
  <c r="AO79" i="48"/>
  <c r="W79" i="48"/>
  <c r="B79" i="48"/>
  <c r="C79" i="48" s="1"/>
  <c r="J79" i="48" s="1"/>
  <c r="K79" i="48" s="1"/>
  <c r="F39" i="48"/>
  <c r="G39" i="48"/>
  <c r="E39" i="48"/>
  <c r="AH30" i="48"/>
  <c r="AK30" i="48"/>
  <c r="AL30" i="48" s="1"/>
  <c r="AJ38" i="47"/>
  <c r="AH38" i="47" s="1"/>
  <c r="Z39" i="47"/>
  <c r="AB38" i="47"/>
  <c r="AC38" i="47" s="1"/>
  <c r="A81" i="47"/>
  <c r="B80" i="47"/>
  <c r="C80" i="47" s="1"/>
  <c r="J80" i="47" s="1"/>
  <c r="K80" i="47" s="1"/>
  <c r="AM80" i="47"/>
  <c r="AO80" i="47" s="1"/>
  <c r="U80" i="47"/>
  <c r="W80" i="47" s="1"/>
  <c r="AD80" i="47"/>
  <c r="AF80" i="47" s="1"/>
  <c r="AI38" i="47"/>
  <c r="I39" i="47"/>
  <c r="H39" i="47"/>
  <c r="AK38" i="47" l="1"/>
  <c r="AL38" i="47" s="1"/>
  <c r="H39" i="48"/>
  <c r="I39" i="48"/>
  <c r="AI31" i="48"/>
  <c r="B80" i="48"/>
  <c r="C80" i="48" s="1"/>
  <c r="J80" i="48" s="1"/>
  <c r="K80" i="48" s="1"/>
  <c r="AM80" i="48"/>
  <c r="AO80" i="48" s="1"/>
  <c r="AD80" i="48"/>
  <c r="AF80" i="48" s="1"/>
  <c r="U80" i="48"/>
  <c r="W80" i="48" s="1"/>
  <c r="A81" i="48"/>
  <c r="L39" i="47"/>
  <c r="M39" i="47" s="1"/>
  <c r="AM81" i="47"/>
  <c r="AO81" i="47" s="1"/>
  <c r="AD81" i="47"/>
  <c r="AF81" i="47" s="1"/>
  <c r="U81" i="47"/>
  <c r="A82" i="47"/>
  <c r="W81" i="47"/>
  <c r="B81" i="47"/>
  <c r="C81" i="47" s="1"/>
  <c r="J81" i="47" s="1"/>
  <c r="K81" i="47" s="1"/>
  <c r="AI39" i="47"/>
  <c r="R31" i="48" l="1"/>
  <c r="L39" i="48"/>
  <c r="M39" i="48" s="1"/>
  <c r="AM81" i="48"/>
  <c r="AO81" i="48" s="1"/>
  <c r="AD81" i="48"/>
  <c r="U81" i="48"/>
  <c r="W81" i="48" s="1"/>
  <c r="A82" i="48"/>
  <c r="AF81" i="48"/>
  <c r="B81" i="48"/>
  <c r="C81" i="48" s="1"/>
  <c r="J81" i="48" s="1"/>
  <c r="K81" i="48" s="1"/>
  <c r="D39" i="47"/>
  <c r="A83" i="47"/>
  <c r="B82" i="47"/>
  <c r="C82" i="47" s="1"/>
  <c r="J82" i="47" s="1"/>
  <c r="K82" i="47" s="1"/>
  <c r="AM82" i="47"/>
  <c r="AO82" i="47" s="1"/>
  <c r="U82" i="47"/>
  <c r="W82" i="47" s="1"/>
  <c r="AD82" i="47"/>
  <c r="AF82" i="47" s="1"/>
  <c r="N39" i="47"/>
  <c r="R39" i="47" s="1"/>
  <c r="D39" i="48" l="1"/>
  <c r="F40" i="48" s="1"/>
  <c r="B82" i="48"/>
  <c r="AM82" i="48"/>
  <c r="AO82" i="48" s="1"/>
  <c r="AD82" i="48"/>
  <c r="AF82" i="48" s="1"/>
  <c r="U82" i="48"/>
  <c r="W82" i="48" s="1"/>
  <c r="A83" i="48"/>
  <c r="C82" i="48"/>
  <c r="J82" i="48" s="1"/>
  <c r="K82" i="48" s="1"/>
  <c r="N39" i="48"/>
  <c r="P31" i="48"/>
  <c r="S31" i="48"/>
  <c r="T31" i="48" s="1"/>
  <c r="AM83" i="47"/>
  <c r="AO83" i="47" s="1"/>
  <c r="AD83" i="47"/>
  <c r="AF83" i="47" s="1"/>
  <c r="U83" i="47"/>
  <c r="W83" i="47" s="1"/>
  <c r="A84" i="47"/>
  <c r="B83" i="47"/>
  <c r="C83" i="47" s="1"/>
  <c r="J83" i="47" s="1"/>
  <c r="K83" i="47" s="1"/>
  <c r="P39" i="47"/>
  <c r="S39" i="47"/>
  <c r="T39" i="47" s="1"/>
  <c r="F40" i="47"/>
  <c r="G40" i="47"/>
  <c r="E40" i="47"/>
  <c r="E40" i="48" l="1"/>
  <c r="G40" i="48"/>
  <c r="AM83" i="48"/>
  <c r="AO83" i="48" s="1"/>
  <c r="AD83" i="48"/>
  <c r="U83" i="48"/>
  <c r="W83" i="48" s="1"/>
  <c r="A84" i="48"/>
  <c r="AF83" i="48"/>
  <c r="B83" i="48"/>
  <c r="C83" i="48" s="1"/>
  <c r="J83" i="48" s="1"/>
  <c r="K83" i="48" s="1"/>
  <c r="AA31" i="48"/>
  <c r="Q32" i="48"/>
  <c r="I40" i="48"/>
  <c r="H40" i="48"/>
  <c r="AA39" i="47"/>
  <c r="Q40" i="47"/>
  <c r="A85" i="47"/>
  <c r="B84" i="47"/>
  <c r="C84" i="47" s="1"/>
  <c r="J84" i="47" s="1"/>
  <c r="K84" i="47" s="1"/>
  <c r="AD84" i="47"/>
  <c r="AF84" i="47" s="1"/>
  <c r="AM84" i="47"/>
  <c r="AO84" i="47" s="1"/>
  <c r="U84" i="47"/>
  <c r="W84" i="47" s="1"/>
  <c r="I40" i="47"/>
  <c r="H40" i="47"/>
  <c r="Y31" i="48" l="1"/>
  <c r="AB31" i="48"/>
  <c r="AC31" i="48" s="1"/>
  <c r="L40" i="48"/>
  <c r="M40" i="48" s="1"/>
  <c r="B84" i="48"/>
  <c r="AM84" i="48"/>
  <c r="AO84" i="48" s="1"/>
  <c r="AD84" i="48"/>
  <c r="AF84" i="48" s="1"/>
  <c r="U84" i="48"/>
  <c r="W84" i="48" s="1"/>
  <c r="C84" i="48"/>
  <c r="J84" i="48" s="1"/>
  <c r="K84" i="48" s="1"/>
  <c r="A85" i="48"/>
  <c r="L40" i="47"/>
  <c r="M40" i="47" s="1"/>
  <c r="AM85" i="47"/>
  <c r="AO85" i="47" s="1"/>
  <c r="AD85" i="47"/>
  <c r="U85" i="47"/>
  <c r="A86" i="47"/>
  <c r="W85" i="47"/>
  <c r="B85" i="47"/>
  <c r="C85" i="47" s="1"/>
  <c r="J85" i="47" s="1"/>
  <c r="K85" i="47" s="1"/>
  <c r="AF85" i="47"/>
  <c r="Y39" i="47"/>
  <c r="AB39" i="47"/>
  <c r="AC39" i="47" s="1"/>
  <c r="N40" i="47" l="1"/>
  <c r="R40" i="47" s="1"/>
  <c r="P40" i="47" s="1"/>
  <c r="Q41" i="47" s="1"/>
  <c r="AM85" i="48"/>
  <c r="AD85" i="48"/>
  <c r="AF85" i="48" s="1"/>
  <c r="U85" i="48"/>
  <c r="A86" i="48"/>
  <c r="AO85" i="48"/>
  <c r="W85" i="48"/>
  <c r="B85" i="48"/>
  <c r="C85" i="48" s="1"/>
  <c r="J85" i="48" s="1"/>
  <c r="K85" i="48" s="1"/>
  <c r="D40" i="48"/>
  <c r="AJ31" i="48"/>
  <c r="Z32" i="48"/>
  <c r="N40" i="48"/>
  <c r="AJ39" i="47"/>
  <c r="Z40" i="47"/>
  <c r="A87" i="47"/>
  <c r="B86" i="47"/>
  <c r="C86" i="47" s="1"/>
  <c r="J86" i="47" s="1"/>
  <c r="K86" i="47" s="1"/>
  <c r="AD86" i="47"/>
  <c r="AF86" i="47" s="1"/>
  <c r="AM86" i="47"/>
  <c r="AO86" i="47" s="1"/>
  <c r="U86" i="47"/>
  <c r="W86" i="47" s="1"/>
  <c r="D40" i="47"/>
  <c r="S40" i="47"/>
  <c r="T40" i="47" s="1"/>
  <c r="AA40" i="47" l="1"/>
  <c r="Y40" i="47" s="1"/>
  <c r="B86" i="48"/>
  <c r="AM86" i="48"/>
  <c r="AO86" i="48" s="1"/>
  <c r="AD86" i="48"/>
  <c r="AF86" i="48" s="1"/>
  <c r="U86" i="48"/>
  <c r="W86" i="48" s="1"/>
  <c r="A87" i="48"/>
  <c r="C86" i="48"/>
  <c r="J86" i="48" s="1"/>
  <c r="K86" i="48" s="1"/>
  <c r="F41" i="48"/>
  <c r="G41" i="48"/>
  <c r="E41" i="48"/>
  <c r="AH31" i="48"/>
  <c r="AK31" i="48"/>
  <c r="AL31" i="48" s="1"/>
  <c r="AJ40" i="47"/>
  <c r="Z41" i="47"/>
  <c r="AB40" i="47"/>
  <c r="AC40" i="47" s="1"/>
  <c r="AH39" i="47"/>
  <c r="AK39" i="47"/>
  <c r="AL39" i="47" s="1"/>
  <c r="F41" i="47"/>
  <c r="G41" i="47"/>
  <c r="E41" i="47"/>
  <c r="AM87" i="47"/>
  <c r="AD87" i="47"/>
  <c r="AF87" i="47" s="1"/>
  <c r="U87" i="47"/>
  <c r="W87" i="47" s="1"/>
  <c r="A88" i="47"/>
  <c r="AO87" i="47"/>
  <c r="B87" i="47"/>
  <c r="C87" i="47" s="1"/>
  <c r="J87" i="47" s="1"/>
  <c r="K87" i="47" s="1"/>
  <c r="H41" i="47" l="1"/>
  <c r="H41" i="48"/>
  <c r="AM87" i="48"/>
  <c r="AD87" i="48"/>
  <c r="AF87" i="48" s="1"/>
  <c r="U87" i="48"/>
  <c r="A88" i="48"/>
  <c r="AO87" i="48"/>
  <c r="W87" i="48"/>
  <c r="B87" i="48"/>
  <c r="C87" i="48" s="1"/>
  <c r="J87" i="48" s="1"/>
  <c r="K87" i="48" s="1"/>
  <c r="AI32" i="48"/>
  <c r="I41" i="48"/>
  <c r="A89" i="47"/>
  <c r="B88" i="47"/>
  <c r="C88" i="47" s="1"/>
  <c r="J88" i="47" s="1"/>
  <c r="K88" i="47" s="1"/>
  <c r="AM88" i="47"/>
  <c r="AO88" i="47" s="1"/>
  <c r="U88" i="47"/>
  <c r="W88" i="47" s="1"/>
  <c r="AD88" i="47"/>
  <c r="AF88" i="47" s="1"/>
  <c r="I41" i="47"/>
  <c r="AH40" i="47"/>
  <c r="AI40" i="47"/>
  <c r="AK40" i="47" s="1"/>
  <c r="AL40" i="47" s="1"/>
  <c r="B88" i="48" l="1"/>
  <c r="AM88" i="48"/>
  <c r="AO88" i="48" s="1"/>
  <c r="AD88" i="48"/>
  <c r="AF88" i="48" s="1"/>
  <c r="U88" i="48"/>
  <c r="W88" i="48" s="1"/>
  <c r="A89" i="48"/>
  <c r="C88" i="48"/>
  <c r="J88" i="48" s="1"/>
  <c r="K88" i="48" s="1"/>
  <c r="L41" i="48"/>
  <c r="D41" i="48" s="1"/>
  <c r="M41" i="48"/>
  <c r="R32" i="48"/>
  <c r="AI41" i="47"/>
  <c r="L41" i="47"/>
  <c r="D41" i="47" s="1"/>
  <c r="AM89" i="47"/>
  <c r="AD89" i="47"/>
  <c r="U89" i="47"/>
  <c r="A90" i="47"/>
  <c r="AF89" i="47"/>
  <c r="AO89" i="47"/>
  <c r="W89" i="47"/>
  <c r="B89" i="47"/>
  <c r="C89" i="47" s="1"/>
  <c r="J89" i="47" s="1"/>
  <c r="K89" i="47" s="1"/>
  <c r="N41" i="47" l="1"/>
  <c r="R41" i="47" s="1"/>
  <c r="M41" i="47"/>
  <c r="N41" i="48"/>
  <c r="G42" i="48"/>
  <c r="F42" i="48"/>
  <c r="E42" i="48"/>
  <c r="AM89" i="48"/>
  <c r="AD89" i="48"/>
  <c r="U89" i="48"/>
  <c r="A90" i="48"/>
  <c r="AO89" i="48"/>
  <c r="AF89" i="48"/>
  <c r="W89" i="48"/>
  <c r="B89" i="48"/>
  <c r="C89" i="48" s="1"/>
  <c r="J89" i="48" s="1"/>
  <c r="K89" i="48" s="1"/>
  <c r="P32" i="48"/>
  <c r="S32" i="48"/>
  <c r="T32" i="48" s="1"/>
  <c r="A91" i="47"/>
  <c r="B90" i="47"/>
  <c r="C90" i="47" s="1"/>
  <c r="J90" i="47" s="1"/>
  <c r="K90" i="47" s="1"/>
  <c r="AM90" i="47"/>
  <c r="AO90" i="47" s="1"/>
  <c r="U90" i="47"/>
  <c r="W90" i="47" s="1"/>
  <c r="AD90" i="47"/>
  <c r="AF90" i="47" s="1"/>
  <c r="G42" i="47"/>
  <c r="F42" i="47"/>
  <c r="E42" i="47"/>
  <c r="P41" i="47"/>
  <c r="S41" i="47"/>
  <c r="T41" i="47" s="1"/>
  <c r="H42" i="48" l="1"/>
  <c r="B90" i="48"/>
  <c r="AM90" i="48"/>
  <c r="AO90" i="48" s="1"/>
  <c r="AD90" i="48"/>
  <c r="AF90" i="48" s="1"/>
  <c r="U90" i="48"/>
  <c r="W90" i="48" s="1"/>
  <c r="A91" i="48"/>
  <c r="C90" i="48"/>
  <c r="J90" i="48" s="1"/>
  <c r="K90" i="48" s="1"/>
  <c r="AA32" i="48"/>
  <c r="Q33" i="48"/>
  <c r="I42" i="48"/>
  <c r="I42" i="47"/>
  <c r="AA41" i="47"/>
  <c r="Q42" i="47"/>
  <c r="H42" i="47"/>
  <c r="AM91" i="47"/>
  <c r="AO91" i="47" s="1"/>
  <c r="AD91" i="47"/>
  <c r="AF91" i="47" s="1"/>
  <c r="U91" i="47"/>
  <c r="A92" i="47"/>
  <c r="B91" i="47"/>
  <c r="C91" i="47" s="1"/>
  <c r="J91" i="47" s="1"/>
  <c r="K91" i="47" s="1"/>
  <c r="W91" i="47"/>
  <c r="L42" i="48" l="1"/>
  <c r="M42" i="48" s="1"/>
  <c r="Y32" i="48"/>
  <c r="AB32" i="48"/>
  <c r="AC32" i="48" s="1"/>
  <c r="AM91" i="48"/>
  <c r="AO91" i="48" s="1"/>
  <c r="AD91" i="48"/>
  <c r="U91" i="48"/>
  <c r="W91" i="48" s="1"/>
  <c r="A92" i="48"/>
  <c r="AF91" i="48"/>
  <c r="B91" i="48"/>
  <c r="C91" i="48" s="1"/>
  <c r="J91" i="48" s="1"/>
  <c r="K91" i="48" s="1"/>
  <c r="A93" i="47"/>
  <c r="C92" i="47"/>
  <c r="J92" i="47" s="1"/>
  <c r="K92" i="47" s="1"/>
  <c r="AO92" i="47"/>
  <c r="B92" i="47"/>
  <c r="AD92" i="47"/>
  <c r="AF92" i="47" s="1"/>
  <c r="AM92" i="47"/>
  <c r="U92" i="47"/>
  <c r="W92" i="47" s="1"/>
  <c r="Y41" i="47"/>
  <c r="AB41" i="47"/>
  <c r="AC41" i="47" s="1"/>
  <c r="L42" i="47"/>
  <c r="M42" i="47" s="1"/>
  <c r="D42" i="47" l="1"/>
  <c r="F43" i="47" s="1"/>
  <c r="N42" i="48"/>
  <c r="AJ32" i="48"/>
  <c r="Z33" i="48"/>
  <c r="B92" i="48"/>
  <c r="AM92" i="48"/>
  <c r="AO92" i="48" s="1"/>
  <c r="AD92" i="48"/>
  <c r="AF92" i="48" s="1"/>
  <c r="U92" i="48"/>
  <c r="W92" i="48" s="1"/>
  <c r="C92" i="48"/>
  <c r="J92" i="48" s="1"/>
  <c r="K92" i="48" s="1"/>
  <c r="A93" i="48"/>
  <c r="D42" i="48"/>
  <c r="AJ41" i="47"/>
  <c r="Z42" i="47"/>
  <c r="N42" i="47"/>
  <c r="R42" i="47" s="1"/>
  <c r="AM93" i="47"/>
  <c r="AO93" i="47" s="1"/>
  <c r="AD93" i="47"/>
  <c r="U93" i="47"/>
  <c r="A94" i="47"/>
  <c r="W93" i="47"/>
  <c r="B93" i="47"/>
  <c r="C93" i="47" s="1"/>
  <c r="J93" i="47" s="1"/>
  <c r="K93" i="47" s="1"/>
  <c r="AF93" i="47"/>
  <c r="E43" i="47" l="1"/>
  <c r="G43" i="47"/>
  <c r="H43" i="47"/>
  <c r="AH32" i="48"/>
  <c r="AK32" i="48"/>
  <c r="AL32" i="48" s="1"/>
  <c r="F43" i="48"/>
  <c r="G43" i="48"/>
  <c r="E43" i="48"/>
  <c r="AM93" i="48"/>
  <c r="AD93" i="48"/>
  <c r="U93" i="48"/>
  <c r="A94" i="48"/>
  <c r="AO93" i="48"/>
  <c r="AF93" i="48"/>
  <c r="W93" i="48"/>
  <c r="B93" i="48"/>
  <c r="C93" i="48" s="1"/>
  <c r="J93" i="48" s="1"/>
  <c r="K93" i="48" s="1"/>
  <c r="P42" i="47"/>
  <c r="S42" i="47"/>
  <c r="T42" i="47" s="1"/>
  <c r="A95" i="47"/>
  <c r="B94" i="47"/>
  <c r="C94" i="47" s="1"/>
  <c r="J94" i="47" s="1"/>
  <c r="K94" i="47" s="1"/>
  <c r="AD94" i="47"/>
  <c r="AF94" i="47" s="1"/>
  <c r="AM94" i="47"/>
  <c r="AO94" i="47" s="1"/>
  <c r="U94" i="47"/>
  <c r="W94" i="47" s="1"/>
  <c r="I43" i="47"/>
  <c r="AH41" i="47"/>
  <c r="AK41" i="47"/>
  <c r="AL41" i="47" s="1"/>
  <c r="I43" i="48" l="1"/>
  <c r="H43" i="48"/>
  <c r="B94" i="48"/>
  <c r="AM94" i="48"/>
  <c r="AO94" i="48" s="1"/>
  <c r="AD94" i="48"/>
  <c r="AF94" i="48" s="1"/>
  <c r="U94" i="48"/>
  <c r="W94" i="48" s="1"/>
  <c r="A95" i="48"/>
  <c r="C94" i="48"/>
  <c r="J94" i="48" s="1"/>
  <c r="K94" i="48" s="1"/>
  <c r="AI33" i="48"/>
  <c r="AM95" i="47"/>
  <c r="AO95" i="47" s="1"/>
  <c r="AD95" i="47"/>
  <c r="AF95" i="47" s="1"/>
  <c r="U95" i="47"/>
  <c r="W95" i="47" s="1"/>
  <c r="A96" i="47"/>
  <c r="B95" i="47"/>
  <c r="C95" i="47" s="1"/>
  <c r="J95" i="47" s="1"/>
  <c r="K95" i="47" s="1"/>
  <c r="L43" i="47"/>
  <c r="M43" i="47" s="1"/>
  <c r="AI42" i="47"/>
  <c r="AA42" i="47"/>
  <c r="Q43" i="47"/>
  <c r="D43" i="47" l="1"/>
  <c r="F44" i="47" s="1"/>
  <c r="N43" i="47"/>
  <c r="R43" i="47" s="1"/>
  <c r="P43" i="47" s="1"/>
  <c r="Q44" i="47" s="1"/>
  <c r="AM95" i="48"/>
  <c r="AD95" i="48"/>
  <c r="AF95" i="48" s="1"/>
  <c r="U95" i="48"/>
  <c r="A96" i="48"/>
  <c r="AO95" i="48"/>
  <c r="W95" i="48"/>
  <c r="B95" i="48"/>
  <c r="C95" i="48" s="1"/>
  <c r="J95" i="48" s="1"/>
  <c r="K95" i="48" s="1"/>
  <c r="R33" i="48"/>
  <c r="L43" i="48"/>
  <c r="M43" i="48" s="1"/>
  <c r="A97" i="47"/>
  <c r="B96" i="47"/>
  <c r="C96" i="47" s="1"/>
  <c r="J96" i="47" s="1"/>
  <c r="K96" i="47" s="1"/>
  <c r="AM96" i="47"/>
  <c r="AO96" i="47" s="1"/>
  <c r="U96" i="47"/>
  <c r="W96" i="47" s="1"/>
  <c r="AD96" i="47"/>
  <c r="AF96" i="47" s="1"/>
  <c r="Y42" i="47"/>
  <c r="AB42" i="47"/>
  <c r="AC42" i="47" s="1"/>
  <c r="S43" i="47"/>
  <c r="T43" i="47" s="1"/>
  <c r="AA43" i="47" l="1"/>
  <c r="E44" i="47"/>
  <c r="I44" i="47" s="1"/>
  <c r="G44" i="47"/>
  <c r="H44" i="47"/>
  <c r="D43" i="48"/>
  <c r="F44" i="48" s="1"/>
  <c r="P33" i="48"/>
  <c r="S33" i="48"/>
  <c r="T33" i="48" s="1"/>
  <c r="G44" i="48"/>
  <c r="E44" i="48"/>
  <c r="B96" i="48"/>
  <c r="C96" i="48" s="1"/>
  <c r="J96" i="48" s="1"/>
  <c r="K96" i="48" s="1"/>
  <c r="AM96" i="48"/>
  <c r="AO96" i="48" s="1"/>
  <c r="AD96" i="48"/>
  <c r="AF96" i="48" s="1"/>
  <c r="U96" i="48"/>
  <c r="W96" i="48" s="1"/>
  <c r="A97" i="48"/>
  <c r="N43" i="48"/>
  <c r="AM97" i="47"/>
  <c r="AD97" i="47"/>
  <c r="U97" i="47"/>
  <c r="A98" i="47"/>
  <c r="AF97" i="47"/>
  <c r="AO97" i="47"/>
  <c r="W97" i="47"/>
  <c r="B97" i="47"/>
  <c r="C97" i="47" s="1"/>
  <c r="J97" i="47" s="1"/>
  <c r="K97" i="47" s="1"/>
  <c r="AJ42" i="47"/>
  <c r="Z43" i="47"/>
  <c r="AB43" i="47" s="1"/>
  <c r="AC43" i="47" s="1"/>
  <c r="Y43" i="47"/>
  <c r="I44" i="48" l="1"/>
  <c r="AM97" i="48"/>
  <c r="AD97" i="48"/>
  <c r="U97" i="48"/>
  <c r="A98" i="48"/>
  <c r="AO97" i="48"/>
  <c r="AF97" i="48"/>
  <c r="W97" i="48"/>
  <c r="B97" i="48"/>
  <c r="C97" i="48" s="1"/>
  <c r="J97" i="48" s="1"/>
  <c r="K97" i="48" s="1"/>
  <c r="H44" i="48"/>
  <c r="AA33" i="48"/>
  <c r="Q34" i="48"/>
  <c r="A99" i="47"/>
  <c r="B98" i="47"/>
  <c r="C98" i="47" s="1"/>
  <c r="J98" i="47" s="1"/>
  <c r="K98" i="47" s="1"/>
  <c r="AM98" i="47"/>
  <c r="AO98" i="47" s="1"/>
  <c r="U98" i="47"/>
  <c r="W98" i="47" s="1"/>
  <c r="AD98" i="47"/>
  <c r="AF98" i="47" s="1"/>
  <c r="AJ43" i="47"/>
  <c r="Z44" i="47"/>
  <c r="AH42" i="47"/>
  <c r="AK42" i="47"/>
  <c r="AL42" i="47" s="1"/>
  <c r="L44" i="47"/>
  <c r="M44" i="47" s="1"/>
  <c r="B98" i="48" l="1"/>
  <c r="C98" i="48" s="1"/>
  <c r="J98" i="48" s="1"/>
  <c r="K98" i="48" s="1"/>
  <c r="AM98" i="48"/>
  <c r="AO98" i="48" s="1"/>
  <c r="AD98" i="48"/>
  <c r="AF98" i="48" s="1"/>
  <c r="U98" i="48"/>
  <c r="W98" i="48" s="1"/>
  <c r="A99" i="48"/>
  <c r="L44" i="48"/>
  <c r="D44" i="48" s="1"/>
  <c r="Y33" i="48"/>
  <c r="AB33" i="48"/>
  <c r="AC33" i="48" s="1"/>
  <c r="M44" i="48"/>
  <c r="AH43" i="47"/>
  <c r="AI43" i="47"/>
  <c r="AK43" i="47" s="1"/>
  <c r="AL43" i="47" s="1"/>
  <c r="D44" i="47"/>
  <c r="N44" i="47"/>
  <c r="R44" i="47" s="1"/>
  <c r="AM99" i="47"/>
  <c r="AD99" i="47"/>
  <c r="U99" i="47"/>
  <c r="A100" i="47"/>
  <c r="B99" i="47"/>
  <c r="C99" i="47" s="1"/>
  <c r="J99" i="47" s="1"/>
  <c r="K99" i="47" s="1"/>
  <c r="AF99" i="47"/>
  <c r="AO99" i="47"/>
  <c r="W99" i="47"/>
  <c r="N44" i="48" l="1"/>
  <c r="F45" i="48"/>
  <c r="G45" i="48"/>
  <c r="E45" i="48"/>
  <c r="AJ33" i="48"/>
  <c r="Z34" i="48"/>
  <c r="AM99" i="48"/>
  <c r="AD99" i="48"/>
  <c r="AF99" i="48" s="1"/>
  <c r="U99" i="48"/>
  <c r="W99" i="48" s="1"/>
  <c r="A100" i="48"/>
  <c r="AO99" i="48"/>
  <c r="B99" i="48"/>
  <c r="C99" i="48" s="1"/>
  <c r="J99" i="48" s="1"/>
  <c r="K99" i="48" s="1"/>
  <c r="P44" i="47"/>
  <c r="S44" i="47"/>
  <c r="T44" i="47" s="1"/>
  <c r="AI44" i="47"/>
  <c r="A101" i="47"/>
  <c r="B100" i="47"/>
  <c r="C100" i="47" s="1"/>
  <c r="J100" i="47" s="1"/>
  <c r="K100" i="47" s="1"/>
  <c r="AD100" i="47"/>
  <c r="AF100" i="47" s="1"/>
  <c r="AM100" i="47"/>
  <c r="AO100" i="47" s="1"/>
  <c r="U100" i="47"/>
  <c r="W100" i="47" s="1"/>
  <c r="F45" i="47"/>
  <c r="G45" i="47"/>
  <c r="E45" i="47"/>
  <c r="B100" i="48" l="1"/>
  <c r="C100" i="48" s="1"/>
  <c r="J100" i="48" s="1"/>
  <c r="K100" i="48" s="1"/>
  <c r="AM100" i="48"/>
  <c r="AO100" i="48" s="1"/>
  <c r="AD100" i="48"/>
  <c r="AF100" i="48" s="1"/>
  <c r="U100" i="48"/>
  <c r="W100" i="48" s="1"/>
  <c r="A101" i="48"/>
  <c r="AH33" i="48"/>
  <c r="AK33" i="48"/>
  <c r="AL33" i="48" s="1"/>
  <c r="H45" i="48"/>
  <c r="I45" i="48"/>
  <c r="I45" i="47"/>
  <c r="AM101" i="47"/>
  <c r="AO101" i="47" s="1"/>
  <c r="AD101" i="47"/>
  <c r="AF101" i="47" s="1"/>
  <c r="U101" i="47"/>
  <c r="A102" i="47"/>
  <c r="W101" i="47"/>
  <c r="B101" i="47"/>
  <c r="C101" i="47" s="1"/>
  <c r="J101" i="47" s="1"/>
  <c r="K101" i="47" s="1"/>
  <c r="AA44" i="47"/>
  <c r="Q45" i="47"/>
  <c r="H45" i="47"/>
  <c r="L45" i="48" l="1"/>
  <c r="N45" i="48" s="1"/>
  <c r="AI34" i="48"/>
  <c r="M45" i="48"/>
  <c r="AM101" i="48"/>
  <c r="AO101" i="48" s="1"/>
  <c r="AD101" i="48"/>
  <c r="U101" i="48"/>
  <c r="W101" i="48" s="1"/>
  <c r="A102" i="48"/>
  <c r="AF101" i="48"/>
  <c r="B101" i="48"/>
  <c r="C101" i="48" s="1"/>
  <c r="J101" i="48" s="1"/>
  <c r="K101" i="48" s="1"/>
  <c r="Y44" i="47"/>
  <c r="AB44" i="47"/>
  <c r="AC44" i="47" s="1"/>
  <c r="A103" i="47"/>
  <c r="B102" i="47"/>
  <c r="C102" i="47" s="1"/>
  <c r="J102" i="47" s="1"/>
  <c r="K102" i="47" s="1"/>
  <c r="AD102" i="47"/>
  <c r="AF102" i="47" s="1"/>
  <c r="AM102" i="47"/>
  <c r="AO102" i="47" s="1"/>
  <c r="U102" i="47"/>
  <c r="W102" i="47" s="1"/>
  <c r="L45" i="47"/>
  <c r="M45" i="47" s="1"/>
  <c r="D45" i="48" l="1"/>
  <c r="B102" i="48"/>
  <c r="AM102" i="48"/>
  <c r="AO102" i="48" s="1"/>
  <c r="AD102" i="48"/>
  <c r="AF102" i="48" s="1"/>
  <c r="U102" i="48"/>
  <c r="W102" i="48" s="1"/>
  <c r="A103" i="48"/>
  <c r="C102" i="48"/>
  <c r="J102" i="48" s="1"/>
  <c r="K102" i="48" s="1"/>
  <c r="R34" i="48"/>
  <c r="D45" i="47"/>
  <c r="AM103" i="47"/>
  <c r="AO103" i="47" s="1"/>
  <c r="AD103" i="47"/>
  <c r="AF103" i="47" s="1"/>
  <c r="U103" i="47"/>
  <c r="W103" i="47" s="1"/>
  <c r="A104" i="47"/>
  <c r="B103" i="47"/>
  <c r="C103" i="47" s="1"/>
  <c r="J103" i="47" s="1"/>
  <c r="K103" i="47" s="1"/>
  <c r="N45" i="47"/>
  <c r="R45" i="47" s="1"/>
  <c r="AJ44" i="47"/>
  <c r="Z45" i="47"/>
  <c r="AM103" i="48" l="1"/>
  <c r="AD103" i="48"/>
  <c r="AF103" i="48" s="1"/>
  <c r="U103" i="48"/>
  <c r="A104" i="48"/>
  <c r="AO103" i="48"/>
  <c r="W103" i="48"/>
  <c r="B103" i="48"/>
  <c r="C103" i="48" s="1"/>
  <c r="J103" i="48" s="1"/>
  <c r="K103" i="48" s="1"/>
  <c r="P34" i="48"/>
  <c r="S34" i="48"/>
  <c r="T34" i="48" s="1"/>
  <c r="F46" i="48"/>
  <c r="G46" i="48"/>
  <c r="E46" i="48"/>
  <c r="P45" i="47"/>
  <c r="S45" i="47"/>
  <c r="T45" i="47" s="1"/>
  <c r="A105" i="47"/>
  <c r="B104" i="47"/>
  <c r="C104" i="47" s="1"/>
  <c r="J104" i="47" s="1"/>
  <c r="K104" i="47" s="1"/>
  <c r="AM104" i="47"/>
  <c r="AO104" i="47" s="1"/>
  <c r="U104" i="47"/>
  <c r="W104" i="47" s="1"/>
  <c r="AD104" i="47"/>
  <c r="AF104" i="47" s="1"/>
  <c r="AH44" i="47"/>
  <c r="AK44" i="47"/>
  <c r="AL44" i="47" s="1"/>
  <c r="G46" i="47"/>
  <c r="F46" i="47"/>
  <c r="H46" i="47" s="1"/>
  <c r="E46" i="47"/>
  <c r="H46" i="48" l="1"/>
  <c r="AA34" i="48"/>
  <c r="Q35" i="48"/>
  <c r="B104" i="48"/>
  <c r="AM104" i="48"/>
  <c r="AO104" i="48" s="1"/>
  <c r="AD104" i="48"/>
  <c r="AF104" i="48" s="1"/>
  <c r="U104" i="48"/>
  <c r="W104" i="48" s="1"/>
  <c r="A105" i="48"/>
  <c r="C104" i="48"/>
  <c r="J104" i="48" s="1"/>
  <c r="K104" i="48" s="1"/>
  <c r="I46" i="48"/>
  <c r="I46" i="47"/>
  <c r="AM105" i="47"/>
  <c r="AO105" i="47" s="1"/>
  <c r="AD105" i="47"/>
  <c r="U105" i="47"/>
  <c r="A106" i="47"/>
  <c r="AF105" i="47"/>
  <c r="W105" i="47"/>
  <c r="B105" i="47"/>
  <c r="C105" i="47" s="1"/>
  <c r="J105" i="47" s="1"/>
  <c r="K105" i="47" s="1"/>
  <c r="AI45" i="47"/>
  <c r="AA45" i="47"/>
  <c r="Q46" i="47"/>
  <c r="L46" i="48" l="1"/>
  <c r="N46" i="48" s="1"/>
  <c r="Y34" i="48"/>
  <c r="AB34" i="48"/>
  <c r="AC34" i="48" s="1"/>
  <c r="AM105" i="48"/>
  <c r="AO105" i="48" s="1"/>
  <c r="AD105" i="48"/>
  <c r="AF105" i="48" s="1"/>
  <c r="U105" i="48"/>
  <c r="W105" i="48" s="1"/>
  <c r="A106" i="48"/>
  <c r="B105" i="48"/>
  <c r="C105" i="48" s="1"/>
  <c r="J105" i="48" s="1"/>
  <c r="K105" i="48" s="1"/>
  <c r="Y45" i="47"/>
  <c r="AB45" i="47"/>
  <c r="AC45" i="47" s="1"/>
  <c r="A107" i="47"/>
  <c r="B106" i="47"/>
  <c r="C106" i="47" s="1"/>
  <c r="J106" i="47" s="1"/>
  <c r="K106" i="47" s="1"/>
  <c r="AM106" i="47"/>
  <c r="AO106" i="47" s="1"/>
  <c r="U106" i="47"/>
  <c r="W106" i="47" s="1"/>
  <c r="AD106" i="47"/>
  <c r="AF106" i="47" s="1"/>
  <c r="L46" i="47"/>
  <c r="M46" i="47" s="1"/>
  <c r="D46" i="47" l="1"/>
  <c r="N46" i="47"/>
  <c r="R46" i="47" s="1"/>
  <c r="AJ34" i="48"/>
  <c r="Z35" i="48"/>
  <c r="B106" i="48"/>
  <c r="AM106" i="48"/>
  <c r="AO106" i="48" s="1"/>
  <c r="AD106" i="48"/>
  <c r="AF106" i="48" s="1"/>
  <c r="U106" i="48"/>
  <c r="W106" i="48" s="1"/>
  <c r="A107" i="48"/>
  <c r="C106" i="48"/>
  <c r="J106" i="48" s="1"/>
  <c r="K106" i="48" s="1"/>
  <c r="D46" i="48"/>
  <c r="M46" i="48"/>
  <c r="AM107" i="47"/>
  <c r="AO107" i="47" s="1"/>
  <c r="AD107" i="47"/>
  <c r="U107" i="47"/>
  <c r="A108" i="47"/>
  <c r="B107" i="47"/>
  <c r="C107" i="47" s="1"/>
  <c r="J107" i="47" s="1"/>
  <c r="K107" i="47" s="1"/>
  <c r="AF107" i="47"/>
  <c r="W107" i="47"/>
  <c r="F47" i="47"/>
  <c r="G47" i="47"/>
  <c r="E47" i="47"/>
  <c r="AJ45" i="47"/>
  <c r="Z46" i="47"/>
  <c r="H47" i="47" l="1"/>
  <c r="P46" i="47"/>
  <c r="S46" i="47"/>
  <c r="T46" i="47" s="1"/>
  <c r="G47" i="48"/>
  <c r="F47" i="48"/>
  <c r="E47" i="48"/>
  <c r="AH34" i="48"/>
  <c r="AK34" i="48"/>
  <c r="AL34" i="48" s="1"/>
  <c r="AM107" i="48"/>
  <c r="AD107" i="48"/>
  <c r="U107" i="48"/>
  <c r="W107" i="48" s="1"/>
  <c r="A108" i="48"/>
  <c r="AO107" i="48"/>
  <c r="AF107" i="48"/>
  <c r="B107" i="48"/>
  <c r="C107" i="48" s="1"/>
  <c r="J107" i="48" s="1"/>
  <c r="K107" i="48" s="1"/>
  <c r="I47" i="47"/>
  <c r="A109" i="47"/>
  <c r="AO108" i="47"/>
  <c r="B108" i="47"/>
  <c r="C108" i="47" s="1"/>
  <c r="J108" i="47" s="1"/>
  <c r="K108" i="47" s="1"/>
  <c r="AD108" i="47"/>
  <c r="AF108" i="47" s="1"/>
  <c r="AM108" i="47"/>
  <c r="U108" i="47"/>
  <c r="W108" i="47" s="1"/>
  <c r="AH45" i="47"/>
  <c r="AK45" i="47"/>
  <c r="AL45" i="47" s="1"/>
  <c r="Q47" i="47" l="1"/>
  <c r="AA46" i="47"/>
  <c r="AI35" i="48"/>
  <c r="B108" i="48"/>
  <c r="AM108" i="48"/>
  <c r="AO108" i="48" s="1"/>
  <c r="AD108" i="48"/>
  <c r="AF108" i="48" s="1"/>
  <c r="U108" i="48"/>
  <c r="W108" i="48" s="1"/>
  <c r="A109" i="48"/>
  <c r="C108" i="48"/>
  <c r="J108" i="48" s="1"/>
  <c r="K108" i="48" s="1"/>
  <c r="I47" i="48"/>
  <c r="H47" i="48"/>
  <c r="L47" i="47"/>
  <c r="M47" i="47" s="1"/>
  <c r="AM109" i="47"/>
  <c r="AD109" i="47"/>
  <c r="AF109" i="47" s="1"/>
  <c r="U109" i="47"/>
  <c r="A110" i="47"/>
  <c r="AO109" i="47"/>
  <c r="W109" i="47"/>
  <c r="B109" i="47"/>
  <c r="C109" i="47" s="1"/>
  <c r="J109" i="47" s="1"/>
  <c r="K109" i="47" s="1"/>
  <c r="AI46" i="47"/>
  <c r="Y46" i="47" l="1"/>
  <c r="AB46" i="47"/>
  <c r="AC46" i="47" s="1"/>
  <c r="L47" i="48"/>
  <c r="M47" i="48" s="1"/>
  <c r="R35" i="48"/>
  <c r="AM109" i="48"/>
  <c r="AO109" i="48" s="1"/>
  <c r="AD109" i="48"/>
  <c r="AF109" i="48" s="1"/>
  <c r="U109" i="48"/>
  <c r="W109" i="48" s="1"/>
  <c r="A110" i="48"/>
  <c r="B109" i="48"/>
  <c r="C109" i="48" s="1"/>
  <c r="J109" i="48" s="1"/>
  <c r="K109" i="48" s="1"/>
  <c r="A111" i="47"/>
  <c r="C110" i="47"/>
  <c r="J110" i="47" s="1"/>
  <c r="K110" i="47" s="1"/>
  <c r="B110" i="47"/>
  <c r="AD110" i="47"/>
  <c r="AF110" i="47" s="1"/>
  <c r="AM110" i="47"/>
  <c r="AO110" i="47" s="1"/>
  <c r="U110" i="47"/>
  <c r="W110" i="47" s="1"/>
  <c r="D47" i="47"/>
  <c r="N47" i="47"/>
  <c r="R47" i="47" s="1"/>
  <c r="AJ46" i="47" l="1"/>
  <c r="Z47" i="47"/>
  <c r="B110" i="48"/>
  <c r="AM110" i="48"/>
  <c r="AO110" i="48" s="1"/>
  <c r="AD110" i="48"/>
  <c r="AF110" i="48" s="1"/>
  <c r="U110" i="48"/>
  <c r="W110" i="48" s="1"/>
  <c r="A111" i="48"/>
  <c r="C110" i="48"/>
  <c r="J110" i="48" s="1"/>
  <c r="K110" i="48" s="1"/>
  <c r="D47" i="48"/>
  <c r="P35" i="48"/>
  <c r="S35" i="48"/>
  <c r="T35" i="48" s="1"/>
  <c r="N47" i="48"/>
  <c r="G48" i="47"/>
  <c r="F48" i="47"/>
  <c r="H48" i="47" s="1"/>
  <c r="E48" i="47"/>
  <c r="P47" i="47"/>
  <c r="S47" i="47"/>
  <c r="T47" i="47" s="1"/>
  <c r="AM111" i="47"/>
  <c r="AD111" i="47"/>
  <c r="AF111" i="47" s="1"/>
  <c r="U111" i="47"/>
  <c r="A112" i="47"/>
  <c r="AO111" i="47"/>
  <c r="W111" i="47"/>
  <c r="B111" i="47"/>
  <c r="C111" i="47" s="1"/>
  <c r="J111" i="47" s="1"/>
  <c r="K111" i="47" s="1"/>
  <c r="AH46" i="47" l="1"/>
  <c r="AI47" i="47" s="1"/>
  <c r="AK46" i="47"/>
  <c r="AL46" i="47" s="1"/>
  <c r="AA35" i="48"/>
  <c r="Q36" i="48"/>
  <c r="F48" i="48"/>
  <c r="G48" i="48"/>
  <c r="E48" i="48"/>
  <c r="A112" i="48"/>
  <c r="AD111" i="48"/>
  <c r="AF111" i="48" s="1"/>
  <c r="B111" i="48"/>
  <c r="C111" i="48" s="1"/>
  <c r="J111" i="48" s="1"/>
  <c r="K111" i="48" s="1"/>
  <c r="AM111" i="48"/>
  <c r="AO111" i="48" s="1"/>
  <c r="U111" i="48"/>
  <c r="W111" i="48" s="1"/>
  <c r="A113" i="47"/>
  <c r="B112" i="47"/>
  <c r="C112" i="47" s="1"/>
  <c r="J112" i="47" s="1"/>
  <c r="K112" i="47" s="1"/>
  <c r="AM112" i="47"/>
  <c r="AO112" i="47" s="1"/>
  <c r="U112" i="47"/>
  <c r="W112" i="47" s="1"/>
  <c r="AD112" i="47"/>
  <c r="AF112" i="47" s="1"/>
  <c r="AA47" i="47"/>
  <c r="Q48" i="47"/>
  <c r="I48" i="47"/>
  <c r="I48" i="48" l="1"/>
  <c r="A113" i="48"/>
  <c r="AD112" i="48"/>
  <c r="AF112" i="48" s="1"/>
  <c r="B112" i="48"/>
  <c r="C112" i="48" s="1"/>
  <c r="J112" i="48" s="1"/>
  <c r="K112" i="48" s="1"/>
  <c r="AM112" i="48"/>
  <c r="AO112" i="48" s="1"/>
  <c r="U112" i="48"/>
  <c r="W112" i="48" s="1"/>
  <c r="H48" i="48"/>
  <c r="Y35" i="48"/>
  <c r="AB35" i="48"/>
  <c r="AC35" i="48" s="1"/>
  <c r="Y47" i="47"/>
  <c r="AB47" i="47"/>
  <c r="AC47" i="47" s="1"/>
  <c r="N48" i="47"/>
  <c r="R48" i="47" s="1"/>
  <c r="P48" i="47" s="1"/>
  <c r="L48" i="47"/>
  <c r="M48" i="47" s="1"/>
  <c r="AM113" i="47"/>
  <c r="AO113" i="47" s="1"/>
  <c r="AD113" i="47"/>
  <c r="U113" i="47"/>
  <c r="A114" i="47"/>
  <c r="AF113" i="47"/>
  <c r="W113" i="47"/>
  <c r="B113" i="47"/>
  <c r="C113" i="47" s="1"/>
  <c r="J113" i="47" s="1"/>
  <c r="K113" i="47" s="1"/>
  <c r="A114" i="48" l="1"/>
  <c r="AD113" i="48"/>
  <c r="AF113" i="48" s="1"/>
  <c r="AM113" i="48"/>
  <c r="AO113" i="48" s="1"/>
  <c r="U113" i="48"/>
  <c r="W113" i="48" s="1"/>
  <c r="B113" i="48"/>
  <c r="C113" i="48" s="1"/>
  <c r="J113" i="48" s="1"/>
  <c r="K113" i="48" s="1"/>
  <c r="AJ35" i="48"/>
  <c r="Z36" i="48"/>
  <c r="L48" i="48"/>
  <c r="M48" i="48" s="1"/>
  <c r="S48" i="47"/>
  <c r="T48" i="47" s="1"/>
  <c r="AA48" i="47"/>
  <c r="Y48" i="47" s="1"/>
  <c r="Q49" i="47"/>
  <c r="A115" i="47"/>
  <c r="B114" i="47"/>
  <c r="C114" i="47" s="1"/>
  <c r="J114" i="47" s="1"/>
  <c r="K114" i="47" s="1"/>
  <c r="AM114" i="47"/>
  <c r="AO114" i="47" s="1"/>
  <c r="U114" i="47"/>
  <c r="W114" i="47" s="1"/>
  <c r="AD114" i="47"/>
  <c r="AF114" i="47" s="1"/>
  <c r="D48" i="47"/>
  <c r="AJ47" i="47"/>
  <c r="Z48" i="47"/>
  <c r="AB48" i="47" l="1"/>
  <c r="AC48" i="47" s="1"/>
  <c r="N48" i="48"/>
  <c r="AH35" i="48"/>
  <c r="AK35" i="48"/>
  <c r="AL35" i="48" s="1"/>
  <c r="D48" i="48"/>
  <c r="AM114" i="48"/>
  <c r="AO114" i="48" s="1"/>
  <c r="U114" i="48"/>
  <c r="W114" i="48" s="1"/>
  <c r="A115" i="48"/>
  <c r="AD114" i="48"/>
  <c r="AF114" i="48" s="1"/>
  <c r="B114" i="48"/>
  <c r="C114" i="48" s="1"/>
  <c r="J114" i="48" s="1"/>
  <c r="K114" i="48" s="1"/>
  <c r="AM115" i="47"/>
  <c r="AO115" i="47" s="1"/>
  <c r="AD115" i="47"/>
  <c r="AF115" i="47" s="1"/>
  <c r="U115" i="47"/>
  <c r="W115" i="47" s="1"/>
  <c r="A116" i="47"/>
  <c r="B115" i="47"/>
  <c r="C115" i="47" s="1"/>
  <c r="J115" i="47" s="1"/>
  <c r="K115" i="47" s="1"/>
  <c r="AH47" i="47"/>
  <c r="AK47" i="47"/>
  <c r="AL47" i="47" s="1"/>
  <c r="AJ48" i="47"/>
  <c r="Z49" i="47"/>
  <c r="F49" i="47"/>
  <c r="G49" i="47"/>
  <c r="E49" i="47"/>
  <c r="A116" i="48" l="1"/>
  <c r="AM115" i="48"/>
  <c r="AO115" i="48" s="1"/>
  <c r="U115" i="48"/>
  <c r="B115" i="48"/>
  <c r="C115" i="48" s="1"/>
  <c r="J115" i="48" s="1"/>
  <c r="K115" i="48" s="1"/>
  <c r="AD115" i="48"/>
  <c r="AF115" i="48" s="1"/>
  <c r="W115" i="48"/>
  <c r="G49" i="48"/>
  <c r="F49" i="48"/>
  <c r="E49" i="48"/>
  <c r="AI36" i="48"/>
  <c r="H49" i="47"/>
  <c r="AI48" i="47"/>
  <c r="AK48" i="47" s="1"/>
  <c r="AL48" i="47" s="1"/>
  <c r="AH48" i="47"/>
  <c r="A117" i="47"/>
  <c r="B116" i="47"/>
  <c r="C116" i="47" s="1"/>
  <c r="J116" i="47" s="1"/>
  <c r="K116" i="47" s="1"/>
  <c r="AD116" i="47"/>
  <c r="AF116" i="47" s="1"/>
  <c r="AM116" i="47"/>
  <c r="AO116" i="47" s="1"/>
  <c r="U116" i="47"/>
  <c r="W116" i="47" s="1"/>
  <c r="I49" i="47"/>
  <c r="I49" i="48" l="1"/>
  <c r="R36" i="48"/>
  <c r="H49" i="48"/>
  <c r="AM116" i="48"/>
  <c r="AO116" i="48" s="1"/>
  <c r="U116" i="48"/>
  <c r="A117" i="48"/>
  <c r="AD116" i="48"/>
  <c r="AF116" i="48" s="1"/>
  <c r="B116" i="48"/>
  <c r="C116" i="48" s="1"/>
  <c r="J116" i="48" s="1"/>
  <c r="K116" i="48" s="1"/>
  <c r="W116" i="48"/>
  <c r="AM117" i="47"/>
  <c r="AO117" i="47" s="1"/>
  <c r="AD117" i="47"/>
  <c r="AF117" i="47" s="1"/>
  <c r="U117" i="47"/>
  <c r="W117" i="47" s="1"/>
  <c r="A118" i="47"/>
  <c r="B117" i="47"/>
  <c r="C117" i="47" s="1"/>
  <c r="J117" i="47" s="1"/>
  <c r="K117" i="47" s="1"/>
  <c r="L49" i="47"/>
  <c r="M49" i="47" s="1"/>
  <c r="AI49" i="47"/>
  <c r="A118" i="48" l="1"/>
  <c r="AM117" i="48"/>
  <c r="U117" i="48"/>
  <c r="B117" i="48"/>
  <c r="C117" i="48" s="1"/>
  <c r="J117" i="48" s="1"/>
  <c r="K117" i="48" s="1"/>
  <c r="AO117" i="48"/>
  <c r="AD117" i="48"/>
  <c r="AF117" i="48" s="1"/>
  <c r="W117" i="48"/>
  <c r="L49" i="48"/>
  <c r="N49" i="48" s="1"/>
  <c r="P36" i="48"/>
  <c r="S36" i="48"/>
  <c r="T36" i="48" s="1"/>
  <c r="M49" i="48"/>
  <c r="D49" i="47"/>
  <c r="N49" i="47"/>
  <c r="R49" i="47" s="1"/>
  <c r="A119" i="47"/>
  <c r="B118" i="47"/>
  <c r="C118" i="47" s="1"/>
  <c r="J118" i="47" s="1"/>
  <c r="K118" i="47" s="1"/>
  <c r="AD118" i="47"/>
  <c r="AF118" i="47" s="1"/>
  <c r="AM118" i="47"/>
  <c r="AO118" i="47" s="1"/>
  <c r="U118" i="47"/>
  <c r="W118" i="47" s="1"/>
  <c r="D49" i="48" l="1"/>
  <c r="F50" i="48"/>
  <c r="G50" i="48"/>
  <c r="E50" i="48"/>
  <c r="AA36" i="48"/>
  <c r="Q37" i="48"/>
  <c r="A119" i="48"/>
  <c r="AD118" i="48"/>
  <c r="AF118" i="48" s="1"/>
  <c r="B118" i="48"/>
  <c r="C118" i="48" s="1"/>
  <c r="J118" i="48" s="1"/>
  <c r="K118" i="48" s="1"/>
  <c r="AM118" i="48"/>
  <c r="AO118" i="48" s="1"/>
  <c r="U118" i="48"/>
  <c r="W118" i="48" s="1"/>
  <c r="AM119" i="47"/>
  <c r="AO119" i="47" s="1"/>
  <c r="AD119" i="47"/>
  <c r="AF119" i="47" s="1"/>
  <c r="U119" i="47"/>
  <c r="A120" i="47"/>
  <c r="W119" i="47"/>
  <c r="B119" i="47"/>
  <c r="C119" i="47" s="1"/>
  <c r="J119" i="47" s="1"/>
  <c r="K119" i="47" s="1"/>
  <c r="P49" i="47"/>
  <c r="S49" i="47"/>
  <c r="T49" i="47" s="1"/>
  <c r="F50" i="47"/>
  <c r="G50" i="47"/>
  <c r="E50" i="47"/>
  <c r="H50" i="48" l="1"/>
  <c r="Y36" i="48"/>
  <c r="AB36" i="48"/>
  <c r="AC36" i="48" s="1"/>
  <c r="A120" i="48"/>
  <c r="B119" i="48"/>
  <c r="C119" i="48" s="1"/>
  <c r="J119" i="48" s="1"/>
  <c r="K119" i="48" s="1"/>
  <c r="AM119" i="48"/>
  <c r="AO119" i="48" s="1"/>
  <c r="AD119" i="48"/>
  <c r="AF119" i="48" s="1"/>
  <c r="U119" i="48"/>
  <c r="W119" i="48" s="1"/>
  <c r="I50" i="48"/>
  <c r="AA49" i="47"/>
  <c r="Q50" i="47"/>
  <c r="A121" i="47"/>
  <c r="B120" i="47"/>
  <c r="C120" i="47" s="1"/>
  <c r="J120" i="47" s="1"/>
  <c r="K120" i="47" s="1"/>
  <c r="AM120" i="47"/>
  <c r="AO120" i="47" s="1"/>
  <c r="U120" i="47"/>
  <c r="W120" i="47" s="1"/>
  <c r="AD120" i="47"/>
  <c r="AF120" i="47" s="1"/>
  <c r="I50" i="47"/>
  <c r="H50" i="47"/>
  <c r="AM120" i="48" l="1"/>
  <c r="AO120" i="48" s="1"/>
  <c r="AD120" i="48"/>
  <c r="AF120" i="48" s="1"/>
  <c r="U120" i="48"/>
  <c r="W120" i="48" s="1"/>
  <c r="B120" i="48"/>
  <c r="C120" i="48" s="1"/>
  <c r="J120" i="48" s="1"/>
  <c r="K120" i="48" s="1"/>
  <c r="A121" i="48"/>
  <c r="L50" i="48"/>
  <c r="M50" i="48" s="1"/>
  <c r="AJ36" i="48"/>
  <c r="Z37" i="48"/>
  <c r="AM121" i="47"/>
  <c r="AO121" i="47" s="1"/>
  <c r="AD121" i="47"/>
  <c r="AF121" i="47" s="1"/>
  <c r="U121" i="47"/>
  <c r="W121" i="47" s="1"/>
  <c r="A122" i="47"/>
  <c r="B121" i="47"/>
  <c r="C121" i="47" s="1"/>
  <c r="J121" i="47" s="1"/>
  <c r="K121" i="47" s="1"/>
  <c r="Y49" i="47"/>
  <c r="AB49" i="47"/>
  <c r="AC49" i="47" s="1"/>
  <c r="L50" i="47"/>
  <c r="M50" i="47" s="1"/>
  <c r="D50" i="48" l="1"/>
  <c r="F51" i="48" s="1"/>
  <c r="G51" i="48"/>
  <c r="E51" i="48"/>
  <c r="A122" i="48"/>
  <c r="B121" i="48"/>
  <c r="C121" i="48" s="1"/>
  <c r="J121" i="48" s="1"/>
  <c r="K121" i="48" s="1"/>
  <c r="AM121" i="48"/>
  <c r="AO121" i="48" s="1"/>
  <c r="AD121" i="48"/>
  <c r="AF121" i="48" s="1"/>
  <c r="U121" i="48"/>
  <c r="W121" i="48" s="1"/>
  <c r="AH36" i="48"/>
  <c r="AK36" i="48"/>
  <c r="AL36" i="48" s="1"/>
  <c r="N50" i="48"/>
  <c r="AJ49" i="47"/>
  <c r="Z50" i="47"/>
  <c r="A123" i="47"/>
  <c r="B122" i="47"/>
  <c r="C122" i="47" s="1"/>
  <c r="J122" i="47" s="1"/>
  <c r="K122" i="47" s="1"/>
  <c r="AM122" i="47"/>
  <c r="AO122" i="47" s="1"/>
  <c r="U122" i="47"/>
  <c r="W122" i="47" s="1"/>
  <c r="AD122" i="47"/>
  <c r="AF122" i="47" s="1"/>
  <c r="D50" i="47"/>
  <c r="N50" i="47"/>
  <c r="R50" i="47" s="1"/>
  <c r="AI37" i="48" l="1"/>
  <c r="AM122" i="48"/>
  <c r="AD122" i="48"/>
  <c r="AF122" i="48" s="1"/>
  <c r="U122" i="48"/>
  <c r="A123" i="48"/>
  <c r="AO122" i="48"/>
  <c r="W122" i="48"/>
  <c r="B122" i="48"/>
  <c r="C122" i="48" s="1"/>
  <c r="J122" i="48" s="1"/>
  <c r="K122" i="48" s="1"/>
  <c r="I51" i="48"/>
  <c r="H51" i="48"/>
  <c r="AM123" i="47"/>
  <c r="AO123" i="47" s="1"/>
  <c r="AD123" i="47"/>
  <c r="AF123" i="47" s="1"/>
  <c r="U123" i="47"/>
  <c r="W123" i="47" s="1"/>
  <c r="A124" i="47"/>
  <c r="B123" i="47"/>
  <c r="C123" i="47" s="1"/>
  <c r="J123" i="47" s="1"/>
  <c r="K123" i="47" s="1"/>
  <c r="P50" i="47"/>
  <c r="S50" i="47"/>
  <c r="T50" i="47" s="1"/>
  <c r="F51" i="47"/>
  <c r="G51" i="47"/>
  <c r="E51" i="47"/>
  <c r="AH49" i="47"/>
  <c r="AK49" i="47"/>
  <c r="AL49" i="47" s="1"/>
  <c r="AM123" i="48" l="1"/>
  <c r="AO123" i="48" s="1"/>
  <c r="AD123" i="48"/>
  <c r="AF123" i="48" s="1"/>
  <c r="U123" i="48"/>
  <c r="W123" i="48" s="1"/>
  <c r="A124" i="48"/>
  <c r="B123" i="48"/>
  <c r="C123" i="48" s="1"/>
  <c r="J123" i="48" s="1"/>
  <c r="K123" i="48" s="1"/>
  <c r="R37" i="48"/>
  <c r="L51" i="48"/>
  <c r="M51" i="48" s="1"/>
  <c r="AI50" i="47"/>
  <c r="AA50" i="47"/>
  <c r="Q51" i="47"/>
  <c r="A125" i="47"/>
  <c r="AF124" i="47"/>
  <c r="B124" i="47"/>
  <c r="C124" i="47" s="1"/>
  <c r="J124" i="47" s="1"/>
  <c r="K124" i="47" s="1"/>
  <c r="AD124" i="47"/>
  <c r="AM124" i="47"/>
  <c r="AO124" i="47" s="1"/>
  <c r="U124" i="47"/>
  <c r="W124" i="47" s="1"/>
  <c r="I51" i="47"/>
  <c r="H51" i="47"/>
  <c r="D51" i="48" l="1"/>
  <c r="B124" i="48"/>
  <c r="C124" i="48" s="1"/>
  <c r="J124" i="48" s="1"/>
  <c r="K124" i="48" s="1"/>
  <c r="AM124" i="48"/>
  <c r="AO124" i="48" s="1"/>
  <c r="AD124" i="48"/>
  <c r="AF124" i="48" s="1"/>
  <c r="U124" i="48"/>
  <c r="W124" i="48" s="1"/>
  <c r="A125" i="48"/>
  <c r="N51" i="48"/>
  <c r="P37" i="48"/>
  <c r="S37" i="48"/>
  <c r="T37" i="48" s="1"/>
  <c r="L51" i="47"/>
  <c r="N51" i="47" s="1"/>
  <c r="R51" i="47" s="1"/>
  <c r="D51" i="47"/>
  <c r="AM125" i="47"/>
  <c r="AO125" i="47" s="1"/>
  <c r="AD125" i="47"/>
  <c r="U125" i="47"/>
  <c r="A126" i="47"/>
  <c r="W125" i="47"/>
  <c r="B125" i="47"/>
  <c r="C125" i="47" s="1"/>
  <c r="J125" i="47" s="1"/>
  <c r="K125" i="47" s="1"/>
  <c r="AF125" i="47"/>
  <c r="Y50" i="47"/>
  <c r="AB50" i="47"/>
  <c r="AC50" i="47" s="1"/>
  <c r="M51" i="47" l="1"/>
  <c r="AM125" i="48"/>
  <c r="AO125" i="48" s="1"/>
  <c r="AD125" i="48"/>
  <c r="AF125" i="48" s="1"/>
  <c r="U125" i="48"/>
  <c r="W125" i="48" s="1"/>
  <c r="A126" i="48"/>
  <c r="B125" i="48"/>
  <c r="C125" i="48" s="1"/>
  <c r="J125" i="48" s="1"/>
  <c r="K125" i="48" s="1"/>
  <c r="AA37" i="48"/>
  <c r="Q38" i="48"/>
  <c r="G52" i="48"/>
  <c r="F52" i="48"/>
  <c r="H52" i="48" s="1"/>
  <c r="E52" i="48"/>
  <c r="P51" i="47"/>
  <c r="S51" i="47"/>
  <c r="T51" i="47" s="1"/>
  <c r="F52" i="47"/>
  <c r="G52" i="47"/>
  <c r="E52" i="47"/>
  <c r="AJ50" i="47"/>
  <c r="Z51" i="47"/>
  <c r="A127" i="47"/>
  <c r="B126" i="47"/>
  <c r="C126" i="47" s="1"/>
  <c r="J126" i="47" s="1"/>
  <c r="K126" i="47" s="1"/>
  <c r="AD126" i="47"/>
  <c r="AF126" i="47" s="1"/>
  <c r="AM126" i="47"/>
  <c r="AO126" i="47" s="1"/>
  <c r="U126" i="47"/>
  <c r="W126" i="47" s="1"/>
  <c r="H52" i="47" l="1"/>
  <c r="B126" i="48"/>
  <c r="C126" i="48" s="1"/>
  <c r="J126" i="48" s="1"/>
  <c r="K126" i="48" s="1"/>
  <c r="AM126" i="48"/>
  <c r="AO126" i="48" s="1"/>
  <c r="AD126" i="48"/>
  <c r="AF126" i="48" s="1"/>
  <c r="U126" i="48"/>
  <c r="W126" i="48" s="1"/>
  <c r="A127" i="48"/>
  <c r="I52" i="48"/>
  <c r="Y37" i="48"/>
  <c r="AB37" i="48"/>
  <c r="AC37" i="48" s="1"/>
  <c r="AM127" i="47"/>
  <c r="AO127" i="47" s="1"/>
  <c r="AD127" i="47"/>
  <c r="AF127" i="47" s="1"/>
  <c r="U127" i="47"/>
  <c r="W127" i="47" s="1"/>
  <c r="A128" i="47"/>
  <c r="B127" i="47"/>
  <c r="C127" i="47" s="1"/>
  <c r="J127" i="47" s="1"/>
  <c r="K127" i="47" s="1"/>
  <c r="I52" i="47"/>
  <c r="AH50" i="47"/>
  <c r="AK50" i="47"/>
  <c r="AL50" i="47" s="1"/>
  <c r="AA51" i="47"/>
  <c r="Y51" i="47" s="1"/>
  <c r="Q52" i="47"/>
  <c r="L52" i="48" l="1"/>
  <c r="N52" i="48" s="1"/>
  <c r="AJ37" i="48"/>
  <c r="Z38" i="48"/>
  <c r="M52" i="48"/>
  <c r="AM127" i="48"/>
  <c r="AO127" i="48" s="1"/>
  <c r="AD127" i="48"/>
  <c r="AF127" i="48" s="1"/>
  <c r="U127" i="48"/>
  <c r="A128" i="48"/>
  <c r="W127" i="48"/>
  <c r="B127" i="48"/>
  <c r="C127" i="48" s="1"/>
  <c r="J127" i="48" s="1"/>
  <c r="K127" i="48" s="1"/>
  <c r="AI51" i="47"/>
  <c r="N52" i="47"/>
  <c r="R52" i="47" s="1"/>
  <c r="P52" i="47" s="1"/>
  <c r="L52" i="47"/>
  <c r="D52" i="47" s="1"/>
  <c r="A129" i="47"/>
  <c r="B128" i="47"/>
  <c r="C128" i="47" s="1"/>
  <c r="J128" i="47" s="1"/>
  <c r="K128" i="47" s="1"/>
  <c r="AM128" i="47"/>
  <c r="AO128" i="47" s="1"/>
  <c r="U128" i="47"/>
  <c r="W128" i="47" s="1"/>
  <c r="AD128" i="47"/>
  <c r="AF128" i="47" s="1"/>
  <c r="AJ51" i="47"/>
  <c r="AH51" i="47" s="1"/>
  <c r="Z52" i="47"/>
  <c r="AB51" i="47"/>
  <c r="AC51" i="47" s="1"/>
  <c r="S52" i="47" l="1"/>
  <c r="T52" i="47" s="1"/>
  <c r="M52" i="47"/>
  <c r="AH37" i="48"/>
  <c r="AK37" i="48"/>
  <c r="AL37" i="48" s="1"/>
  <c r="B128" i="48"/>
  <c r="C128" i="48" s="1"/>
  <c r="J128" i="48" s="1"/>
  <c r="K128" i="48" s="1"/>
  <c r="AM128" i="48"/>
  <c r="AO128" i="48" s="1"/>
  <c r="AD128" i="48"/>
  <c r="AF128" i="48" s="1"/>
  <c r="U128" i="48"/>
  <c r="W128" i="48" s="1"/>
  <c r="A129" i="48"/>
  <c r="D52" i="48"/>
  <c r="AI52" i="47"/>
  <c r="F53" i="47"/>
  <c r="G53" i="47"/>
  <c r="E53" i="47"/>
  <c r="AA52" i="47"/>
  <c r="Y52" i="47" s="1"/>
  <c r="Q53" i="47"/>
  <c r="AB52" i="47"/>
  <c r="AC52" i="47" s="1"/>
  <c r="AM129" i="47"/>
  <c r="AD129" i="47"/>
  <c r="U129" i="47"/>
  <c r="A130" i="47"/>
  <c r="AF129" i="47"/>
  <c r="AO129" i="47"/>
  <c r="W129" i="47"/>
  <c r="B129" i="47"/>
  <c r="C129" i="47" s="1"/>
  <c r="J129" i="47" s="1"/>
  <c r="K129" i="47" s="1"/>
  <c r="AK51" i="47"/>
  <c r="AL51" i="47" s="1"/>
  <c r="AM129" i="48" l="1"/>
  <c r="AO129" i="48" s="1"/>
  <c r="AD129" i="48"/>
  <c r="AF129" i="48" s="1"/>
  <c r="U129" i="48"/>
  <c r="A130" i="48"/>
  <c r="W129" i="48"/>
  <c r="B129" i="48"/>
  <c r="C129" i="48" s="1"/>
  <c r="J129" i="48" s="1"/>
  <c r="K129" i="48" s="1"/>
  <c r="G53" i="48"/>
  <c r="F53" i="48"/>
  <c r="H53" i="48" s="1"/>
  <c r="E53" i="48"/>
  <c r="AI38" i="48"/>
  <c r="A131" i="47"/>
  <c r="B130" i="47"/>
  <c r="C130" i="47" s="1"/>
  <c r="J130" i="47" s="1"/>
  <c r="K130" i="47" s="1"/>
  <c r="AM130" i="47"/>
  <c r="AO130" i="47" s="1"/>
  <c r="U130" i="47"/>
  <c r="W130" i="47" s="1"/>
  <c r="AD130" i="47"/>
  <c r="AF130" i="47" s="1"/>
  <c r="I53" i="47"/>
  <c r="AJ52" i="47"/>
  <c r="AH52" i="47" s="1"/>
  <c r="Z53" i="47"/>
  <c r="H53" i="47"/>
  <c r="I53" i="48" l="1"/>
  <c r="R38" i="48"/>
  <c r="B130" i="48"/>
  <c r="C130" i="48" s="1"/>
  <c r="J130" i="48" s="1"/>
  <c r="K130" i="48" s="1"/>
  <c r="AM130" i="48"/>
  <c r="AO130" i="48" s="1"/>
  <c r="AD130" i="48"/>
  <c r="AF130" i="48" s="1"/>
  <c r="U130" i="48"/>
  <c r="W130" i="48" s="1"/>
  <c r="A131" i="48"/>
  <c r="AK52" i="47"/>
  <c r="AL52" i="47" s="1"/>
  <c r="L53" i="47"/>
  <c r="M53" i="47" s="1"/>
  <c r="D53" i="47"/>
  <c r="AI53" i="47"/>
  <c r="AM131" i="47"/>
  <c r="AO131" i="47" s="1"/>
  <c r="AD131" i="47"/>
  <c r="U131" i="47"/>
  <c r="A132" i="47"/>
  <c r="AF131" i="47"/>
  <c r="W131" i="47"/>
  <c r="B131" i="47"/>
  <c r="C131" i="47" s="1"/>
  <c r="J131" i="47" s="1"/>
  <c r="K131" i="47" s="1"/>
  <c r="P38" i="48" l="1"/>
  <c r="S38" i="48"/>
  <c r="T38" i="48" s="1"/>
  <c r="AM131" i="48"/>
  <c r="AO131" i="48" s="1"/>
  <c r="AD131" i="48"/>
  <c r="AF131" i="48" s="1"/>
  <c r="U131" i="48"/>
  <c r="A132" i="48"/>
  <c r="W131" i="48"/>
  <c r="B131" i="48"/>
  <c r="C131" i="48" s="1"/>
  <c r="J131" i="48" s="1"/>
  <c r="K131" i="48" s="1"/>
  <c r="L53" i="48"/>
  <c r="M53" i="48" s="1"/>
  <c r="F54" i="47"/>
  <c r="G54" i="47"/>
  <c r="E54" i="47"/>
  <c r="B132" i="47"/>
  <c r="A133" i="47"/>
  <c r="AM132" i="47"/>
  <c r="AO132" i="47" s="1"/>
  <c r="AD132" i="47"/>
  <c r="AF132" i="47" s="1"/>
  <c r="U132" i="47"/>
  <c r="W132" i="47" s="1"/>
  <c r="C132" i="47"/>
  <c r="J132" i="47" s="1"/>
  <c r="K132" i="47" s="1"/>
  <c r="N53" i="47"/>
  <c r="R53" i="47" s="1"/>
  <c r="D53" i="48" l="1"/>
  <c r="F54" i="48" s="1"/>
  <c r="B132" i="48"/>
  <c r="C132" i="48" s="1"/>
  <c r="J132" i="48" s="1"/>
  <c r="K132" i="48" s="1"/>
  <c r="AM132" i="48"/>
  <c r="AO132" i="48" s="1"/>
  <c r="AD132" i="48"/>
  <c r="AF132" i="48" s="1"/>
  <c r="U132" i="48"/>
  <c r="W132" i="48" s="1"/>
  <c r="A133" i="48"/>
  <c r="N53" i="48"/>
  <c r="AA38" i="48"/>
  <c r="Q39" i="48"/>
  <c r="P53" i="47"/>
  <c r="S53" i="47"/>
  <c r="T53" i="47" s="1"/>
  <c r="AM133" i="47"/>
  <c r="AO133" i="47" s="1"/>
  <c r="AD133" i="47"/>
  <c r="U133" i="47"/>
  <c r="A134" i="47"/>
  <c r="AF133" i="47"/>
  <c r="W133" i="47"/>
  <c r="B133" i="47"/>
  <c r="C133" i="47" s="1"/>
  <c r="J133" i="47" s="1"/>
  <c r="K133" i="47" s="1"/>
  <c r="I54" i="47"/>
  <c r="H54" i="47"/>
  <c r="E54" i="48" l="1"/>
  <c r="G54" i="48"/>
  <c r="H54" i="48" s="1"/>
  <c r="I54" i="48"/>
  <c r="AM133" i="48"/>
  <c r="AO133" i="48" s="1"/>
  <c r="AD133" i="48"/>
  <c r="U133" i="48"/>
  <c r="A134" i="48"/>
  <c r="AF133" i="48"/>
  <c r="W133" i="48"/>
  <c r="B133" i="48"/>
  <c r="C133" i="48" s="1"/>
  <c r="J133" i="48" s="1"/>
  <c r="K133" i="48" s="1"/>
  <c r="Y38" i="48"/>
  <c r="AB38" i="48"/>
  <c r="AC38" i="48" s="1"/>
  <c r="L54" i="47"/>
  <c r="N54" i="47" s="1"/>
  <c r="R54" i="47" s="1"/>
  <c r="P54" i="47" s="1"/>
  <c r="A135" i="47"/>
  <c r="B134" i="47"/>
  <c r="C134" i="47" s="1"/>
  <c r="J134" i="47" s="1"/>
  <c r="K134" i="47" s="1"/>
  <c r="AM134" i="47"/>
  <c r="AO134" i="47" s="1"/>
  <c r="U134" i="47"/>
  <c r="W134" i="47" s="1"/>
  <c r="AD134" i="47"/>
  <c r="AF134" i="47" s="1"/>
  <c r="AA53" i="47"/>
  <c r="Q54" i="47"/>
  <c r="M54" i="47"/>
  <c r="B134" i="48" l="1"/>
  <c r="C134" i="48" s="1"/>
  <c r="J134" i="48" s="1"/>
  <c r="K134" i="48" s="1"/>
  <c r="AM134" i="48"/>
  <c r="AO134" i="48" s="1"/>
  <c r="AD134" i="48"/>
  <c r="AF134" i="48" s="1"/>
  <c r="U134" i="48"/>
  <c r="W134" i="48" s="1"/>
  <c r="A135" i="48"/>
  <c r="AJ38" i="48"/>
  <c r="Z39" i="48"/>
  <c r="L54" i="48"/>
  <c r="M54" i="48" s="1"/>
  <c r="AA54" i="47"/>
  <c r="Q55" i="47"/>
  <c r="Y53" i="47"/>
  <c r="AB53" i="47"/>
  <c r="AC53" i="47" s="1"/>
  <c r="D54" i="47"/>
  <c r="S54" i="47"/>
  <c r="T54" i="47" s="1"/>
  <c r="AM135" i="47"/>
  <c r="AD135" i="47"/>
  <c r="U135" i="47"/>
  <c r="A136" i="47"/>
  <c r="B135" i="47"/>
  <c r="C135" i="47" s="1"/>
  <c r="J135" i="47" s="1"/>
  <c r="K135" i="47" s="1"/>
  <c r="AF135" i="47"/>
  <c r="W135" i="47"/>
  <c r="AO135" i="47"/>
  <c r="AH38" i="48" l="1"/>
  <c r="AK38" i="48"/>
  <c r="AL38" i="48" s="1"/>
  <c r="N54" i="48"/>
  <c r="D54" i="48"/>
  <c r="AM135" i="48"/>
  <c r="AO135" i="48" s="1"/>
  <c r="AD135" i="48"/>
  <c r="U135" i="48"/>
  <c r="W135" i="48" s="1"/>
  <c r="A136" i="48"/>
  <c r="AF135" i="48"/>
  <c r="B135" i="48"/>
  <c r="C135" i="48" s="1"/>
  <c r="J135" i="48" s="1"/>
  <c r="K135" i="48" s="1"/>
  <c r="A137" i="47"/>
  <c r="C136" i="47"/>
  <c r="J136" i="47" s="1"/>
  <c r="K136" i="47" s="1"/>
  <c r="B136" i="47"/>
  <c r="AD136" i="47"/>
  <c r="AF136" i="47" s="1"/>
  <c r="AM136" i="47"/>
  <c r="AO136" i="47" s="1"/>
  <c r="U136" i="47"/>
  <c r="W136" i="47" s="1"/>
  <c r="F55" i="47"/>
  <c r="G55" i="47"/>
  <c r="E55" i="47"/>
  <c r="AJ53" i="47"/>
  <c r="Z54" i="47"/>
  <c r="AB54" i="47" s="1"/>
  <c r="AC54" i="47" s="1"/>
  <c r="Y54" i="47"/>
  <c r="H55" i="47" l="1"/>
  <c r="F55" i="48"/>
  <c r="G55" i="48"/>
  <c r="E55" i="48"/>
  <c r="B136" i="48"/>
  <c r="AM136" i="48"/>
  <c r="AO136" i="48" s="1"/>
  <c r="AD136" i="48"/>
  <c r="AF136" i="48" s="1"/>
  <c r="U136" i="48"/>
  <c r="W136" i="48" s="1"/>
  <c r="C136" i="48"/>
  <c r="J136" i="48" s="1"/>
  <c r="K136" i="48" s="1"/>
  <c r="A137" i="48"/>
  <c r="AI39" i="48"/>
  <c r="AH53" i="47"/>
  <c r="AK53" i="47"/>
  <c r="AL53" i="47" s="1"/>
  <c r="AM137" i="47"/>
  <c r="AO137" i="47" s="1"/>
  <c r="AD137" i="47"/>
  <c r="U137" i="47"/>
  <c r="A138" i="47"/>
  <c r="W137" i="47"/>
  <c r="B137" i="47"/>
  <c r="C137" i="47" s="1"/>
  <c r="J137" i="47" s="1"/>
  <c r="K137" i="47" s="1"/>
  <c r="AF137" i="47"/>
  <c r="AJ54" i="47"/>
  <c r="Z55" i="47"/>
  <c r="I55" i="47"/>
  <c r="R39" i="48" l="1"/>
  <c r="H55" i="48"/>
  <c r="AM137" i="48"/>
  <c r="AO137" i="48" s="1"/>
  <c r="AD137" i="48"/>
  <c r="AF137" i="48" s="1"/>
  <c r="U137" i="48"/>
  <c r="A138" i="48"/>
  <c r="W137" i="48"/>
  <c r="B137" i="48"/>
  <c r="C137" i="48" s="1"/>
  <c r="J137" i="48" s="1"/>
  <c r="K137" i="48" s="1"/>
  <c r="I55" i="48"/>
  <c r="A139" i="47"/>
  <c r="C138" i="47"/>
  <c r="J138" i="47"/>
  <c r="K138" i="47" s="1"/>
  <c r="B138" i="47"/>
  <c r="AD138" i="47"/>
  <c r="AF138" i="47" s="1"/>
  <c r="AM138" i="47"/>
  <c r="AO138" i="47" s="1"/>
  <c r="U138" i="47"/>
  <c r="W138" i="47" s="1"/>
  <c r="L55" i="47"/>
  <c r="M55" i="47" s="1"/>
  <c r="AH54" i="47"/>
  <c r="AI54" i="47"/>
  <c r="AK54" i="47" s="1"/>
  <c r="AL54" i="47" s="1"/>
  <c r="L55" i="48" l="1"/>
  <c r="N55" i="48" s="1"/>
  <c r="P39" i="48"/>
  <c r="S39" i="48"/>
  <c r="T39" i="48" s="1"/>
  <c r="B138" i="48"/>
  <c r="C138" i="48" s="1"/>
  <c r="J138" i="48" s="1"/>
  <c r="K138" i="48" s="1"/>
  <c r="AM138" i="48"/>
  <c r="AO138" i="48" s="1"/>
  <c r="AD138" i="48"/>
  <c r="AF138" i="48" s="1"/>
  <c r="U138" i="48"/>
  <c r="W138" i="48" s="1"/>
  <c r="A139" i="48"/>
  <c r="D55" i="47"/>
  <c r="AM139" i="47"/>
  <c r="AO139" i="47" s="1"/>
  <c r="AD139" i="47"/>
  <c r="AF139" i="47" s="1"/>
  <c r="U139" i="47"/>
  <c r="W139" i="47" s="1"/>
  <c r="A140" i="47"/>
  <c r="B139" i="47"/>
  <c r="C139" i="47" s="1"/>
  <c r="J139" i="47" s="1"/>
  <c r="K139" i="47" s="1"/>
  <c r="N55" i="47"/>
  <c r="R55" i="47" s="1"/>
  <c r="AI55" i="47"/>
  <c r="M55" i="48" l="1"/>
  <c r="AA39" i="48"/>
  <c r="Q40" i="48"/>
  <c r="D55" i="48"/>
  <c r="AM139" i="48"/>
  <c r="AD139" i="48"/>
  <c r="AF139" i="48" s="1"/>
  <c r="U139" i="48"/>
  <c r="A140" i="48"/>
  <c r="AO139" i="48"/>
  <c r="W139" i="48"/>
  <c r="B139" i="48"/>
  <c r="C139" i="48" s="1"/>
  <c r="J139" i="48" s="1"/>
  <c r="K139" i="48" s="1"/>
  <c r="A141" i="47"/>
  <c r="B140" i="47"/>
  <c r="C140" i="47" s="1"/>
  <c r="J140" i="47" s="1"/>
  <c r="K140" i="47" s="1"/>
  <c r="AM140" i="47"/>
  <c r="AO140" i="47" s="1"/>
  <c r="U140" i="47"/>
  <c r="W140" i="47" s="1"/>
  <c r="AD140" i="47"/>
  <c r="AF140" i="47" s="1"/>
  <c r="P55" i="47"/>
  <c r="S55" i="47"/>
  <c r="T55" i="47" s="1"/>
  <c r="F56" i="47"/>
  <c r="G56" i="47"/>
  <c r="E56" i="47"/>
  <c r="H56" i="47" l="1"/>
  <c r="A141" i="48"/>
  <c r="B140" i="48"/>
  <c r="AM140" i="48"/>
  <c r="AO140" i="48" s="1"/>
  <c r="AD140" i="48"/>
  <c r="AF140" i="48" s="1"/>
  <c r="U140" i="48"/>
  <c r="W140" i="48" s="1"/>
  <c r="C140" i="48"/>
  <c r="J140" i="48" s="1"/>
  <c r="K140" i="48" s="1"/>
  <c r="Y39" i="48"/>
  <c r="AB39" i="48"/>
  <c r="AC39" i="48" s="1"/>
  <c r="F56" i="48"/>
  <c r="G56" i="48"/>
  <c r="E56" i="48"/>
  <c r="AA55" i="47"/>
  <c r="Q56" i="47"/>
  <c r="I56" i="47"/>
  <c r="AM141" i="47"/>
  <c r="AO141" i="47" s="1"/>
  <c r="AD141" i="47"/>
  <c r="AF141" i="47" s="1"/>
  <c r="U141" i="47"/>
  <c r="A142" i="47"/>
  <c r="W141" i="47"/>
  <c r="B141" i="47"/>
  <c r="C141" i="47" s="1"/>
  <c r="J141" i="47" s="1"/>
  <c r="K141" i="47" s="1"/>
  <c r="H56" i="48" l="1"/>
  <c r="AJ39" i="48"/>
  <c r="Z40" i="48"/>
  <c r="I56" i="48"/>
  <c r="A142" i="48"/>
  <c r="AD141" i="48"/>
  <c r="AM141" i="48"/>
  <c r="AO141" i="48" s="1"/>
  <c r="AF141" i="48"/>
  <c r="U141" i="48"/>
  <c r="W141" i="48" s="1"/>
  <c r="B141" i="48"/>
  <c r="C141" i="48" s="1"/>
  <c r="J141" i="48" s="1"/>
  <c r="K141" i="48" s="1"/>
  <c r="A143" i="47"/>
  <c r="C142" i="47"/>
  <c r="J142" i="47" s="1"/>
  <c r="K142" i="47" s="1"/>
  <c r="B142" i="47"/>
  <c r="AM142" i="47"/>
  <c r="AO142" i="47" s="1"/>
  <c r="U142" i="47"/>
  <c r="W142" i="47" s="1"/>
  <c r="AD142" i="47"/>
  <c r="AF142" i="47" s="1"/>
  <c r="L56" i="47"/>
  <c r="M56" i="47" s="1"/>
  <c r="D56" i="47"/>
  <c r="Y55" i="47"/>
  <c r="AB55" i="47"/>
  <c r="AC55" i="47" s="1"/>
  <c r="N56" i="47" l="1"/>
  <c r="R56" i="47" s="1"/>
  <c r="P56" i="47" s="1"/>
  <c r="L56" i="48"/>
  <c r="M56" i="48" s="1"/>
  <c r="AM142" i="48"/>
  <c r="AO142" i="48" s="1"/>
  <c r="U142" i="48"/>
  <c r="W142" i="48" s="1"/>
  <c r="AD142" i="48"/>
  <c r="AF142" i="48" s="1"/>
  <c r="B142" i="48"/>
  <c r="C142" i="48" s="1"/>
  <c r="J142" i="48" s="1"/>
  <c r="K142" i="48" s="1"/>
  <c r="A143" i="48"/>
  <c r="AH39" i="48"/>
  <c r="AK39" i="48"/>
  <c r="AL39" i="48" s="1"/>
  <c r="AA56" i="47"/>
  <c r="Y56" i="47" s="1"/>
  <c r="Q57" i="47"/>
  <c r="F57" i="47"/>
  <c r="H57" i="47" s="1"/>
  <c r="G57" i="47"/>
  <c r="E57" i="47"/>
  <c r="AM143" i="47"/>
  <c r="AD143" i="47"/>
  <c r="U143" i="47"/>
  <c r="W143" i="47" s="1"/>
  <c r="A144" i="47"/>
  <c r="B143" i="47"/>
  <c r="C143" i="47" s="1"/>
  <c r="J143" i="47" s="1"/>
  <c r="K143" i="47" s="1"/>
  <c r="AF143" i="47"/>
  <c r="AO143" i="47"/>
  <c r="AJ55" i="47"/>
  <c r="Z56" i="47"/>
  <c r="S56" i="47"/>
  <c r="T56" i="47" s="1"/>
  <c r="AB56" i="47" l="1"/>
  <c r="AC56" i="47" s="1"/>
  <c r="AI40" i="48"/>
  <c r="D56" i="48"/>
  <c r="A144" i="48"/>
  <c r="AM143" i="48"/>
  <c r="U143" i="48"/>
  <c r="B143" i="48"/>
  <c r="C143" i="48" s="1"/>
  <c r="J143" i="48" s="1"/>
  <c r="K143" i="48" s="1"/>
  <c r="AO143" i="48"/>
  <c r="AD143" i="48"/>
  <c r="AF143" i="48" s="1"/>
  <c r="W143" i="48"/>
  <c r="N56" i="48"/>
  <c r="AJ56" i="47"/>
  <c r="Z57" i="47"/>
  <c r="I57" i="47"/>
  <c r="AH55" i="47"/>
  <c r="AK55" i="47"/>
  <c r="AL55" i="47" s="1"/>
  <c r="A145" i="47"/>
  <c r="B144" i="47"/>
  <c r="C144" i="47" s="1"/>
  <c r="J144" i="47" s="1"/>
  <c r="K144" i="47" s="1"/>
  <c r="AD144" i="47"/>
  <c r="AF144" i="47" s="1"/>
  <c r="AM144" i="47"/>
  <c r="AO144" i="47" s="1"/>
  <c r="U144" i="47"/>
  <c r="W144" i="47" s="1"/>
  <c r="F57" i="48" l="1"/>
  <c r="G57" i="48"/>
  <c r="E57" i="48"/>
  <c r="R40" i="48"/>
  <c r="AM144" i="48"/>
  <c r="U144" i="48"/>
  <c r="A145" i="48"/>
  <c r="AD144" i="48"/>
  <c r="AF144" i="48" s="1"/>
  <c r="B144" i="48"/>
  <c r="C144" i="48" s="1"/>
  <c r="J144" i="48" s="1"/>
  <c r="K144" i="48" s="1"/>
  <c r="W144" i="48"/>
  <c r="AO144" i="48"/>
  <c r="AM145" i="47"/>
  <c r="AO145" i="47" s="1"/>
  <c r="AD145" i="47"/>
  <c r="U145" i="47"/>
  <c r="A146" i="47"/>
  <c r="W145" i="47"/>
  <c r="B145" i="47"/>
  <c r="C145" i="47" s="1"/>
  <c r="J145" i="47" s="1"/>
  <c r="K145" i="47" s="1"/>
  <c r="AF145" i="47"/>
  <c r="AH56" i="47"/>
  <c r="AI56" i="47"/>
  <c r="AK56" i="47" s="1"/>
  <c r="AL56" i="47" s="1"/>
  <c r="L57" i="47"/>
  <c r="M57" i="47" s="1"/>
  <c r="D57" i="47" l="1"/>
  <c r="N57" i="47"/>
  <c r="R57" i="47" s="1"/>
  <c r="P57" i="47" s="1"/>
  <c r="P40" i="48"/>
  <c r="S40" i="48"/>
  <c r="T40" i="48" s="1"/>
  <c r="A146" i="48"/>
  <c r="AM145" i="48"/>
  <c r="U145" i="48"/>
  <c r="B145" i="48"/>
  <c r="C145" i="48" s="1"/>
  <c r="J145" i="48" s="1"/>
  <c r="K145" i="48" s="1"/>
  <c r="AO145" i="48"/>
  <c r="AD145" i="48"/>
  <c r="AF145" i="48" s="1"/>
  <c r="W145" i="48"/>
  <c r="H57" i="48"/>
  <c r="I57" i="48"/>
  <c r="G58" i="47"/>
  <c r="F58" i="47"/>
  <c r="H58" i="47" s="1"/>
  <c r="E58" i="47"/>
  <c r="S57" i="47"/>
  <c r="T57" i="47" s="1"/>
  <c r="A147" i="47"/>
  <c r="B146" i="47"/>
  <c r="C146" i="47" s="1"/>
  <c r="J146" i="47" s="1"/>
  <c r="K146" i="47" s="1"/>
  <c r="AD146" i="47"/>
  <c r="AF146" i="47" s="1"/>
  <c r="AM146" i="47"/>
  <c r="AO146" i="47" s="1"/>
  <c r="U146" i="47"/>
  <c r="W146" i="47" s="1"/>
  <c r="AI57" i="47"/>
  <c r="AM146" i="48" l="1"/>
  <c r="AD146" i="48"/>
  <c r="AF146" i="48" s="1"/>
  <c r="U146" i="48"/>
  <c r="W146" i="48" s="1"/>
  <c r="AO146" i="48"/>
  <c r="B146" i="48"/>
  <c r="C146" i="48" s="1"/>
  <c r="J146" i="48" s="1"/>
  <c r="K146" i="48" s="1"/>
  <c r="A147" i="48"/>
  <c r="L57" i="48"/>
  <c r="D57" i="48" s="1"/>
  <c r="AA40" i="48"/>
  <c r="Q41" i="48"/>
  <c r="AM147" i="47"/>
  <c r="AO147" i="47" s="1"/>
  <c r="AD147" i="47"/>
  <c r="AF147" i="47" s="1"/>
  <c r="U147" i="47"/>
  <c r="W147" i="47" s="1"/>
  <c r="A148" i="47"/>
  <c r="B147" i="47"/>
  <c r="C147" i="47" s="1"/>
  <c r="J147" i="47" s="1"/>
  <c r="K147" i="47" s="1"/>
  <c r="AA57" i="47"/>
  <c r="Q58" i="47"/>
  <c r="I58" i="47"/>
  <c r="F58" i="48" l="1"/>
  <c r="G58" i="48"/>
  <c r="E58" i="48"/>
  <c r="Y40" i="48"/>
  <c r="AB40" i="48"/>
  <c r="AC40" i="48" s="1"/>
  <c r="N57" i="48"/>
  <c r="M57" i="48"/>
  <c r="A148" i="48"/>
  <c r="B147" i="48"/>
  <c r="C147" i="48" s="1"/>
  <c r="J147" i="48" s="1"/>
  <c r="K147" i="48" s="1"/>
  <c r="AM147" i="48"/>
  <c r="AO147" i="48" s="1"/>
  <c r="AD147" i="48"/>
  <c r="AF147" i="48" s="1"/>
  <c r="U147" i="48"/>
  <c r="W147" i="48" s="1"/>
  <c r="Y57" i="47"/>
  <c r="AB57" i="47"/>
  <c r="AC57" i="47" s="1"/>
  <c r="A149" i="47"/>
  <c r="B148" i="47"/>
  <c r="C148" i="47" s="1"/>
  <c r="J148" i="47" s="1"/>
  <c r="K148" i="47" s="1"/>
  <c r="AM148" i="47"/>
  <c r="AO148" i="47" s="1"/>
  <c r="U148" i="47"/>
  <c r="W148" i="47" s="1"/>
  <c r="AD148" i="47"/>
  <c r="AF148" i="47" s="1"/>
  <c r="L58" i="47"/>
  <c r="M58" i="47" s="1"/>
  <c r="AM148" i="48" l="1"/>
  <c r="AD148" i="48"/>
  <c r="U148" i="48"/>
  <c r="B148" i="48"/>
  <c r="C148" i="48" s="1"/>
  <c r="J148" i="48" s="1"/>
  <c r="K148" i="48" s="1"/>
  <c r="A149" i="48"/>
  <c r="AO148" i="48"/>
  <c r="AF148" i="48"/>
  <c r="W148" i="48"/>
  <c r="AJ40" i="48"/>
  <c r="Z41" i="48"/>
  <c r="I58" i="48"/>
  <c r="H58" i="48"/>
  <c r="AM149" i="47"/>
  <c r="AO149" i="47" s="1"/>
  <c r="AD149" i="47"/>
  <c r="U149" i="47"/>
  <c r="W149" i="47" s="1"/>
  <c r="A150" i="47"/>
  <c r="AF149" i="47"/>
  <c r="B149" i="47"/>
  <c r="C149" i="47" s="1"/>
  <c r="J149" i="47" s="1"/>
  <c r="K149" i="47" s="1"/>
  <c r="D58" i="47"/>
  <c r="N58" i="47"/>
  <c r="R58" i="47" s="1"/>
  <c r="AJ57" i="47"/>
  <c r="Z58" i="47"/>
  <c r="AH40" i="48" l="1"/>
  <c r="AK40" i="48"/>
  <c r="AL40" i="48" s="1"/>
  <c r="L58" i="48"/>
  <c r="N58" i="48" s="1"/>
  <c r="A150" i="48"/>
  <c r="B149" i="48"/>
  <c r="C149" i="48" s="1"/>
  <c r="J149" i="48" s="1"/>
  <c r="K149" i="48" s="1"/>
  <c r="AM149" i="48"/>
  <c r="AO149" i="48" s="1"/>
  <c r="AD149" i="48"/>
  <c r="AF149" i="48" s="1"/>
  <c r="U149" i="48"/>
  <c r="W149" i="48" s="1"/>
  <c r="A151" i="47"/>
  <c r="B150" i="47"/>
  <c r="C150" i="47" s="1"/>
  <c r="J150" i="47" s="1"/>
  <c r="K150" i="47" s="1"/>
  <c r="AM150" i="47"/>
  <c r="AO150" i="47" s="1"/>
  <c r="AD150" i="47"/>
  <c r="AF150" i="47" s="1"/>
  <c r="U150" i="47"/>
  <c r="W150" i="47" s="1"/>
  <c r="AH57" i="47"/>
  <c r="AK57" i="47"/>
  <c r="AL57" i="47" s="1"/>
  <c r="F59" i="47"/>
  <c r="G59" i="47"/>
  <c r="E59" i="47"/>
  <c r="P58" i="47"/>
  <c r="S58" i="47"/>
  <c r="T58" i="47" s="1"/>
  <c r="H59" i="47" l="1"/>
  <c r="M58" i="48"/>
  <c r="D58" i="48"/>
  <c r="F59" i="48" s="1"/>
  <c r="AM150" i="48"/>
  <c r="AO150" i="48" s="1"/>
  <c r="AD150" i="48"/>
  <c r="AF150" i="48" s="1"/>
  <c r="U150" i="48"/>
  <c r="W150" i="48" s="1"/>
  <c r="B150" i="48"/>
  <c r="C150" i="48" s="1"/>
  <c r="J150" i="48" s="1"/>
  <c r="K150" i="48" s="1"/>
  <c r="A151" i="48"/>
  <c r="AI41" i="48"/>
  <c r="AI58" i="47"/>
  <c r="AA58" i="47"/>
  <c r="Q59" i="47"/>
  <c r="I59" i="47"/>
  <c r="AM151" i="47"/>
  <c r="AD151" i="47"/>
  <c r="U151" i="47"/>
  <c r="A152" i="47"/>
  <c r="AO151" i="47"/>
  <c r="AF151" i="47"/>
  <c r="W151" i="47"/>
  <c r="B151" i="47"/>
  <c r="C151" i="47" s="1"/>
  <c r="J151" i="47" s="1"/>
  <c r="K151" i="47" s="1"/>
  <c r="E59" i="48" l="1"/>
  <c r="I59" i="48" s="1"/>
  <c r="G59" i="48"/>
  <c r="H59" i="48" s="1"/>
  <c r="A152" i="48"/>
  <c r="B151" i="48"/>
  <c r="C151" i="48" s="1"/>
  <c r="J151" i="48" s="1"/>
  <c r="K151" i="48" s="1"/>
  <c r="AM151" i="48"/>
  <c r="AO151" i="48" s="1"/>
  <c r="AD151" i="48"/>
  <c r="AF151" i="48" s="1"/>
  <c r="U151" i="48"/>
  <c r="W151" i="48" s="1"/>
  <c r="R41" i="48"/>
  <c r="L59" i="47"/>
  <c r="M59" i="47" s="1"/>
  <c r="D59" i="47"/>
  <c r="Y58" i="47"/>
  <c r="AB58" i="47"/>
  <c r="AC58" i="47" s="1"/>
  <c r="A153" i="47"/>
  <c r="B152" i="47"/>
  <c r="C152" i="47" s="1"/>
  <c r="J152" i="47" s="1"/>
  <c r="K152" i="47" s="1"/>
  <c r="AM152" i="47"/>
  <c r="AO152" i="47" s="1"/>
  <c r="AD152" i="47"/>
  <c r="AF152" i="47" s="1"/>
  <c r="U152" i="47"/>
  <c r="W152" i="47" s="1"/>
  <c r="L59" i="48" l="1"/>
  <c r="N59" i="48" s="1"/>
  <c r="AM152" i="48"/>
  <c r="AO152" i="48" s="1"/>
  <c r="AD152" i="48"/>
  <c r="AF152" i="48" s="1"/>
  <c r="U152" i="48"/>
  <c r="B152" i="48"/>
  <c r="A153" i="48"/>
  <c r="W152" i="48"/>
  <c r="C152" i="48"/>
  <c r="J152" i="48" s="1"/>
  <c r="K152" i="48" s="1"/>
  <c r="P41" i="48"/>
  <c r="S41" i="48"/>
  <c r="T41" i="48" s="1"/>
  <c r="AJ58" i="47"/>
  <c r="Z59" i="47"/>
  <c r="AM153" i="47"/>
  <c r="AD153" i="47"/>
  <c r="AF153" i="47" s="1"/>
  <c r="U153" i="47"/>
  <c r="A154" i="47"/>
  <c r="AO153" i="47"/>
  <c r="W153" i="47"/>
  <c r="B153" i="47"/>
  <c r="C153" i="47" s="1"/>
  <c r="J153" i="47" s="1"/>
  <c r="K153" i="47" s="1"/>
  <c r="G60" i="47"/>
  <c r="F60" i="47"/>
  <c r="E60" i="47"/>
  <c r="N59" i="47"/>
  <c r="R59" i="47" s="1"/>
  <c r="M59" i="48" l="1"/>
  <c r="A154" i="48"/>
  <c r="B153" i="48"/>
  <c r="C153" i="48" s="1"/>
  <c r="J153" i="48" s="1"/>
  <c r="K153" i="48" s="1"/>
  <c r="AM153" i="48"/>
  <c r="AO153" i="48" s="1"/>
  <c r="AD153" i="48"/>
  <c r="AF153" i="48" s="1"/>
  <c r="U153" i="48"/>
  <c r="W153" i="48" s="1"/>
  <c r="AA41" i="48"/>
  <c r="Q42" i="48"/>
  <c r="D59" i="48"/>
  <c r="P59" i="47"/>
  <c r="S59" i="47"/>
  <c r="T59" i="47" s="1"/>
  <c r="I60" i="47"/>
  <c r="A155" i="47"/>
  <c r="B154" i="47"/>
  <c r="C154" i="47" s="1"/>
  <c r="J154" i="47" s="1"/>
  <c r="K154" i="47" s="1"/>
  <c r="AM154" i="47"/>
  <c r="AO154" i="47" s="1"/>
  <c r="AD154" i="47"/>
  <c r="AF154" i="47" s="1"/>
  <c r="U154" i="47"/>
  <c r="W154" i="47" s="1"/>
  <c r="H60" i="47"/>
  <c r="AH58" i="47"/>
  <c r="AK58" i="47"/>
  <c r="AL58" i="47" s="1"/>
  <c r="AM154" i="48" l="1"/>
  <c r="AO154" i="48" s="1"/>
  <c r="AD154" i="48"/>
  <c r="AF154" i="48" s="1"/>
  <c r="U154" i="48"/>
  <c r="W154" i="48" s="1"/>
  <c r="B154" i="48"/>
  <c r="C154" i="48" s="1"/>
  <c r="J154" i="48" s="1"/>
  <c r="K154" i="48" s="1"/>
  <c r="A155" i="48"/>
  <c r="G60" i="48"/>
  <c r="F60" i="48"/>
  <c r="H60" i="48" s="1"/>
  <c r="E60" i="48"/>
  <c r="Y41" i="48"/>
  <c r="AB41" i="48"/>
  <c r="AC41" i="48" s="1"/>
  <c r="N60" i="47"/>
  <c r="R60" i="47" s="1"/>
  <c r="P60" i="47" s="1"/>
  <c r="D60" i="47"/>
  <c r="L60" i="47"/>
  <c r="M60" i="47" s="1"/>
  <c r="AI59" i="47"/>
  <c r="AM155" i="47"/>
  <c r="AD155" i="47"/>
  <c r="AF155" i="47" s="1"/>
  <c r="U155" i="47"/>
  <c r="A156" i="47"/>
  <c r="AO155" i="47"/>
  <c r="W155" i="47"/>
  <c r="B155" i="47"/>
  <c r="C155" i="47" s="1"/>
  <c r="J155" i="47" s="1"/>
  <c r="K155" i="47" s="1"/>
  <c r="AA59" i="47"/>
  <c r="Q60" i="47"/>
  <c r="S60" i="47" l="1"/>
  <c r="T60" i="47" s="1"/>
  <c r="I60" i="48"/>
  <c r="AJ41" i="48"/>
  <c r="Z42" i="48"/>
  <c r="A156" i="48"/>
  <c r="B155" i="48"/>
  <c r="C155" i="48" s="1"/>
  <c r="J155" i="48" s="1"/>
  <c r="K155" i="48" s="1"/>
  <c r="AM155" i="48"/>
  <c r="AO155" i="48" s="1"/>
  <c r="AD155" i="48"/>
  <c r="AF155" i="48" s="1"/>
  <c r="U155" i="48"/>
  <c r="W155" i="48" s="1"/>
  <c r="AA60" i="47"/>
  <c r="Q61" i="47"/>
  <c r="Y59" i="47"/>
  <c r="AB59" i="47"/>
  <c r="AC59" i="47" s="1"/>
  <c r="A157" i="47"/>
  <c r="B156" i="47"/>
  <c r="C156" i="47" s="1"/>
  <c r="J156" i="47" s="1"/>
  <c r="K156" i="47" s="1"/>
  <c r="AM156" i="47"/>
  <c r="AO156" i="47" s="1"/>
  <c r="AD156" i="47"/>
  <c r="AF156" i="47" s="1"/>
  <c r="U156" i="47"/>
  <c r="W156" i="47" s="1"/>
  <c r="F61" i="47"/>
  <c r="G61" i="47"/>
  <c r="E61" i="47"/>
  <c r="H61" i="47" l="1"/>
  <c r="AM156" i="48"/>
  <c r="AO156" i="48" s="1"/>
  <c r="AD156" i="48"/>
  <c r="AF156" i="48" s="1"/>
  <c r="U156" i="48"/>
  <c r="B156" i="48"/>
  <c r="A157" i="48"/>
  <c r="W156" i="48"/>
  <c r="C156" i="48"/>
  <c r="J156" i="48" s="1"/>
  <c r="K156" i="48" s="1"/>
  <c r="AH41" i="48"/>
  <c r="AK41" i="48"/>
  <c r="AL41" i="48" s="1"/>
  <c r="L60" i="48"/>
  <c r="M60" i="48" s="1"/>
  <c r="AJ59" i="47"/>
  <c r="Y60" i="47"/>
  <c r="Z60" i="47"/>
  <c r="AB60" i="47" s="1"/>
  <c r="AC60" i="47" s="1"/>
  <c r="I61" i="47"/>
  <c r="AM157" i="47"/>
  <c r="AO157" i="47" s="1"/>
  <c r="AD157" i="47"/>
  <c r="AF157" i="47" s="1"/>
  <c r="U157" i="47"/>
  <c r="W157" i="47" s="1"/>
  <c r="A158" i="47"/>
  <c r="B157" i="47"/>
  <c r="C157" i="47" s="1"/>
  <c r="J157" i="47" s="1"/>
  <c r="K157" i="47" s="1"/>
  <c r="A158" i="48" l="1"/>
  <c r="B157" i="48"/>
  <c r="C157" i="48" s="1"/>
  <c r="J157" i="48" s="1"/>
  <c r="K157" i="48" s="1"/>
  <c r="AM157" i="48"/>
  <c r="AO157" i="48" s="1"/>
  <c r="AD157" i="48"/>
  <c r="AF157" i="48" s="1"/>
  <c r="U157" i="48"/>
  <c r="W157" i="48" s="1"/>
  <c r="D60" i="48"/>
  <c r="AI42" i="48"/>
  <c r="N60" i="48"/>
  <c r="A159" i="47"/>
  <c r="B158" i="47"/>
  <c r="C158" i="47" s="1"/>
  <c r="J158" i="47" s="1"/>
  <c r="K158" i="47" s="1"/>
  <c r="AM158" i="47"/>
  <c r="AO158" i="47" s="1"/>
  <c r="AD158" i="47"/>
  <c r="AF158" i="47" s="1"/>
  <c r="U158" i="47"/>
  <c r="W158" i="47" s="1"/>
  <c r="AJ60" i="47"/>
  <c r="Z61" i="47"/>
  <c r="L61" i="47"/>
  <c r="M61" i="47" s="1"/>
  <c r="AH59" i="47"/>
  <c r="AK59" i="47"/>
  <c r="AL59" i="47" s="1"/>
  <c r="F61" i="48" l="1"/>
  <c r="G61" i="48"/>
  <c r="E61" i="48"/>
  <c r="R42" i="48"/>
  <c r="AM158" i="48"/>
  <c r="AO158" i="48" s="1"/>
  <c r="AD158" i="48"/>
  <c r="U158" i="48"/>
  <c r="W158" i="48" s="1"/>
  <c r="AF158" i="48"/>
  <c r="B158" i="48"/>
  <c r="C158" i="48" s="1"/>
  <c r="J158" i="48" s="1"/>
  <c r="K158" i="48" s="1"/>
  <c r="A159" i="48"/>
  <c r="AI60" i="47"/>
  <c r="AK60" i="47" s="1"/>
  <c r="AL60" i="47" s="1"/>
  <c r="AH60" i="47"/>
  <c r="N61" i="47"/>
  <c r="R61" i="47" s="1"/>
  <c r="D61" i="47"/>
  <c r="AM159" i="47"/>
  <c r="AO159" i="47" s="1"/>
  <c r="AD159" i="47"/>
  <c r="U159" i="47"/>
  <c r="W159" i="47" s="1"/>
  <c r="A160" i="47"/>
  <c r="AF159" i="47"/>
  <c r="B159" i="47"/>
  <c r="C159" i="47" s="1"/>
  <c r="J159" i="47" s="1"/>
  <c r="K159" i="47" s="1"/>
  <c r="P42" i="48" l="1"/>
  <c r="S42" i="48"/>
  <c r="T42" i="48" s="1"/>
  <c r="I61" i="48"/>
  <c r="H61" i="48"/>
  <c r="A160" i="48"/>
  <c r="B159" i="48"/>
  <c r="C159" i="48" s="1"/>
  <c r="J159" i="48" s="1"/>
  <c r="K159" i="48" s="1"/>
  <c r="AM159" i="48"/>
  <c r="AO159" i="48" s="1"/>
  <c r="AD159" i="48"/>
  <c r="AF159" i="48" s="1"/>
  <c r="U159" i="48"/>
  <c r="W159" i="48" s="1"/>
  <c r="AI61" i="47"/>
  <c r="P61" i="47"/>
  <c r="S61" i="47"/>
  <c r="T61" i="47" s="1"/>
  <c r="A161" i="47"/>
  <c r="B160" i="47"/>
  <c r="C160" i="47" s="1"/>
  <c r="J160" i="47" s="1"/>
  <c r="K160" i="47" s="1"/>
  <c r="AM160" i="47"/>
  <c r="AO160" i="47" s="1"/>
  <c r="AD160" i="47"/>
  <c r="AF160" i="47" s="1"/>
  <c r="U160" i="47"/>
  <c r="W160" i="47" s="1"/>
  <c r="G62" i="47"/>
  <c r="F62" i="47"/>
  <c r="E62" i="47"/>
  <c r="L61" i="48" l="1"/>
  <c r="N61" i="48" s="1"/>
  <c r="AM160" i="48"/>
  <c r="AO160" i="48" s="1"/>
  <c r="AD160" i="48"/>
  <c r="AF160" i="48" s="1"/>
  <c r="U160" i="48"/>
  <c r="W160" i="48" s="1"/>
  <c r="B160" i="48"/>
  <c r="C160" i="48" s="1"/>
  <c r="J160" i="48" s="1"/>
  <c r="K160" i="48" s="1"/>
  <c r="A161" i="48"/>
  <c r="M61" i="48"/>
  <c r="AA42" i="48"/>
  <c r="Q43" i="48"/>
  <c r="I62" i="47"/>
  <c r="AA61" i="47"/>
  <c r="Q62" i="47"/>
  <c r="H62" i="47"/>
  <c r="AM161" i="47"/>
  <c r="AO161" i="47" s="1"/>
  <c r="AD161" i="47"/>
  <c r="U161" i="47"/>
  <c r="W161" i="47" s="1"/>
  <c r="A162" i="47"/>
  <c r="AF161" i="47"/>
  <c r="B161" i="47"/>
  <c r="C161" i="47" s="1"/>
  <c r="J161" i="47" s="1"/>
  <c r="K161" i="47" s="1"/>
  <c r="Y42" i="48" l="1"/>
  <c r="AB42" i="48"/>
  <c r="AC42" i="48" s="1"/>
  <c r="A162" i="48"/>
  <c r="B161" i="48"/>
  <c r="C161" i="48" s="1"/>
  <c r="J161" i="48" s="1"/>
  <c r="K161" i="48" s="1"/>
  <c r="AM161" i="48"/>
  <c r="AO161" i="48" s="1"/>
  <c r="AD161" i="48"/>
  <c r="AF161" i="48" s="1"/>
  <c r="U161" i="48"/>
  <c r="W161" i="48" s="1"/>
  <c r="D61" i="48"/>
  <c r="A163" i="47"/>
  <c r="B162" i="47"/>
  <c r="C162" i="47" s="1"/>
  <c r="J162" i="47" s="1"/>
  <c r="K162" i="47" s="1"/>
  <c r="AM162" i="47"/>
  <c r="AO162" i="47" s="1"/>
  <c r="AD162" i="47"/>
  <c r="AF162" i="47" s="1"/>
  <c r="U162" i="47"/>
  <c r="W162" i="47" s="1"/>
  <c r="L62" i="47"/>
  <c r="D62" i="47" s="1"/>
  <c r="Y61" i="47"/>
  <c r="AB61" i="47"/>
  <c r="AC61" i="47" s="1"/>
  <c r="AM162" i="48" l="1"/>
  <c r="AO162" i="48" s="1"/>
  <c r="AD162" i="48"/>
  <c r="AF162" i="48" s="1"/>
  <c r="U162" i="48"/>
  <c r="W162" i="48" s="1"/>
  <c r="B162" i="48"/>
  <c r="C162" i="48" s="1"/>
  <c r="J162" i="48" s="1"/>
  <c r="K162" i="48" s="1"/>
  <c r="A163" i="48"/>
  <c r="AJ42" i="48"/>
  <c r="Z43" i="48"/>
  <c r="F62" i="48"/>
  <c r="G62" i="48"/>
  <c r="E62" i="48"/>
  <c r="F63" i="47"/>
  <c r="G63" i="47"/>
  <c r="E63" i="47"/>
  <c r="N62" i="47"/>
  <c r="R62" i="47" s="1"/>
  <c r="AJ61" i="47"/>
  <c r="Z62" i="47"/>
  <c r="M62" i="47"/>
  <c r="AM163" i="47"/>
  <c r="AD163" i="47"/>
  <c r="U163" i="47"/>
  <c r="W163" i="47" s="1"/>
  <c r="A164" i="47"/>
  <c r="C163" i="47"/>
  <c r="J163" i="47" s="1"/>
  <c r="K163" i="47" s="1"/>
  <c r="AO163" i="47"/>
  <c r="AF163" i="47"/>
  <c r="B163" i="47"/>
  <c r="I62" i="48" l="1"/>
  <c r="H62" i="48"/>
  <c r="A164" i="48"/>
  <c r="B163" i="48"/>
  <c r="C163" i="48" s="1"/>
  <c r="J163" i="48" s="1"/>
  <c r="K163" i="48" s="1"/>
  <c r="AM163" i="48"/>
  <c r="AO163" i="48" s="1"/>
  <c r="AD163" i="48"/>
  <c r="AF163" i="48" s="1"/>
  <c r="U163" i="48"/>
  <c r="W163" i="48" s="1"/>
  <c r="AH42" i="48"/>
  <c r="AK42" i="48"/>
  <c r="AL42" i="48" s="1"/>
  <c r="AH61" i="47"/>
  <c r="AK61" i="47"/>
  <c r="AL61" i="47" s="1"/>
  <c r="A165" i="47"/>
  <c r="B164" i="47"/>
  <c r="C164" i="47" s="1"/>
  <c r="J164" i="47" s="1"/>
  <c r="K164" i="47" s="1"/>
  <c r="AM164" i="47"/>
  <c r="AO164" i="47" s="1"/>
  <c r="AD164" i="47"/>
  <c r="AF164" i="47" s="1"/>
  <c r="U164" i="47"/>
  <c r="W164" i="47" s="1"/>
  <c r="P62" i="47"/>
  <c r="S62" i="47"/>
  <c r="T62" i="47" s="1"/>
  <c r="H63" i="47"/>
  <c r="I63" i="47"/>
  <c r="AI43" i="48" l="1"/>
  <c r="L62" i="48"/>
  <c r="D62" i="48" s="1"/>
  <c r="AM164" i="48"/>
  <c r="AO164" i="48" s="1"/>
  <c r="AD164" i="48"/>
  <c r="AF164" i="48" s="1"/>
  <c r="U164" i="48"/>
  <c r="W164" i="48" s="1"/>
  <c r="B164" i="48"/>
  <c r="A165" i="48"/>
  <c r="C164" i="48"/>
  <c r="J164" i="48" s="1"/>
  <c r="K164" i="48" s="1"/>
  <c r="AM165" i="47"/>
  <c r="AO165" i="47" s="1"/>
  <c r="AD165" i="47"/>
  <c r="AF165" i="47" s="1"/>
  <c r="U165" i="47"/>
  <c r="W165" i="47" s="1"/>
  <c r="A166" i="47"/>
  <c r="B165" i="47"/>
  <c r="C165" i="47" s="1"/>
  <c r="J165" i="47" s="1"/>
  <c r="K165" i="47" s="1"/>
  <c r="AA62" i="47"/>
  <c r="Q63" i="47"/>
  <c r="L63" i="47"/>
  <c r="M63" i="47" s="1"/>
  <c r="AI62" i="47"/>
  <c r="M62" i="48" l="1"/>
  <c r="N62" i="48"/>
  <c r="G63" i="48"/>
  <c r="F63" i="48"/>
  <c r="H63" i="48" s="1"/>
  <c r="E63" i="48"/>
  <c r="R43" i="48"/>
  <c r="A166" i="48"/>
  <c r="B165" i="48"/>
  <c r="C165" i="48" s="1"/>
  <c r="J165" i="48" s="1"/>
  <c r="K165" i="48" s="1"/>
  <c r="AM165" i="48"/>
  <c r="AO165" i="48" s="1"/>
  <c r="AD165" i="48"/>
  <c r="AF165" i="48" s="1"/>
  <c r="U165" i="48"/>
  <c r="W165" i="48" s="1"/>
  <c r="D63" i="47"/>
  <c r="N63" i="47"/>
  <c r="R63" i="47" s="1"/>
  <c r="P63" i="47" s="1"/>
  <c r="S63" i="47"/>
  <c r="T63" i="47" s="1"/>
  <c r="Y62" i="47"/>
  <c r="AB62" i="47"/>
  <c r="AC62" i="47" s="1"/>
  <c r="A167" i="47"/>
  <c r="B166" i="47"/>
  <c r="C166" i="47" s="1"/>
  <c r="J166" i="47" s="1"/>
  <c r="K166" i="47" s="1"/>
  <c r="AM166" i="47"/>
  <c r="AO166" i="47" s="1"/>
  <c r="AD166" i="47"/>
  <c r="AF166" i="47" s="1"/>
  <c r="U166" i="47"/>
  <c r="W166" i="47" s="1"/>
  <c r="P43" i="48" l="1"/>
  <c r="S43" i="48"/>
  <c r="T43" i="48" s="1"/>
  <c r="AM166" i="48"/>
  <c r="AO166" i="48" s="1"/>
  <c r="AD166" i="48"/>
  <c r="AF166" i="48" s="1"/>
  <c r="U166" i="48"/>
  <c r="W166" i="48" s="1"/>
  <c r="B166" i="48"/>
  <c r="C166" i="48" s="1"/>
  <c r="J166" i="48" s="1"/>
  <c r="K166" i="48" s="1"/>
  <c r="A167" i="48"/>
  <c r="I63" i="48"/>
  <c r="AM167" i="47"/>
  <c r="AO167" i="47" s="1"/>
  <c r="AD167" i="47"/>
  <c r="AF167" i="47" s="1"/>
  <c r="U167" i="47"/>
  <c r="W167" i="47" s="1"/>
  <c r="A168" i="47"/>
  <c r="B167" i="47"/>
  <c r="C167" i="47" s="1"/>
  <c r="J167" i="47" s="1"/>
  <c r="K167" i="47" s="1"/>
  <c r="AA63" i="47"/>
  <c r="Q64" i="47"/>
  <c r="AJ62" i="47"/>
  <c r="Z63" i="47"/>
  <c r="AB63" i="47" s="1"/>
  <c r="AC63" i="47" s="1"/>
  <c r="Y63" i="47"/>
  <c r="G64" i="47"/>
  <c r="F64" i="47"/>
  <c r="H64" i="47" s="1"/>
  <c r="E64" i="47"/>
  <c r="L63" i="48" l="1"/>
  <c r="N63" i="48" s="1"/>
  <c r="A168" i="48"/>
  <c r="B167" i="48"/>
  <c r="C167" i="48" s="1"/>
  <c r="J167" i="48" s="1"/>
  <c r="K167" i="48" s="1"/>
  <c r="AM167" i="48"/>
  <c r="AO167" i="48" s="1"/>
  <c r="AD167" i="48"/>
  <c r="AF167" i="48" s="1"/>
  <c r="U167" i="48"/>
  <c r="W167" i="48" s="1"/>
  <c r="AA43" i="48"/>
  <c r="Q44" i="48"/>
  <c r="AJ63" i="47"/>
  <c r="Z64" i="47"/>
  <c r="A169" i="47"/>
  <c r="B168" i="47"/>
  <c r="C168" i="47" s="1"/>
  <c r="J168" i="47" s="1"/>
  <c r="K168" i="47" s="1"/>
  <c r="AM168" i="47"/>
  <c r="AO168" i="47" s="1"/>
  <c r="AD168" i="47"/>
  <c r="AF168" i="47" s="1"/>
  <c r="U168" i="47"/>
  <c r="W168" i="47" s="1"/>
  <c r="I64" i="47"/>
  <c r="AH62" i="47"/>
  <c r="AK62" i="47"/>
  <c r="AL62" i="47" s="1"/>
  <c r="AM168" i="48" l="1"/>
  <c r="AO168" i="48" s="1"/>
  <c r="AD168" i="48"/>
  <c r="U168" i="48"/>
  <c r="W168" i="48" s="1"/>
  <c r="B168" i="48"/>
  <c r="A169" i="48"/>
  <c r="AF168" i="48"/>
  <c r="C168" i="48"/>
  <c r="J168" i="48" s="1"/>
  <c r="K168" i="48" s="1"/>
  <c r="D63" i="48"/>
  <c r="Y43" i="48"/>
  <c r="AB43" i="48"/>
  <c r="AC43" i="48" s="1"/>
  <c r="M63" i="48"/>
  <c r="AM169" i="47"/>
  <c r="AO169" i="47" s="1"/>
  <c r="AD169" i="47"/>
  <c r="U169" i="47"/>
  <c r="W169" i="47" s="1"/>
  <c r="A170" i="47"/>
  <c r="AF169" i="47"/>
  <c r="B169" i="47"/>
  <c r="C169" i="47" s="1"/>
  <c r="J169" i="47" s="1"/>
  <c r="K169" i="47" s="1"/>
  <c r="AH63" i="47"/>
  <c r="AI63" i="47"/>
  <c r="AK63" i="47" s="1"/>
  <c r="AL63" i="47" s="1"/>
  <c r="L64" i="47"/>
  <c r="M64" i="47" s="1"/>
  <c r="AJ43" i="48" l="1"/>
  <c r="Z44" i="48"/>
  <c r="A170" i="48"/>
  <c r="B169" i="48"/>
  <c r="C169" i="48" s="1"/>
  <c r="J169" i="48" s="1"/>
  <c r="K169" i="48" s="1"/>
  <c r="AM169" i="48"/>
  <c r="AO169" i="48" s="1"/>
  <c r="AD169" i="48"/>
  <c r="AF169" i="48" s="1"/>
  <c r="U169" i="48"/>
  <c r="W169" i="48" s="1"/>
  <c r="G64" i="48"/>
  <c r="F64" i="48"/>
  <c r="E64" i="48"/>
  <c r="AI64" i="47"/>
  <c r="A171" i="47"/>
  <c r="B170" i="47"/>
  <c r="C170" i="47" s="1"/>
  <c r="J170" i="47" s="1"/>
  <c r="K170" i="47" s="1"/>
  <c r="AM170" i="47"/>
  <c r="AO170" i="47" s="1"/>
  <c r="AD170" i="47"/>
  <c r="AF170" i="47" s="1"/>
  <c r="U170" i="47"/>
  <c r="W170" i="47" s="1"/>
  <c r="N64" i="47"/>
  <c r="R64" i="47" s="1"/>
  <c r="D64" i="47"/>
  <c r="AM170" i="48" l="1"/>
  <c r="AO170" i="48" s="1"/>
  <c r="AD170" i="48"/>
  <c r="AF170" i="48" s="1"/>
  <c r="U170" i="48"/>
  <c r="W170" i="48"/>
  <c r="B170" i="48"/>
  <c r="C170" i="48" s="1"/>
  <c r="J170" i="48" s="1"/>
  <c r="K170" i="48" s="1"/>
  <c r="A171" i="48"/>
  <c r="I64" i="48"/>
  <c r="H64" i="48"/>
  <c r="AH43" i="48"/>
  <c r="AK43" i="48"/>
  <c r="AL43" i="48" s="1"/>
  <c r="AM171" i="47"/>
  <c r="AO171" i="47" s="1"/>
  <c r="AD171" i="47"/>
  <c r="AF171" i="47" s="1"/>
  <c r="U171" i="47"/>
  <c r="W171" i="47" s="1"/>
  <c r="A172" i="47"/>
  <c r="B171" i="47"/>
  <c r="C171" i="47" s="1"/>
  <c r="J171" i="47" s="1"/>
  <c r="K171" i="47" s="1"/>
  <c r="G65" i="47"/>
  <c r="F65" i="47"/>
  <c r="E65" i="47"/>
  <c r="P64" i="47"/>
  <c r="S64" i="47"/>
  <c r="T64" i="47" s="1"/>
  <c r="L64" i="48" l="1"/>
  <c r="N64" i="48" s="1"/>
  <c r="AI44" i="48"/>
  <c r="A172" i="48"/>
  <c r="B171" i="48"/>
  <c r="C171" i="48" s="1"/>
  <c r="J171" i="48" s="1"/>
  <c r="K171" i="48" s="1"/>
  <c r="AM171" i="48"/>
  <c r="AO171" i="48" s="1"/>
  <c r="AD171" i="48"/>
  <c r="AF171" i="48" s="1"/>
  <c r="U171" i="48"/>
  <c r="W171" i="48" s="1"/>
  <c r="I65" i="47"/>
  <c r="A173" i="47"/>
  <c r="B172" i="47"/>
  <c r="C172" i="47" s="1"/>
  <c r="J172" i="47" s="1"/>
  <c r="K172" i="47" s="1"/>
  <c r="AM172" i="47"/>
  <c r="AO172" i="47" s="1"/>
  <c r="AD172" i="47"/>
  <c r="AF172" i="47" s="1"/>
  <c r="U172" i="47"/>
  <c r="W172" i="47" s="1"/>
  <c r="AA64" i="47"/>
  <c r="Q65" i="47"/>
  <c r="H65" i="47"/>
  <c r="M64" i="48" l="1"/>
  <c r="AM172" i="48"/>
  <c r="AO172" i="48" s="1"/>
  <c r="AD172" i="48"/>
  <c r="AF172" i="48" s="1"/>
  <c r="U172" i="48"/>
  <c r="W172" i="48" s="1"/>
  <c r="B172" i="48"/>
  <c r="C172" i="48" s="1"/>
  <c r="J172" i="48" s="1"/>
  <c r="K172" i="48" s="1"/>
  <c r="A173" i="48"/>
  <c r="D64" i="48"/>
  <c r="R44" i="48"/>
  <c r="AM173" i="47"/>
  <c r="AO173" i="47" s="1"/>
  <c r="AD173" i="47"/>
  <c r="AF173" i="47" s="1"/>
  <c r="U173" i="47"/>
  <c r="W173" i="47" s="1"/>
  <c r="A174" i="47"/>
  <c r="B173" i="47"/>
  <c r="C173" i="47" s="1"/>
  <c r="J173" i="47" s="1"/>
  <c r="K173" i="47" s="1"/>
  <c r="Y64" i="47"/>
  <c r="AB64" i="47"/>
  <c r="AC64" i="47" s="1"/>
  <c r="L65" i="47"/>
  <c r="M65" i="47" s="1"/>
  <c r="D65" i="47"/>
  <c r="G65" i="48" l="1"/>
  <c r="F65" i="48"/>
  <c r="E65" i="48"/>
  <c r="P44" i="48"/>
  <c r="S44" i="48"/>
  <c r="T44" i="48" s="1"/>
  <c r="A174" i="48"/>
  <c r="B173" i="48"/>
  <c r="C173" i="48" s="1"/>
  <c r="J173" i="48" s="1"/>
  <c r="K173" i="48" s="1"/>
  <c r="AM173" i="48"/>
  <c r="AO173" i="48" s="1"/>
  <c r="AD173" i="48"/>
  <c r="AF173" i="48" s="1"/>
  <c r="U173" i="48"/>
  <c r="W173" i="48" s="1"/>
  <c r="G66" i="47"/>
  <c r="F66" i="47"/>
  <c r="E66" i="47"/>
  <c r="A175" i="47"/>
  <c r="B174" i="47"/>
  <c r="C174" i="47" s="1"/>
  <c r="J174" i="47" s="1"/>
  <c r="K174" i="47" s="1"/>
  <c r="AM174" i="47"/>
  <c r="AO174" i="47" s="1"/>
  <c r="AD174" i="47"/>
  <c r="AF174" i="47" s="1"/>
  <c r="U174" i="47"/>
  <c r="W174" i="47" s="1"/>
  <c r="AJ64" i="47"/>
  <c r="Z65" i="47"/>
  <c r="N65" i="47"/>
  <c r="R65" i="47" s="1"/>
  <c r="H66" i="47" l="1"/>
  <c r="H65" i="48"/>
  <c r="AM174" i="48"/>
  <c r="AO174" i="48" s="1"/>
  <c r="AD174" i="48"/>
  <c r="AF174" i="48" s="1"/>
  <c r="U174" i="48"/>
  <c r="W174" i="48" s="1"/>
  <c r="B174" i="48"/>
  <c r="C174" i="48" s="1"/>
  <c r="J174" i="48" s="1"/>
  <c r="K174" i="48" s="1"/>
  <c r="A175" i="48"/>
  <c r="AA44" i="48"/>
  <c r="Q45" i="48"/>
  <c r="I65" i="48"/>
  <c r="AH64" i="47"/>
  <c r="AK64" i="47"/>
  <c r="AL64" i="47" s="1"/>
  <c r="P65" i="47"/>
  <c r="S65" i="47"/>
  <c r="T65" i="47" s="1"/>
  <c r="AM175" i="47"/>
  <c r="AD175" i="47"/>
  <c r="U175" i="47"/>
  <c r="A176" i="47"/>
  <c r="AO175" i="47"/>
  <c r="AF175" i="47"/>
  <c r="W175" i="47"/>
  <c r="B175" i="47"/>
  <c r="C175" i="47" s="1"/>
  <c r="J175" i="47" s="1"/>
  <c r="K175" i="47" s="1"/>
  <c r="I66" i="47"/>
  <c r="Y44" i="48" l="1"/>
  <c r="AB44" i="48"/>
  <c r="AC44" i="48" s="1"/>
  <c r="L65" i="48"/>
  <c r="M65" i="48" s="1"/>
  <c r="A176" i="48"/>
  <c r="B175" i="48"/>
  <c r="C175" i="48" s="1"/>
  <c r="J175" i="48" s="1"/>
  <c r="K175" i="48" s="1"/>
  <c r="AM175" i="48"/>
  <c r="AO175" i="48" s="1"/>
  <c r="AD175" i="48"/>
  <c r="AF175" i="48" s="1"/>
  <c r="U175" i="48"/>
  <c r="W175" i="48" s="1"/>
  <c r="L66" i="47"/>
  <c r="M66" i="47" s="1"/>
  <c r="A177" i="47"/>
  <c r="B176" i="47"/>
  <c r="C176" i="47" s="1"/>
  <c r="J176" i="47" s="1"/>
  <c r="K176" i="47" s="1"/>
  <c r="AM176" i="47"/>
  <c r="AO176" i="47" s="1"/>
  <c r="AD176" i="47"/>
  <c r="AF176" i="47" s="1"/>
  <c r="U176" i="47"/>
  <c r="W176" i="47" s="1"/>
  <c r="AA65" i="47"/>
  <c r="Q66" i="47"/>
  <c r="AI65" i="47"/>
  <c r="D66" i="47" l="1"/>
  <c r="N65" i="48"/>
  <c r="AM176" i="48"/>
  <c r="AO176" i="48" s="1"/>
  <c r="AD176" i="48"/>
  <c r="AF176" i="48" s="1"/>
  <c r="U176" i="48"/>
  <c r="W176" i="48" s="1"/>
  <c r="B176" i="48"/>
  <c r="C176" i="48" s="1"/>
  <c r="J176" i="48" s="1"/>
  <c r="K176" i="48" s="1"/>
  <c r="A177" i="48"/>
  <c r="AJ44" i="48"/>
  <c r="Z45" i="48"/>
  <c r="D65" i="48"/>
  <c r="AM177" i="47"/>
  <c r="AO177" i="47" s="1"/>
  <c r="AD177" i="47"/>
  <c r="AF177" i="47" s="1"/>
  <c r="U177" i="47"/>
  <c r="W177" i="47" s="1"/>
  <c r="A178" i="47"/>
  <c r="B177" i="47"/>
  <c r="C177" i="47" s="1"/>
  <c r="J177" i="47" s="1"/>
  <c r="K177" i="47" s="1"/>
  <c r="Y65" i="47"/>
  <c r="AB65" i="47"/>
  <c r="AC65" i="47" s="1"/>
  <c r="F67" i="47"/>
  <c r="G67" i="47"/>
  <c r="E67" i="47"/>
  <c r="N66" i="47"/>
  <c r="R66" i="47" s="1"/>
  <c r="P66" i="47" s="1"/>
  <c r="F66" i="48" l="1"/>
  <c r="G66" i="48"/>
  <c r="E66" i="48"/>
  <c r="A178" i="48"/>
  <c r="B177" i="48"/>
  <c r="C177" i="48" s="1"/>
  <c r="J177" i="48" s="1"/>
  <c r="K177" i="48" s="1"/>
  <c r="AM177" i="48"/>
  <c r="AO177" i="48" s="1"/>
  <c r="AD177" i="48"/>
  <c r="AF177" i="48" s="1"/>
  <c r="U177" i="48"/>
  <c r="W177" i="48" s="1"/>
  <c r="AH44" i="48"/>
  <c r="AK44" i="48"/>
  <c r="AL44" i="48" s="1"/>
  <c r="AJ65" i="47"/>
  <c r="Z66" i="47"/>
  <c r="A179" i="47"/>
  <c r="B178" i="47"/>
  <c r="C178" i="47" s="1"/>
  <c r="J178" i="47" s="1"/>
  <c r="K178" i="47" s="1"/>
  <c r="AM178" i="47"/>
  <c r="AO178" i="47" s="1"/>
  <c r="AD178" i="47"/>
  <c r="AF178" i="47" s="1"/>
  <c r="U178" i="47"/>
  <c r="W178" i="47" s="1"/>
  <c r="S66" i="47"/>
  <c r="T66" i="47" s="1"/>
  <c r="I67" i="47"/>
  <c r="AA66" i="47"/>
  <c r="Y66" i="47" s="1"/>
  <c r="Q67" i="47"/>
  <c r="H67" i="47"/>
  <c r="AM178" i="48" l="1"/>
  <c r="AO178" i="48" s="1"/>
  <c r="AD178" i="48"/>
  <c r="AF178" i="48" s="1"/>
  <c r="U178" i="48"/>
  <c r="W178" i="48" s="1"/>
  <c r="B178" i="48"/>
  <c r="C178" i="48" s="1"/>
  <c r="J178" i="48" s="1"/>
  <c r="K178" i="48" s="1"/>
  <c r="A179" i="48"/>
  <c r="H66" i="48"/>
  <c r="AI45" i="48"/>
  <c r="I66" i="48"/>
  <c r="AJ66" i="47"/>
  <c r="Z67" i="47"/>
  <c r="L67" i="47"/>
  <c r="D67" i="47" s="1"/>
  <c r="AM179" i="47"/>
  <c r="AO179" i="47" s="1"/>
  <c r="AD179" i="47"/>
  <c r="U179" i="47"/>
  <c r="W179" i="47" s="1"/>
  <c r="A180" i="47"/>
  <c r="AF179" i="47"/>
  <c r="B179" i="47"/>
  <c r="C179" i="47" s="1"/>
  <c r="J179" i="47" s="1"/>
  <c r="K179" i="47" s="1"/>
  <c r="AB66" i="47"/>
  <c r="AC66" i="47" s="1"/>
  <c r="AH65" i="47"/>
  <c r="AK65" i="47"/>
  <c r="AL65" i="47" s="1"/>
  <c r="N67" i="47" l="1"/>
  <c r="R67" i="47" s="1"/>
  <c r="M67" i="47"/>
  <c r="A180" i="48"/>
  <c r="B179" i="48"/>
  <c r="C179" i="48" s="1"/>
  <c r="J179" i="48" s="1"/>
  <c r="K179" i="48" s="1"/>
  <c r="AM179" i="48"/>
  <c r="AO179" i="48" s="1"/>
  <c r="AD179" i="48"/>
  <c r="AF179" i="48" s="1"/>
  <c r="U179" i="48"/>
  <c r="W179" i="48" s="1"/>
  <c r="R45" i="48"/>
  <c r="L66" i="48"/>
  <c r="N66" i="48" s="1"/>
  <c r="M66" i="48"/>
  <c r="F68" i="47"/>
  <c r="G68" i="47"/>
  <c r="E68" i="47"/>
  <c r="AI66" i="47"/>
  <c r="AK66" i="47" s="1"/>
  <c r="AL66" i="47" s="1"/>
  <c r="AH66" i="47"/>
  <c r="A181" i="47"/>
  <c r="W180" i="47"/>
  <c r="B180" i="47"/>
  <c r="C180" i="47" s="1"/>
  <c r="J180" i="47" s="1"/>
  <c r="K180" i="47" s="1"/>
  <c r="AM180" i="47"/>
  <c r="AO180" i="47" s="1"/>
  <c r="AD180" i="47"/>
  <c r="AF180" i="47" s="1"/>
  <c r="U180" i="47"/>
  <c r="P67" i="47" l="1"/>
  <c r="S67" i="47"/>
  <c r="T67" i="47" s="1"/>
  <c r="D66" i="48"/>
  <c r="G67" i="48" s="1"/>
  <c r="P45" i="48"/>
  <c r="S45" i="48"/>
  <c r="T45" i="48" s="1"/>
  <c r="AM180" i="48"/>
  <c r="AO180" i="48" s="1"/>
  <c r="AD180" i="48"/>
  <c r="AF180" i="48" s="1"/>
  <c r="U180" i="48"/>
  <c r="B180" i="48"/>
  <c r="C180" i="48" s="1"/>
  <c r="J180" i="48" s="1"/>
  <c r="K180" i="48" s="1"/>
  <c r="A181" i="48"/>
  <c r="W180" i="48"/>
  <c r="AM181" i="47"/>
  <c r="AO181" i="47" s="1"/>
  <c r="AD181" i="47"/>
  <c r="U181" i="47"/>
  <c r="W181" i="47" s="1"/>
  <c r="A182" i="47"/>
  <c r="AF181" i="47"/>
  <c r="B181" i="47"/>
  <c r="C181" i="47" s="1"/>
  <c r="J181" i="47" s="1"/>
  <c r="K181" i="47" s="1"/>
  <c r="I68" i="47"/>
  <c r="AI67" i="47"/>
  <c r="H68" i="47"/>
  <c r="AA67" i="47" l="1"/>
  <c r="Q68" i="47"/>
  <c r="E67" i="48"/>
  <c r="F67" i="48"/>
  <c r="H67" i="48" s="1"/>
  <c r="A182" i="48"/>
  <c r="B181" i="48"/>
  <c r="C181" i="48" s="1"/>
  <c r="J181" i="48" s="1"/>
  <c r="K181" i="48" s="1"/>
  <c r="AM181" i="48"/>
  <c r="AO181" i="48" s="1"/>
  <c r="AD181" i="48"/>
  <c r="AF181" i="48" s="1"/>
  <c r="U181" i="48"/>
  <c r="W181" i="48" s="1"/>
  <c r="AA45" i="48"/>
  <c r="Q46" i="48"/>
  <c r="L68" i="47"/>
  <c r="M68" i="47" s="1"/>
  <c r="A183" i="47"/>
  <c r="B182" i="47"/>
  <c r="C182" i="47" s="1"/>
  <c r="J182" i="47" s="1"/>
  <c r="K182" i="47" s="1"/>
  <c r="AM182" i="47"/>
  <c r="AO182" i="47" s="1"/>
  <c r="AD182" i="47"/>
  <c r="AF182" i="47" s="1"/>
  <c r="U182" i="47"/>
  <c r="W182" i="47" s="1"/>
  <c r="D68" i="47" l="1"/>
  <c r="N68" i="47"/>
  <c r="R68" i="47" s="1"/>
  <c r="Y67" i="47"/>
  <c r="AB67" i="47"/>
  <c r="AC67" i="47" s="1"/>
  <c r="I67" i="48"/>
  <c r="Y45" i="48"/>
  <c r="AB45" i="48"/>
  <c r="AC45" i="48" s="1"/>
  <c r="L67" i="48"/>
  <c r="M67" i="48" s="1"/>
  <c r="AM182" i="48"/>
  <c r="AD182" i="48"/>
  <c r="U182" i="48"/>
  <c r="W182" i="48" s="1"/>
  <c r="AO182" i="48"/>
  <c r="AF182" i="48"/>
  <c r="B182" i="48"/>
  <c r="C182" i="48" s="1"/>
  <c r="J182" i="48" s="1"/>
  <c r="K182" i="48" s="1"/>
  <c r="A183" i="48"/>
  <c r="G69" i="47"/>
  <c r="F69" i="47"/>
  <c r="H69" i="47" s="1"/>
  <c r="E69" i="47"/>
  <c r="P68" i="47"/>
  <c r="S68" i="47"/>
  <c r="T68" i="47" s="1"/>
  <c r="AM183" i="47"/>
  <c r="AO183" i="47" s="1"/>
  <c r="AD183" i="47"/>
  <c r="AF183" i="47" s="1"/>
  <c r="U183" i="47"/>
  <c r="W183" i="47" s="1"/>
  <c r="A184" i="47"/>
  <c r="B183" i="47"/>
  <c r="C183" i="47" s="1"/>
  <c r="J183" i="47" s="1"/>
  <c r="K183" i="47" s="1"/>
  <c r="AJ67" i="47" l="1"/>
  <c r="Z68" i="47"/>
  <c r="N67" i="48"/>
  <c r="A184" i="48"/>
  <c r="B183" i="48"/>
  <c r="C183" i="48" s="1"/>
  <c r="J183" i="48" s="1"/>
  <c r="K183" i="48" s="1"/>
  <c r="AM183" i="48"/>
  <c r="AO183" i="48" s="1"/>
  <c r="AD183" i="48"/>
  <c r="AF183" i="48" s="1"/>
  <c r="U183" i="48"/>
  <c r="W183" i="48" s="1"/>
  <c r="AJ45" i="48"/>
  <c r="Z46" i="48"/>
  <c r="D67" i="48"/>
  <c r="A185" i="47"/>
  <c r="B184" i="47"/>
  <c r="C184" i="47" s="1"/>
  <c r="J184" i="47" s="1"/>
  <c r="K184" i="47" s="1"/>
  <c r="AM184" i="47"/>
  <c r="AO184" i="47" s="1"/>
  <c r="AD184" i="47"/>
  <c r="AF184" i="47" s="1"/>
  <c r="U184" i="47"/>
  <c r="W184" i="47" s="1"/>
  <c r="AA68" i="47"/>
  <c r="Q69" i="47"/>
  <c r="I69" i="47"/>
  <c r="AH67" i="47" l="1"/>
  <c r="AI68" i="47" s="1"/>
  <c r="AK67" i="47"/>
  <c r="AL67" i="47" s="1"/>
  <c r="AM184" i="48"/>
  <c r="AO184" i="48" s="1"/>
  <c r="AD184" i="48"/>
  <c r="AF184" i="48" s="1"/>
  <c r="U184" i="48"/>
  <c r="W184" i="48" s="1"/>
  <c r="B184" i="48"/>
  <c r="C184" i="48" s="1"/>
  <c r="J184" i="48" s="1"/>
  <c r="K184" i="48" s="1"/>
  <c r="A185" i="48"/>
  <c r="G68" i="48"/>
  <c r="F68" i="48"/>
  <c r="E68" i="48"/>
  <c r="AH45" i="48"/>
  <c r="AK45" i="48"/>
  <c r="AL45" i="48" s="1"/>
  <c r="Y68" i="47"/>
  <c r="AB68" i="47"/>
  <c r="AC68" i="47" s="1"/>
  <c r="AM185" i="47"/>
  <c r="AD185" i="47"/>
  <c r="U185" i="47"/>
  <c r="A186" i="47"/>
  <c r="AO185" i="47"/>
  <c r="AF185" i="47"/>
  <c r="W185" i="47"/>
  <c r="B185" i="47"/>
  <c r="C185" i="47" s="1"/>
  <c r="J185" i="47" s="1"/>
  <c r="K185" i="47" s="1"/>
  <c r="L69" i="47"/>
  <c r="M69" i="47" s="1"/>
  <c r="D69" i="47" l="1"/>
  <c r="A186" i="48"/>
  <c r="B185" i="48"/>
  <c r="C185" i="48" s="1"/>
  <c r="J185" i="48" s="1"/>
  <c r="K185" i="48" s="1"/>
  <c r="AM185" i="48"/>
  <c r="AO185" i="48" s="1"/>
  <c r="AD185" i="48"/>
  <c r="AF185" i="48" s="1"/>
  <c r="U185" i="48"/>
  <c r="W185" i="48" s="1"/>
  <c r="I68" i="48"/>
  <c r="AI46" i="48"/>
  <c r="H68" i="48"/>
  <c r="N69" i="47"/>
  <c r="R69" i="47" s="1"/>
  <c r="A187" i="47"/>
  <c r="C186" i="47"/>
  <c r="J186" i="47" s="1"/>
  <c r="K186" i="47" s="1"/>
  <c r="B186" i="47"/>
  <c r="AM186" i="47"/>
  <c r="AO186" i="47" s="1"/>
  <c r="AD186" i="47"/>
  <c r="AF186" i="47" s="1"/>
  <c r="U186" i="47"/>
  <c r="W186" i="47" s="1"/>
  <c r="F70" i="47"/>
  <c r="G70" i="47"/>
  <c r="E70" i="47"/>
  <c r="AJ68" i="47"/>
  <c r="Z69" i="47"/>
  <c r="R46" i="48" l="1"/>
  <c r="L68" i="48"/>
  <c r="N68" i="48" s="1"/>
  <c r="AM186" i="48"/>
  <c r="AO186" i="48" s="1"/>
  <c r="AD186" i="48"/>
  <c r="U186" i="48"/>
  <c r="AF186" i="48"/>
  <c r="W186" i="48"/>
  <c r="B186" i="48"/>
  <c r="C186" i="48" s="1"/>
  <c r="J186" i="48" s="1"/>
  <c r="K186" i="48" s="1"/>
  <c r="A187" i="48"/>
  <c r="M68" i="48"/>
  <c r="AM187" i="47"/>
  <c r="AO187" i="47" s="1"/>
  <c r="AD187" i="47"/>
  <c r="AF187" i="47" s="1"/>
  <c r="U187" i="47"/>
  <c r="A188" i="47"/>
  <c r="W187" i="47"/>
  <c r="B187" i="47"/>
  <c r="C187" i="47" s="1"/>
  <c r="J187" i="47" s="1"/>
  <c r="K187" i="47" s="1"/>
  <c r="AH68" i="47"/>
  <c r="AK68" i="47"/>
  <c r="AL68" i="47" s="1"/>
  <c r="I70" i="47"/>
  <c r="H70" i="47"/>
  <c r="P69" i="47"/>
  <c r="S69" i="47"/>
  <c r="T69" i="47" s="1"/>
  <c r="D68" i="48" l="1"/>
  <c r="G69" i="48" s="1"/>
  <c r="P46" i="48"/>
  <c r="S46" i="48"/>
  <c r="T46" i="48" s="1"/>
  <c r="A188" i="48"/>
  <c r="B187" i="48"/>
  <c r="C187" i="48" s="1"/>
  <c r="J187" i="48" s="1"/>
  <c r="K187" i="48" s="1"/>
  <c r="AM187" i="48"/>
  <c r="AO187" i="48" s="1"/>
  <c r="AD187" i="48"/>
  <c r="AF187" i="48" s="1"/>
  <c r="U187" i="48"/>
  <c r="W187" i="48" s="1"/>
  <c r="L70" i="47"/>
  <c r="M70" i="47" s="1"/>
  <c r="AA69" i="47"/>
  <c r="Q70" i="47"/>
  <c r="AI69" i="47"/>
  <c r="A189" i="47"/>
  <c r="B188" i="47"/>
  <c r="C188" i="47" s="1"/>
  <c r="J188" i="47" s="1"/>
  <c r="K188" i="47" s="1"/>
  <c r="AM188" i="47"/>
  <c r="AO188" i="47" s="1"/>
  <c r="AD188" i="47"/>
  <c r="AF188" i="47" s="1"/>
  <c r="U188" i="47"/>
  <c r="W188" i="47" s="1"/>
  <c r="N70" i="47" l="1"/>
  <c r="R70" i="47" s="1"/>
  <c r="P70" i="47" s="1"/>
  <c r="Q71" i="47" s="1"/>
  <c r="E69" i="48"/>
  <c r="F69" i="48"/>
  <c r="H69" i="48" s="1"/>
  <c r="AA46" i="48"/>
  <c r="Q47" i="48"/>
  <c r="AM188" i="48"/>
  <c r="AD188" i="48"/>
  <c r="U188" i="48"/>
  <c r="W188" i="48" s="1"/>
  <c r="B188" i="48"/>
  <c r="C188" i="48" s="1"/>
  <c r="J188" i="48" s="1"/>
  <c r="K188" i="48" s="1"/>
  <c r="A189" i="48"/>
  <c r="AO188" i="48"/>
  <c r="AF188" i="48"/>
  <c r="AA70" i="47"/>
  <c r="S70" i="47"/>
  <c r="T70" i="47" s="1"/>
  <c r="Y69" i="47"/>
  <c r="AB69" i="47"/>
  <c r="AC69" i="47" s="1"/>
  <c r="AM189" i="47"/>
  <c r="AD189" i="47"/>
  <c r="U189" i="47"/>
  <c r="W189" i="47" s="1"/>
  <c r="A190" i="47"/>
  <c r="C189" i="47"/>
  <c r="J189" i="47" s="1"/>
  <c r="K189" i="47" s="1"/>
  <c r="AO189" i="47"/>
  <c r="AF189" i="47"/>
  <c r="B189" i="47"/>
  <c r="D70" i="47"/>
  <c r="I69" i="48" l="1"/>
  <c r="A190" i="48"/>
  <c r="B189" i="48"/>
  <c r="C189" i="48" s="1"/>
  <c r="J189" i="48" s="1"/>
  <c r="K189" i="48" s="1"/>
  <c r="AM189" i="48"/>
  <c r="AO189" i="48" s="1"/>
  <c r="AD189" i="48"/>
  <c r="AF189" i="48" s="1"/>
  <c r="U189" i="48"/>
  <c r="W189" i="48" s="1"/>
  <c r="L69" i="48"/>
  <c r="N69" i="48" s="1"/>
  <c r="Y46" i="48"/>
  <c r="AB46" i="48"/>
  <c r="AC46" i="48" s="1"/>
  <c r="F71" i="47"/>
  <c r="G71" i="47"/>
  <c r="E71" i="47"/>
  <c r="A191" i="47"/>
  <c r="B190" i="47"/>
  <c r="C190" i="47" s="1"/>
  <c r="J190" i="47" s="1"/>
  <c r="K190" i="47" s="1"/>
  <c r="AM190" i="47"/>
  <c r="AO190" i="47" s="1"/>
  <c r="AD190" i="47"/>
  <c r="AF190" i="47" s="1"/>
  <c r="U190" i="47"/>
  <c r="W190" i="47" s="1"/>
  <c r="AJ69" i="47"/>
  <c r="Z70" i="47"/>
  <c r="AB70" i="47" s="1"/>
  <c r="AC70" i="47" s="1"/>
  <c r="Y70" i="47"/>
  <c r="H71" i="47" l="1"/>
  <c r="M69" i="48"/>
  <c r="D69" i="48"/>
  <c r="G70" i="48" s="1"/>
  <c r="AJ46" i="48"/>
  <c r="Z47" i="48"/>
  <c r="AM190" i="48"/>
  <c r="AO190" i="48" s="1"/>
  <c r="AD190" i="48"/>
  <c r="U190" i="48"/>
  <c r="W190" i="48" s="1"/>
  <c r="AF190" i="48"/>
  <c r="B190" i="48"/>
  <c r="C190" i="48" s="1"/>
  <c r="J190" i="48" s="1"/>
  <c r="K190" i="48" s="1"/>
  <c r="A191" i="48"/>
  <c r="AJ70" i="47"/>
  <c r="Z71" i="47"/>
  <c r="AM191" i="47"/>
  <c r="AD191" i="47"/>
  <c r="U191" i="47"/>
  <c r="A192" i="47"/>
  <c r="AO191" i="47"/>
  <c r="AF191" i="47"/>
  <c r="W191" i="47"/>
  <c r="B191" i="47"/>
  <c r="C191" i="47" s="1"/>
  <c r="J191" i="47" s="1"/>
  <c r="K191" i="47" s="1"/>
  <c r="I71" i="47"/>
  <c r="AH69" i="47"/>
  <c r="AK69" i="47"/>
  <c r="AL69" i="47" s="1"/>
  <c r="E70" i="48" l="1"/>
  <c r="F70" i="48"/>
  <c r="H70" i="48" s="1"/>
  <c r="AH46" i="48"/>
  <c r="AK46" i="48"/>
  <c r="AL46" i="48" s="1"/>
  <c r="A192" i="48"/>
  <c r="B191" i="48"/>
  <c r="C191" i="48" s="1"/>
  <c r="J191" i="48" s="1"/>
  <c r="K191" i="48" s="1"/>
  <c r="AM191" i="48"/>
  <c r="AO191" i="48" s="1"/>
  <c r="AD191" i="48"/>
  <c r="AF191" i="48" s="1"/>
  <c r="U191" i="48"/>
  <c r="W191" i="48" s="1"/>
  <c r="I70" i="48"/>
  <c r="L71" i="47"/>
  <c r="M71" i="47" s="1"/>
  <c r="A193" i="47"/>
  <c r="B192" i="47"/>
  <c r="C192" i="47" s="1"/>
  <c r="J192" i="47" s="1"/>
  <c r="K192" i="47" s="1"/>
  <c r="AM192" i="47"/>
  <c r="AO192" i="47" s="1"/>
  <c r="AD192" i="47"/>
  <c r="AF192" i="47" s="1"/>
  <c r="U192" i="47"/>
  <c r="W192" i="47" s="1"/>
  <c r="AH70" i="47"/>
  <c r="AI70" i="47"/>
  <c r="AK70" i="47" s="1"/>
  <c r="AL70" i="47" s="1"/>
  <c r="D71" i="47" l="1"/>
  <c r="F72" i="47" s="1"/>
  <c r="AM192" i="48"/>
  <c r="AO192" i="48" s="1"/>
  <c r="AD192" i="48"/>
  <c r="AF192" i="48" s="1"/>
  <c r="U192" i="48"/>
  <c r="B192" i="48"/>
  <c r="C192" i="48" s="1"/>
  <c r="J192" i="48" s="1"/>
  <c r="K192" i="48" s="1"/>
  <c r="A193" i="48"/>
  <c r="W192" i="48"/>
  <c r="L70" i="48"/>
  <c r="M70" i="48" s="1"/>
  <c r="AI47" i="48"/>
  <c r="AI71" i="47"/>
  <c r="A194" i="47"/>
  <c r="AM193" i="47"/>
  <c r="U193" i="47"/>
  <c r="W193" i="47" s="1"/>
  <c r="AO193" i="47"/>
  <c r="AD193" i="47"/>
  <c r="AF193" i="47" s="1"/>
  <c r="B193" i="47"/>
  <c r="C193" i="47" s="1"/>
  <c r="J193" i="47" s="1"/>
  <c r="K193" i="47" s="1"/>
  <c r="N71" i="47"/>
  <c r="R71" i="47" s="1"/>
  <c r="G72" i="47" l="1"/>
  <c r="E72" i="47"/>
  <c r="R47" i="48"/>
  <c r="N70" i="48"/>
  <c r="A194" i="48"/>
  <c r="B193" i="48"/>
  <c r="C193" i="48" s="1"/>
  <c r="J193" i="48" s="1"/>
  <c r="K193" i="48" s="1"/>
  <c r="AM193" i="48"/>
  <c r="AO193" i="48" s="1"/>
  <c r="AD193" i="48"/>
  <c r="AF193" i="48" s="1"/>
  <c r="U193" i="48"/>
  <c r="W193" i="48" s="1"/>
  <c r="D70" i="48"/>
  <c r="P71" i="47"/>
  <c r="S71" i="47"/>
  <c r="T71" i="47" s="1"/>
  <c r="H72" i="47"/>
  <c r="A195" i="47"/>
  <c r="AD194" i="47"/>
  <c r="AF194" i="47" s="1"/>
  <c r="B194" i="47"/>
  <c r="C194" i="47" s="1"/>
  <c r="J194" i="47" s="1"/>
  <c r="K194" i="47" s="1"/>
  <c r="AM194" i="47"/>
  <c r="AO194" i="47" s="1"/>
  <c r="U194" i="47"/>
  <c r="W194" i="47" s="1"/>
  <c r="I72" i="47"/>
  <c r="G71" i="48" l="1"/>
  <c r="F71" i="48"/>
  <c r="E71" i="48"/>
  <c r="P47" i="48"/>
  <c r="S47" i="48"/>
  <c r="T47" i="48" s="1"/>
  <c r="AM194" i="48"/>
  <c r="AD194" i="48"/>
  <c r="U194" i="48"/>
  <c r="AO194" i="48"/>
  <c r="AF194" i="48"/>
  <c r="W194" i="48"/>
  <c r="B194" i="48"/>
  <c r="C194" i="48" s="1"/>
  <c r="J194" i="48" s="1"/>
  <c r="K194" i="48" s="1"/>
  <c r="A195" i="48"/>
  <c r="A196" i="47"/>
  <c r="B195" i="47"/>
  <c r="C195" i="47" s="1"/>
  <c r="J195" i="47" s="1"/>
  <c r="K195" i="47" s="1"/>
  <c r="AD195" i="47"/>
  <c r="AM195" i="47"/>
  <c r="AO195" i="47" s="1"/>
  <c r="AF195" i="47"/>
  <c r="U195" i="47"/>
  <c r="W195" i="47" s="1"/>
  <c r="L72" i="47"/>
  <c r="M72" i="47" s="1"/>
  <c r="AA71" i="47"/>
  <c r="Q72" i="47"/>
  <c r="AA47" i="48" l="1"/>
  <c r="Q48" i="48"/>
  <c r="A196" i="48"/>
  <c r="B195" i="48"/>
  <c r="C195" i="48" s="1"/>
  <c r="J195" i="48" s="1"/>
  <c r="K195" i="48" s="1"/>
  <c r="AM195" i="48"/>
  <c r="AO195" i="48" s="1"/>
  <c r="AD195" i="48"/>
  <c r="AF195" i="48" s="1"/>
  <c r="U195" i="48"/>
  <c r="W195" i="48" s="1"/>
  <c r="I71" i="48"/>
  <c r="H71" i="48"/>
  <c r="Y71" i="47"/>
  <c r="AB71" i="47"/>
  <c r="AC71" i="47" s="1"/>
  <c r="D72" i="47"/>
  <c r="A197" i="47"/>
  <c r="AD196" i="47"/>
  <c r="B196" i="47"/>
  <c r="AM196" i="47"/>
  <c r="AO196" i="47" s="1"/>
  <c r="U196" i="47"/>
  <c r="W196" i="47" s="1"/>
  <c r="AF196" i="47"/>
  <c r="C196" i="47"/>
  <c r="J196" i="47" s="1"/>
  <c r="K196" i="47" s="1"/>
  <c r="N72" i="47"/>
  <c r="R72" i="47" s="1"/>
  <c r="P72" i="47" s="1"/>
  <c r="L71" i="48" l="1"/>
  <c r="M71" i="48" s="1"/>
  <c r="AM196" i="48"/>
  <c r="AO196" i="48" s="1"/>
  <c r="AD196" i="48"/>
  <c r="AF196" i="48" s="1"/>
  <c r="U196" i="48"/>
  <c r="W196" i="48" s="1"/>
  <c r="B196" i="48"/>
  <c r="C196" i="48" s="1"/>
  <c r="J196" i="48" s="1"/>
  <c r="K196" i="48" s="1"/>
  <c r="A197" i="48"/>
  <c r="Y47" i="48"/>
  <c r="AB47" i="48"/>
  <c r="AC47" i="48" s="1"/>
  <c r="G73" i="47"/>
  <c r="F73" i="47"/>
  <c r="E73" i="47"/>
  <c r="AA72" i="47"/>
  <c r="Y72" i="47" s="1"/>
  <c r="Q73" i="47"/>
  <c r="S72" i="47"/>
  <c r="T72" i="47" s="1"/>
  <c r="A198" i="47"/>
  <c r="AD197" i="47"/>
  <c r="AM197" i="47"/>
  <c r="AO197" i="47" s="1"/>
  <c r="AF197" i="47"/>
  <c r="U197" i="47"/>
  <c r="W197" i="47" s="1"/>
  <c r="B197" i="47"/>
  <c r="C197" i="47" s="1"/>
  <c r="J197" i="47" s="1"/>
  <c r="K197" i="47" s="1"/>
  <c r="AJ71" i="47"/>
  <c r="Z72" i="47"/>
  <c r="H73" i="47" l="1"/>
  <c r="AB72" i="47"/>
  <c r="AC72" i="47" s="1"/>
  <c r="A198" i="48"/>
  <c r="B197" i="48"/>
  <c r="C197" i="48" s="1"/>
  <c r="J197" i="48" s="1"/>
  <c r="K197" i="48" s="1"/>
  <c r="AM197" i="48"/>
  <c r="AO197" i="48" s="1"/>
  <c r="AD197" i="48"/>
  <c r="AF197" i="48" s="1"/>
  <c r="U197" i="48"/>
  <c r="W197" i="48" s="1"/>
  <c r="D71" i="48"/>
  <c r="AJ47" i="48"/>
  <c r="Z48" i="48"/>
  <c r="N71" i="48"/>
  <c r="A199" i="47"/>
  <c r="B198" i="47"/>
  <c r="C198" i="47" s="1"/>
  <c r="J198" i="47" s="1"/>
  <c r="K198" i="47" s="1"/>
  <c r="AM198" i="47"/>
  <c r="AO198" i="47" s="1"/>
  <c r="AD198" i="47"/>
  <c r="AF198" i="47" s="1"/>
  <c r="U198" i="47"/>
  <c r="W198" i="47" s="1"/>
  <c r="AJ72" i="47"/>
  <c r="Z73" i="47"/>
  <c r="AH71" i="47"/>
  <c r="AK71" i="47"/>
  <c r="AL71" i="47" s="1"/>
  <c r="I73" i="47"/>
  <c r="F72" i="48" l="1"/>
  <c r="G72" i="48"/>
  <c r="E72" i="48"/>
  <c r="AH47" i="48"/>
  <c r="AK47" i="48"/>
  <c r="AL47" i="48" s="1"/>
  <c r="AM198" i="48"/>
  <c r="AD198" i="48"/>
  <c r="AF198" i="48" s="1"/>
  <c r="U198" i="48"/>
  <c r="AO198" i="48"/>
  <c r="A199" i="48"/>
  <c r="W198" i="48"/>
  <c r="B198" i="48"/>
  <c r="C198" i="48" s="1"/>
  <c r="J198" i="48" s="1"/>
  <c r="K198" i="48" s="1"/>
  <c r="L73" i="47"/>
  <c r="N73" i="47" s="1"/>
  <c r="R73" i="47" s="1"/>
  <c r="AI72" i="47"/>
  <c r="AK72" i="47" s="1"/>
  <c r="AL72" i="47" s="1"/>
  <c r="AH72" i="47"/>
  <c r="A200" i="47"/>
  <c r="AM199" i="47"/>
  <c r="AO199" i="47" s="1"/>
  <c r="AD199" i="47"/>
  <c r="U199" i="47"/>
  <c r="B199" i="47"/>
  <c r="C199" i="47" s="1"/>
  <c r="J199" i="47" s="1"/>
  <c r="K199" i="47" s="1"/>
  <c r="AF199" i="47"/>
  <c r="W199" i="47"/>
  <c r="M73" i="47" l="1"/>
  <c r="H72" i="48"/>
  <c r="AI48" i="48"/>
  <c r="A200" i="48"/>
  <c r="B199" i="48"/>
  <c r="C199" i="48" s="1"/>
  <c r="J199" i="48" s="1"/>
  <c r="K199" i="48" s="1"/>
  <c r="U199" i="48"/>
  <c r="W199" i="48" s="1"/>
  <c r="AD199" i="48"/>
  <c r="AF199" i="48" s="1"/>
  <c r="AM199" i="48"/>
  <c r="AO199" i="48" s="1"/>
  <c r="I72" i="48"/>
  <c r="P73" i="47"/>
  <c r="S73" i="47"/>
  <c r="T73" i="47" s="1"/>
  <c r="A201" i="47"/>
  <c r="AM200" i="47"/>
  <c r="AO200" i="47" s="1"/>
  <c r="AD200" i="47"/>
  <c r="AF200" i="47" s="1"/>
  <c r="U200" i="47"/>
  <c r="W200" i="47" s="1"/>
  <c r="B200" i="47"/>
  <c r="C200" i="47" s="1"/>
  <c r="J200" i="47" s="1"/>
  <c r="K200" i="47" s="1"/>
  <c r="AI73" i="47"/>
  <c r="D73" i="47"/>
  <c r="R48" i="48" l="1"/>
  <c r="L72" i="48"/>
  <c r="D72" i="48" s="1"/>
  <c r="AM200" i="48"/>
  <c r="AO200" i="48" s="1"/>
  <c r="AD200" i="48"/>
  <c r="U200" i="48"/>
  <c r="W200" i="48" s="1"/>
  <c r="B200" i="48"/>
  <c r="C200" i="48" s="1"/>
  <c r="J200" i="48" s="1"/>
  <c r="K200" i="48" s="1"/>
  <c r="A201" i="48"/>
  <c r="AF200" i="48"/>
  <c r="G74" i="47"/>
  <c r="F74" i="47"/>
  <c r="H74" i="47" s="1"/>
  <c r="E74" i="47"/>
  <c r="AM201" i="47"/>
  <c r="AO201" i="47" s="1"/>
  <c r="AD201" i="47"/>
  <c r="U201" i="47"/>
  <c r="W201" i="47" s="1"/>
  <c r="A202" i="47"/>
  <c r="B201" i="47"/>
  <c r="C201" i="47" s="1"/>
  <c r="J201" i="47" s="1"/>
  <c r="K201" i="47" s="1"/>
  <c r="AF201" i="47"/>
  <c r="AA73" i="47"/>
  <c r="Q74" i="47"/>
  <c r="M72" i="48" l="1"/>
  <c r="N72" i="48"/>
  <c r="A202" i="48"/>
  <c r="B201" i="48"/>
  <c r="C201" i="48" s="1"/>
  <c r="J201" i="48" s="1"/>
  <c r="K201" i="48" s="1"/>
  <c r="AM201" i="48"/>
  <c r="AO201" i="48" s="1"/>
  <c r="AD201" i="48"/>
  <c r="AF201" i="48" s="1"/>
  <c r="U201" i="48"/>
  <c r="W201" i="48" s="1"/>
  <c r="P48" i="48"/>
  <c r="S48" i="48"/>
  <c r="T48" i="48" s="1"/>
  <c r="G73" i="48"/>
  <c r="F73" i="48"/>
  <c r="H73" i="48" s="1"/>
  <c r="E73" i="48"/>
  <c r="A203" i="47"/>
  <c r="C202" i="47"/>
  <c r="J202" i="47" s="1"/>
  <c r="K202" i="47" s="1"/>
  <c r="B202" i="47"/>
  <c r="AD202" i="47"/>
  <c r="AF202" i="47" s="1"/>
  <c r="AM202" i="47"/>
  <c r="AO202" i="47" s="1"/>
  <c r="U202" i="47"/>
  <c r="W202" i="47" s="1"/>
  <c r="Y73" i="47"/>
  <c r="AB73" i="47"/>
  <c r="AC73" i="47" s="1"/>
  <c r="I74" i="47"/>
  <c r="AA48" i="48" l="1"/>
  <c r="Q49" i="48"/>
  <c r="I73" i="48"/>
  <c r="AM202" i="48"/>
  <c r="AD202" i="48"/>
  <c r="U202" i="48"/>
  <c r="W202" i="48" s="1"/>
  <c r="AO202" i="48"/>
  <c r="AF202" i="48"/>
  <c r="B202" i="48"/>
  <c r="C202" i="48" s="1"/>
  <c r="J202" i="48" s="1"/>
  <c r="K202" i="48" s="1"/>
  <c r="A203" i="48"/>
  <c r="AJ73" i="47"/>
  <c r="Z74" i="47"/>
  <c r="L74" i="47"/>
  <c r="M74" i="47" s="1"/>
  <c r="D74" i="47"/>
  <c r="AM203" i="47"/>
  <c r="AO203" i="47" s="1"/>
  <c r="AD203" i="47"/>
  <c r="U203" i="47"/>
  <c r="A204" i="47"/>
  <c r="W203" i="47"/>
  <c r="B203" i="47"/>
  <c r="C203" i="47" s="1"/>
  <c r="J203" i="47" s="1"/>
  <c r="K203" i="47" s="1"/>
  <c r="AF203" i="47"/>
  <c r="N74" i="47" l="1"/>
  <c r="R74" i="47" s="1"/>
  <c r="Y48" i="48"/>
  <c r="AB48" i="48"/>
  <c r="AC48" i="48" s="1"/>
  <c r="L73" i="48"/>
  <c r="N73" i="48" s="1"/>
  <c r="M73" i="48"/>
  <c r="A204" i="48"/>
  <c r="B203" i="48"/>
  <c r="C203" i="48" s="1"/>
  <c r="J203" i="48" s="1"/>
  <c r="K203" i="48" s="1"/>
  <c r="U203" i="48"/>
  <c r="W203" i="48" s="1"/>
  <c r="AD203" i="48"/>
  <c r="AF203" i="48" s="1"/>
  <c r="AM203" i="48"/>
  <c r="AO203" i="48" s="1"/>
  <c r="P74" i="47"/>
  <c r="S74" i="47"/>
  <c r="T74" i="47" s="1"/>
  <c r="F75" i="47"/>
  <c r="G75" i="47"/>
  <c r="E75" i="47"/>
  <c r="A205" i="47"/>
  <c r="B204" i="47"/>
  <c r="C204" i="47" s="1"/>
  <c r="J204" i="47" s="1"/>
  <c r="K204" i="47" s="1"/>
  <c r="AD204" i="47"/>
  <c r="AF204" i="47" s="1"/>
  <c r="AM204" i="47"/>
  <c r="AO204" i="47" s="1"/>
  <c r="U204" i="47"/>
  <c r="W204" i="47" s="1"/>
  <c r="AH73" i="47"/>
  <c r="AK73" i="47"/>
  <c r="AL73" i="47" s="1"/>
  <c r="H75" i="47" l="1"/>
  <c r="D73" i="48"/>
  <c r="AM204" i="48"/>
  <c r="AD204" i="48"/>
  <c r="U204" i="48"/>
  <c r="W204" i="48" s="1"/>
  <c r="B204" i="48"/>
  <c r="C204" i="48"/>
  <c r="J204" i="48" s="1"/>
  <c r="K204" i="48" s="1"/>
  <c r="A205" i="48"/>
  <c r="AF204" i="48"/>
  <c r="AO204" i="48"/>
  <c r="F74" i="48"/>
  <c r="G74" i="48"/>
  <c r="E74" i="48"/>
  <c r="AJ48" i="48"/>
  <c r="Z49" i="48"/>
  <c r="I75" i="47"/>
  <c r="AI74" i="47"/>
  <c r="AM205" i="47"/>
  <c r="AO205" i="47" s="1"/>
  <c r="AD205" i="47"/>
  <c r="U205" i="47"/>
  <c r="W205" i="47" s="1"/>
  <c r="A206" i="47"/>
  <c r="B205" i="47"/>
  <c r="C205" i="47" s="1"/>
  <c r="J205" i="47" s="1"/>
  <c r="K205" i="47" s="1"/>
  <c r="AF205" i="47"/>
  <c r="AA74" i="47"/>
  <c r="Q75" i="47"/>
  <c r="H74" i="48" l="1"/>
  <c r="A206" i="48"/>
  <c r="B205" i="48"/>
  <c r="C205" i="48" s="1"/>
  <c r="J205" i="48" s="1"/>
  <c r="K205" i="48" s="1"/>
  <c r="AM205" i="48"/>
  <c r="AO205" i="48" s="1"/>
  <c r="AD205" i="48"/>
  <c r="AF205" i="48" s="1"/>
  <c r="U205" i="48"/>
  <c r="W205" i="48" s="1"/>
  <c r="I74" i="48"/>
  <c r="AH48" i="48"/>
  <c r="AK48" i="48"/>
  <c r="AL48" i="48" s="1"/>
  <c r="L75" i="47"/>
  <c r="M75" i="47" s="1"/>
  <c r="Y74" i="47"/>
  <c r="AB74" i="47"/>
  <c r="AC74" i="47" s="1"/>
  <c r="A207" i="47"/>
  <c r="B206" i="47"/>
  <c r="C206" i="47" s="1"/>
  <c r="J206" i="47" s="1"/>
  <c r="K206" i="47" s="1"/>
  <c r="AM206" i="47"/>
  <c r="AO206" i="47" s="1"/>
  <c r="U206" i="47"/>
  <c r="W206" i="47" s="1"/>
  <c r="AD206" i="47"/>
  <c r="AF206" i="47" s="1"/>
  <c r="D75" i="47" l="1"/>
  <c r="L74" i="48"/>
  <c r="M74" i="48" s="1"/>
  <c r="AI49" i="48"/>
  <c r="AM206" i="48"/>
  <c r="AO206" i="48" s="1"/>
  <c r="AD206" i="48"/>
  <c r="AF206" i="48" s="1"/>
  <c r="U206" i="48"/>
  <c r="W206" i="48" s="1"/>
  <c r="B206" i="48"/>
  <c r="A207" i="48"/>
  <c r="C206" i="48"/>
  <c r="J206" i="48" s="1"/>
  <c r="K206" i="48" s="1"/>
  <c r="AJ74" i="47"/>
  <c r="Z75" i="47"/>
  <c r="AM207" i="47"/>
  <c r="AO207" i="47" s="1"/>
  <c r="AD207" i="47"/>
  <c r="U207" i="47"/>
  <c r="A208" i="47"/>
  <c r="AF207" i="47"/>
  <c r="W207" i="47"/>
  <c r="B207" i="47"/>
  <c r="C207" i="47" s="1"/>
  <c r="J207" i="47" s="1"/>
  <c r="K207" i="47" s="1"/>
  <c r="F76" i="47"/>
  <c r="G76" i="47"/>
  <c r="E76" i="47"/>
  <c r="N75" i="47"/>
  <c r="R75" i="47" s="1"/>
  <c r="D74" i="48" l="1"/>
  <c r="G75" i="48" s="1"/>
  <c r="A208" i="48"/>
  <c r="B207" i="48"/>
  <c r="C207" i="48" s="1"/>
  <c r="J207" i="48" s="1"/>
  <c r="K207" i="48" s="1"/>
  <c r="AD207" i="48"/>
  <c r="AF207" i="48" s="1"/>
  <c r="AM207" i="48"/>
  <c r="AO207" i="48" s="1"/>
  <c r="U207" i="48"/>
  <c r="W207" i="48" s="1"/>
  <c r="R49" i="48"/>
  <c r="N74" i="48"/>
  <c r="P75" i="47"/>
  <c r="S75" i="47"/>
  <c r="T75" i="47" s="1"/>
  <c r="I76" i="47"/>
  <c r="H76" i="47"/>
  <c r="A209" i="47"/>
  <c r="B208" i="47"/>
  <c r="C208" i="47" s="1"/>
  <c r="J208" i="47" s="1"/>
  <c r="K208" i="47" s="1"/>
  <c r="AM208" i="47"/>
  <c r="AO208" i="47" s="1"/>
  <c r="U208" i="47"/>
  <c r="W208" i="47" s="1"/>
  <c r="AD208" i="47"/>
  <c r="AF208" i="47" s="1"/>
  <c r="AH74" i="47"/>
  <c r="AK74" i="47"/>
  <c r="AL74" i="47" s="1"/>
  <c r="E75" i="48" l="1"/>
  <c r="F75" i="48"/>
  <c r="I75" i="48" s="1"/>
  <c r="AM208" i="48"/>
  <c r="AD208" i="48"/>
  <c r="U208" i="48"/>
  <c r="W208" i="48" s="1"/>
  <c r="B208" i="48"/>
  <c r="C208" i="48" s="1"/>
  <c r="J208" i="48" s="1"/>
  <c r="K208" i="48" s="1"/>
  <c r="A209" i="48"/>
  <c r="AF208" i="48"/>
  <c r="AO208" i="48"/>
  <c r="P49" i="48"/>
  <c r="S49" i="48"/>
  <c r="T49" i="48" s="1"/>
  <c r="L76" i="47"/>
  <c r="M76" i="47" s="1"/>
  <c r="AM209" i="47"/>
  <c r="AD209" i="47"/>
  <c r="U209" i="47"/>
  <c r="A210" i="47"/>
  <c r="B209" i="47"/>
  <c r="C209" i="47" s="1"/>
  <c r="J209" i="47" s="1"/>
  <c r="K209" i="47" s="1"/>
  <c r="AF209" i="47"/>
  <c r="AO209" i="47"/>
  <c r="W209" i="47"/>
  <c r="AI75" i="47"/>
  <c r="AA75" i="47"/>
  <c r="Q76" i="47"/>
  <c r="H75" i="48" l="1"/>
  <c r="L75" i="48"/>
  <c r="M75" i="48" s="1"/>
  <c r="A210" i="48"/>
  <c r="B209" i="48"/>
  <c r="C209" i="48" s="1"/>
  <c r="J209" i="48" s="1"/>
  <c r="K209" i="48" s="1"/>
  <c r="AM209" i="48"/>
  <c r="AO209" i="48" s="1"/>
  <c r="AD209" i="48"/>
  <c r="AF209" i="48" s="1"/>
  <c r="U209" i="48"/>
  <c r="W209" i="48" s="1"/>
  <c r="AA49" i="48"/>
  <c r="Q50" i="48"/>
  <c r="A211" i="47"/>
  <c r="C210" i="47"/>
  <c r="J210" i="47"/>
  <c r="K210" i="47" s="1"/>
  <c r="B210" i="47"/>
  <c r="AD210" i="47"/>
  <c r="AF210" i="47" s="1"/>
  <c r="AM210" i="47"/>
  <c r="AO210" i="47" s="1"/>
  <c r="U210" i="47"/>
  <c r="W210" i="47" s="1"/>
  <c r="D76" i="47"/>
  <c r="Y75" i="47"/>
  <c r="AB75" i="47"/>
  <c r="AC75" i="47" s="1"/>
  <c r="N76" i="47"/>
  <c r="R76" i="47" s="1"/>
  <c r="P76" i="47" s="1"/>
  <c r="Y49" i="48" l="1"/>
  <c r="AB49" i="48"/>
  <c r="AC49" i="48" s="1"/>
  <c r="D75" i="48"/>
  <c r="AM210" i="48"/>
  <c r="AD210" i="48"/>
  <c r="U210" i="48"/>
  <c r="W210" i="48" s="1"/>
  <c r="AO210" i="48"/>
  <c r="AF210" i="48"/>
  <c r="A211" i="48"/>
  <c r="B210" i="48"/>
  <c r="C210" i="48" s="1"/>
  <c r="J210" i="48" s="1"/>
  <c r="K210" i="48" s="1"/>
  <c r="N75" i="48"/>
  <c r="G77" i="47"/>
  <c r="F77" i="47"/>
  <c r="E77" i="47"/>
  <c r="AM211" i="47"/>
  <c r="AO211" i="47" s="1"/>
  <c r="AD211" i="47"/>
  <c r="U211" i="47"/>
  <c r="A212" i="47"/>
  <c r="W211" i="47"/>
  <c r="B211" i="47"/>
  <c r="C211" i="47" s="1"/>
  <c r="J211" i="47" s="1"/>
  <c r="K211" i="47" s="1"/>
  <c r="AF211" i="47"/>
  <c r="AA76" i="47"/>
  <c r="Y76" i="47" s="1"/>
  <c r="Q77" i="47"/>
  <c r="AJ75" i="47"/>
  <c r="Z76" i="47"/>
  <c r="S76" i="47"/>
  <c r="T76" i="47" s="1"/>
  <c r="AB76" i="47" l="1"/>
  <c r="AC76" i="47" s="1"/>
  <c r="H77" i="47"/>
  <c r="AJ49" i="48"/>
  <c r="Z50" i="48"/>
  <c r="G76" i="48"/>
  <c r="F76" i="48"/>
  <c r="H76" i="48" s="1"/>
  <c r="E76" i="48"/>
  <c r="A212" i="48"/>
  <c r="B211" i="48"/>
  <c r="C211" i="48" s="1"/>
  <c r="J211" i="48" s="1"/>
  <c r="K211" i="48" s="1"/>
  <c r="AM211" i="48"/>
  <c r="AO211" i="48" s="1"/>
  <c r="U211" i="48"/>
  <c r="W211" i="48" s="1"/>
  <c r="AD211" i="48"/>
  <c r="AF211" i="48" s="1"/>
  <c r="AJ76" i="47"/>
  <c r="Z77" i="47"/>
  <c r="AH75" i="47"/>
  <c r="AK75" i="47"/>
  <c r="AL75" i="47" s="1"/>
  <c r="A213" i="47"/>
  <c r="B212" i="47"/>
  <c r="C212" i="47" s="1"/>
  <c r="J212" i="47" s="1"/>
  <c r="K212" i="47" s="1"/>
  <c r="AD212" i="47"/>
  <c r="AF212" i="47" s="1"/>
  <c r="AM212" i="47"/>
  <c r="AO212" i="47" s="1"/>
  <c r="U212" i="47"/>
  <c r="W212" i="47" s="1"/>
  <c r="I77" i="47"/>
  <c r="AM212" i="48" l="1"/>
  <c r="AD212" i="48"/>
  <c r="AF212" i="48" s="1"/>
  <c r="U212" i="48"/>
  <c r="B212" i="48"/>
  <c r="A213" i="48"/>
  <c r="AO212" i="48"/>
  <c r="C212" i="48"/>
  <c r="J212" i="48" s="1"/>
  <c r="K212" i="48" s="1"/>
  <c r="W212" i="48"/>
  <c r="AH49" i="48"/>
  <c r="AK49" i="48"/>
  <c r="AL49" i="48" s="1"/>
  <c r="I76" i="48"/>
  <c r="AI76" i="47"/>
  <c r="AK76" i="47" s="1"/>
  <c r="AL76" i="47" s="1"/>
  <c r="AH76" i="47"/>
  <c r="AM213" i="47"/>
  <c r="AD213" i="47"/>
  <c r="AF213" i="47" s="1"/>
  <c r="U213" i="47"/>
  <c r="A214" i="47"/>
  <c r="AO213" i="47"/>
  <c r="W213" i="47"/>
  <c r="B213" i="47"/>
  <c r="C213" i="47" s="1"/>
  <c r="J213" i="47" s="1"/>
  <c r="K213" i="47" s="1"/>
  <c r="L77" i="47"/>
  <c r="M77" i="47" s="1"/>
  <c r="D77" i="47" l="1"/>
  <c r="N77" i="47"/>
  <c r="R77" i="47" s="1"/>
  <c r="P77" i="47" s="1"/>
  <c r="A214" i="48"/>
  <c r="B213" i="48"/>
  <c r="C213" i="48" s="1"/>
  <c r="J213" i="48" s="1"/>
  <c r="K213" i="48" s="1"/>
  <c r="AM213" i="48"/>
  <c r="AO213" i="48" s="1"/>
  <c r="AD213" i="48"/>
  <c r="AF213" i="48" s="1"/>
  <c r="U213" i="48"/>
  <c r="W213" i="48" s="1"/>
  <c r="AI50" i="48"/>
  <c r="L76" i="48"/>
  <c r="M76" i="48" s="1"/>
  <c r="G78" i="47"/>
  <c r="F78" i="47"/>
  <c r="E78" i="47"/>
  <c r="A215" i="47"/>
  <c r="B214" i="47"/>
  <c r="C214" i="47" s="1"/>
  <c r="J214" i="47" s="1"/>
  <c r="K214" i="47" s="1"/>
  <c r="AM214" i="47"/>
  <c r="AO214" i="47" s="1"/>
  <c r="U214" i="47"/>
  <c r="W214" i="47" s="1"/>
  <c r="AD214" i="47"/>
  <c r="AF214" i="47" s="1"/>
  <c r="AI77" i="47"/>
  <c r="H78" i="47" l="1"/>
  <c r="S77" i="47"/>
  <c r="T77" i="47" s="1"/>
  <c r="D76" i="48"/>
  <c r="N76" i="48"/>
  <c r="R50" i="48"/>
  <c r="G77" i="48"/>
  <c r="F77" i="48"/>
  <c r="E77" i="48"/>
  <c r="AM214" i="48"/>
  <c r="AD214" i="48"/>
  <c r="U214" i="48"/>
  <c r="W214" i="48" s="1"/>
  <c r="AO214" i="48"/>
  <c r="AF214" i="48"/>
  <c r="A215" i="48"/>
  <c r="B214" i="48"/>
  <c r="C214" i="48" s="1"/>
  <c r="J214" i="48" s="1"/>
  <c r="K214" i="48" s="1"/>
  <c r="AM215" i="47"/>
  <c r="AO215" i="47" s="1"/>
  <c r="AD215" i="47"/>
  <c r="AF215" i="47" s="1"/>
  <c r="U215" i="47"/>
  <c r="A216" i="47"/>
  <c r="W215" i="47"/>
  <c r="B215" i="47"/>
  <c r="C215" i="47" s="1"/>
  <c r="J215" i="47" s="1"/>
  <c r="K215" i="47" s="1"/>
  <c r="AA77" i="47"/>
  <c r="Q78" i="47"/>
  <c r="I78" i="47"/>
  <c r="I77" i="48" l="1"/>
  <c r="A216" i="48"/>
  <c r="B215" i="48"/>
  <c r="C215" i="48" s="1"/>
  <c r="J215" i="48" s="1"/>
  <c r="K215" i="48" s="1"/>
  <c r="U215" i="48"/>
  <c r="W215" i="48" s="1"/>
  <c r="AD215" i="48"/>
  <c r="AF215" i="48" s="1"/>
  <c r="AM215" i="48"/>
  <c r="AO215" i="48" s="1"/>
  <c r="P50" i="48"/>
  <c r="S50" i="48"/>
  <c r="T50" i="48" s="1"/>
  <c r="H77" i="48"/>
  <c r="A217" i="47"/>
  <c r="W216" i="47"/>
  <c r="B216" i="47"/>
  <c r="C216" i="47" s="1"/>
  <c r="J216" i="47" s="1"/>
  <c r="K216" i="47" s="1"/>
  <c r="AM216" i="47"/>
  <c r="AO216" i="47" s="1"/>
  <c r="U216" i="47"/>
  <c r="AD216" i="47"/>
  <c r="AF216" i="47" s="1"/>
  <c r="L78" i="47"/>
  <c r="N78" i="47" s="1"/>
  <c r="R78" i="47" s="1"/>
  <c r="P78" i="47" s="1"/>
  <c r="Y77" i="47"/>
  <c r="AB77" i="47"/>
  <c r="AC77" i="47" s="1"/>
  <c r="M78" i="47" l="1"/>
  <c r="D78" i="47"/>
  <c r="AM216" i="48"/>
  <c r="AO216" i="48" s="1"/>
  <c r="AD216" i="48"/>
  <c r="AF216" i="48" s="1"/>
  <c r="U216" i="48"/>
  <c r="W216" i="48" s="1"/>
  <c r="B216" i="48"/>
  <c r="C216" i="48" s="1"/>
  <c r="J216" i="48" s="1"/>
  <c r="K216" i="48" s="1"/>
  <c r="A217" i="48"/>
  <c r="AA50" i="48"/>
  <c r="Q51" i="48"/>
  <c r="L77" i="48"/>
  <c r="M77" i="48" s="1"/>
  <c r="AJ77" i="47"/>
  <c r="Z78" i="47"/>
  <c r="AA78" i="47"/>
  <c r="Y78" i="47" s="1"/>
  <c r="Q79" i="47"/>
  <c r="S78" i="47"/>
  <c r="T78" i="47" s="1"/>
  <c r="G79" i="47"/>
  <c r="F79" i="47"/>
  <c r="E79" i="47"/>
  <c r="AM217" i="47"/>
  <c r="AO217" i="47" s="1"/>
  <c r="AD217" i="47"/>
  <c r="U217" i="47"/>
  <c r="W217" i="47" s="1"/>
  <c r="A218" i="47"/>
  <c r="B217" i="47"/>
  <c r="C217" i="47" s="1"/>
  <c r="J217" i="47" s="1"/>
  <c r="K217" i="47" s="1"/>
  <c r="AF217" i="47"/>
  <c r="H79" i="47" l="1"/>
  <c r="A218" i="48"/>
  <c r="B217" i="48"/>
  <c r="C217" i="48" s="1"/>
  <c r="J217" i="48" s="1"/>
  <c r="K217" i="48" s="1"/>
  <c r="AM217" i="48"/>
  <c r="AO217" i="48" s="1"/>
  <c r="AD217" i="48"/>
  <c r="AF217" i="48" s="1"/>
  <c r="U217" i="48"/>
  <c r="W217" i="48" s="1"/>
  <c r="N77" i="48"/>
  <c r="Y50" i="48"/>
  <c r="AB50" i="48"/>
  <c r="AC50" i="48" s="1"/>
  <c r="D77" i="48"/>
  <c r="AJ78" i="47"/>
  <c r="Z79" i="47"/>
  <c r="AB78" i="47"/>
  <c r="AC78" i="47" s="1"/>
  <c r="A219" i="47"/>
  <c r="B218" i="47"/>
  <c r="C218" i="47" s="1"/>
  <c r="J218" i="47" s="1"/>
  <c r="K218" i="47" s="1"/>
  <c r="AD218" i="47"/>
  <c r="AF218" i="47" s="1"/>
  <c r="AM218" i="47"/>
  <c r="AO218" i="47" s="1"/>
  <c r="U218" i="47"/>
  <c r="W218" i="47" s="1"/>
  <c r="I79" i="47"/>
  <c r="AH77" i="47"/>
  <c r="AK77" i="47"/>
  <c r="AL77" i="47" s="1"/>
  <c r="G78" i="48" l="1"/>
  <c r="F78" i="48"/>
  <c r="E78" i="48"/>
  <c r="AJ50" i="48"/>
  <c r="Z51" i="48"/>
  <c r="AM218" i="48"/>
  <c r="AO218" i="48" s="1"/>
  <c r="AD218" i="48"/>
  <c r="AF218" i="48" s="1"/>
  <c r="U218" i="48"/>
  <c r="W218" i="48" s="1"/>
  <c r="B218" i="48"/>
  <c r="C218" i="48" s="1"/>
  <c r="J218" i="48" s="1"/>
  <c r="K218" i="48" s="1"/>
  <c r="A219" i="48"/>
  <c r="AH78" i="47"/>
  <c r="AI78" i="47"/>
  <c r="AK78" i="47" s="1"/>
  <c r="AL78" i="47" s="1"/>
  <c r="AM219" i="47"/>
  <c r="AD219" i="47"/>
  <c r="U219" i="47"/>
  <c r="A220" i="47"/>
  <c r="AO219" i="47"/>
  <c r="W219" i="47"/>
  <c r="B219" i="47"/>
  <c r="C219" i="47" s="1"/>
  <c r="J219" i="47" s="1"/>
  <c r="K219" i="47" s="1"/>
  <c r="AF219" i="47"/>
  <c r="L79" i="47"/>
  <c r="N79" i="47" s="1"/>
  <c r="R79" i="47" s="1"/>
  <c r="M79" i="47" l="1"/>
  <c r="D79" i="47"/>
  <c r="F80" i="47" s="1"/>
  <c r="H80" i="47" s="1"/>
  <c r="A220" i="48"/>
  <c r="B219" i="48"/>
  <c r="C219" i="48" s="1"/>
  <c r="J219" i="48" s="1"/>
  <c r="K219" i="48" s="1"/>
  <c r="U219" i="48"/>
  <c r="W219" i="48" s="1"/>
  <c r="AD219" i="48"/>
  <c r="AF219" i="48" s="1"/>
  <c r="AM219" i="48"/>
  <c r="AO219" i="48" s="1"/>
  <c r="AH50" i="48"/>
  <c r="AK50" i="48"/>
  <c r="AL50" i="48" s="1"/>
  <c r="I78" i="48"/>
  <c r="H78" i="48"/>
  <c r="P79" i="47"/>
  <c r="S79" i="47"/>
  <c r="T79" i="47" s="1"/>
  <c r="G80" i="47"/>
  <c r="E80" i="47"/>
  <c r="A221" i="47"/>
  <c r="B220" i="47"/>
  <c r="C220" i="47" s="1"/>
  <c r="J220" i="47" s="1"/>
  <c r="K220" i="47" s="1"/>
  <c r="AM220" i="47"/>
  <c r="AO220" i="47" s="1"/>
  <c r="AD220" i="47"/>
  <c r="AF220" i="47" s="1"/>
  <c r="U220" i="47"/>
  <c r="W220" i="47" s="1"/>
  <c r="AI79" i="47"/>
  <c r="AI51" i="48" l="1"/>
  <c r="L78" i="48"/>
  <c r="D78" i="48" s="1"/>
  <c r="AM220" i="48"/>
  <c r="AD220" i="48"/>
  <c r="U220" i="48"/>
  <c r="W220" i="48" s="1"/>
  <c r="B220" i="48"/>
  <c r="C220" i="48" s="1"/>
  <c r="J220" i="48" s="1"/>
  <c r="K220" i="48" s="1"/>
  <c r="A221" i="48"/>
  <c r="AF220" i="48"/>
  <c r="AO220" i="48"/>
  <c r="I80" i="47"/>
  <c r="AM221" i="47"/>
  <c r="AO221" i="47" s="1"/>
  <c r="AD221" i="47"/>
  <c r="AF221" i="47" s="1"/>
  <c r="U221" i="47"/>
  <c r="W221" i="47" s="1"/>
  <c r="A222" i="47"/>
  <c r="B221" i="47"/>
  <c r="C221" i="47" s="1"/>
  <c r="J221" i="47" s="1"/>
  <c r="K221" i="47" s="1"/>
  <c r="AA79" i="47"/>
  <c r="Q80" i="47"/>
  <c r="G79" i="48" l="1"/>
  <c r="F79" i="48"/>
  <c r="E79" i="48"/>
  <c r="N78" i="48"/>
  <c r="M78" i="48"/>
  <c r="R51" i="48"/>
  <c r="A222" i="48"/>
  <c r="B221" i="48"/>
  <c r="C221" i="48" s="1"/>
  <c r="J221" i="48" s="1"/>
  <c r="K221" i="48" s="1"/>
  <c r="AM221" i="48"/>
  <c r="AO221" i="48" s="1"/>
  <c r="AD221" i="48"/>
  <c r="AF221" i="48" s="1"/>
  <c r="U221" i="48"/>
  <c r="W221" i="48" s="1"/>
  <c r="A223" i="47"/>
  <c r="B222" i="47"/>
  <c r="C222" i="47" s="1"/>
  <c r="J222" i="47" s="1"/>
  <c r="K222" i="47" s="1"/>
  <c r="AM222" i="47"/>
  <c r="AO222" i="47" s="1"/>
  <c r="AD222" i="47"/>
  <c r="AF222" i="47" s="1"/>
  <c r="U222" i="47"/>
  <c r="W222" i="47" s="1"/>
  <c r="L80" i="47"/>
  <c r="M80" i="47" s="1"/>
  <c r="Y79" i="47"/>
  <c r="AB79" i="47"/>
  <c r="AC79" i="47" s="1"/>
  <c r="N80" i="47" l="1"/>
  <c r="R80" i="47" s="1"/>
  <c r="P80" i="47" s="1"/>
  <c r="AA80" i="47" s="1"/>
  <c r="Y80" i="47" s="1"/>
  <c r="H79" i="48"/>
  <c r="AM222" i="48"/>
  <c r="AO222" i="48" s="1"/>
  <c r="AD222" i="48"/>
  <c r="AF222" i="48" s="1"/>
  <c r="U222" i="48"/>
  <c r="W222" i="48" s="1"/>
  <c r="B222" i="48"/>
  <c r="C222" i="48" s="1"/>
  <c r="J222" i="48" s="1"/>
  <c r="K222" i="48" s="1"/>
  <c r="A223" i="48"/>
  <c r="P51" i="48"/>
  <c r="S51" i="48"/>
  <c r="T51" i="48" s="1"/>
  <c r="I79" i="48"/>
  <c r="AJ79" i="47"/>
  <c r="Z80" i="47"/>
  <c r="Q81" i="47"/>
  <c r="S80" i="47"/>
  <c r="T80" i="47" s="1"/>
  <c r="D80" i="47"/>
  <c r="AM223" i="47"/>
  <c r="AD223" i="47"/>
  <c r="U223" i="47"/>
  <c r="A224" i="47"/>
  <c r="AO223" i="47"/>
  <c r="AF223" i="47"/>
  <c r="W223" i="47"/>
  <c r="B223" i="47"/>
  <c r="C223" i="47" s="1"/>
  <c r="J223" i="47" s="1"/>
  <c r="K223" i="47" s="1"/>
  <c r="AB80" i="47" l="1"/>
  <c r="AC80" i="47" s="1"/>
  <c r="L79" i="48"/>
  <c r="M79" i="48" s="1"/>
  <c r="A224" i="48"/>
  <c r="B223" i="48"/>
  <c r="C223" i="48" s="1"/>
  <c r="J223" i="48" s="1"/>
  <c r="K223" i="48" s="1"/>
  <c r="AD223" i="48"/>
  <c r="AF223" i="48" s="1"/>
  <c r="AM223" i="48"/>
  <c r="AO223" i="48" s="1"/>
  <c r="U223" i="48"/>
  <c r="W223" i="48" s="1"/>
  <c r="AA51" i="48"/>
  <c r="Q52" i="48"/>
  <c r="G81" i="47"/>
  <c r="F81" i="47"/>
  <c r="E81" i="47"/>
  <c r="AJ80" i="47"/>
  <c r="Z81" i="47"/>
  <c r="A225" i="47"/>
  <c r="B224" i="47"/>
  <c r="C224" i="47" s="1"/>
  <c r="J224" i="47" s="1"/>
  <c r="K224" i="47" s="1"/>
  <c r="AM224" i="47"/>
  <c r="AO224" i="47" s="1"/>
  <c r="AD224" i="47"/>
  <c r="AF224" i="47" s="1"/>
  <c r="U224" i="47"/>
  <c r="W224" i="47" s="1"/>
  <c r="AH79" i="47"/>
  <c r="AK79" i="47"/>
  <c r="AL79" i="47" s="1"/>
  <c r="H81" i="47" l="1"/>
  <c r="AM224" i="48"/>
  <c r="AD224" i="48"/>
  <c r="U224" i="48"/>
  <c r="W224" i="48" s="1"/>
  <c r="B224" i="48"/>
  <c r="A225" i="48"/>
  <c r="AF224" i="48"/>
  <c r="AO224" i="48"/>
  <c r="C224" i="48"/>
  <c r="J224" i="48" s="1"/>
  <c r="K224" i="48" s="1"/>
  <c r="Y51" i="48"/>
  <c r="AB51" i="48"/>
  <c r="AC51" i="48" s="1"/>
  <c r="D79" i="48"/>
  <c r="N79" i="48"/>
  <c r="AM225" i="47"/>
  <c r="AD225" i="47"/>
  <c r="U225" i="47"/>
  <c r="A226" i="47"/>
  <c r="AO225" i="47"/>
  <c r="AF225" i="47"/>
  <c r="W225" i="47"/>
  <c r="B225" i="47"/>
  <c r="C225" i="47" s="1"/>
  <c r="J225" i="47" s="1"/>
  <c r="K225" i="47" s="1"/>
  <c r="I81" i="47"/>
  <c r="AI80" i="47"/>
  <c r="AK80" i="47" s="1"/>
  <c r="AL80" i="47" s="1"/>
  <c r="AH80" i="47"/>
  <c r="AJ51" i="48" l="1"/>
  <c r="Z52" i="48"/>
  <c r="A226" i="48"/>
  <c r="B225" i="48"/>
  <c r="C225" i="48" s="1"/>
  <c r="J225" i="48" s="1"/>
  <c r="K225" i="48" s="1"/>
  <c r="AM225" i="48"/>
  <c r="AO225" i="48" s="1"/>
  <c r="AD225" i="48"/>
  <c r="AF225" i="48" s="1"/>
  <c r="U225" i="48"/>
  <c r="W225" i="48" s="1"/>
  <c r="F80" i="48"/>
  <c r="G80" i="48"/>
  <c r="E80" i="48"/>
  <c r="A227" i="47"/>
  <c r="B226" i="47"/>
  <c r="C226" i="47" s="1"/>
  <c r="J226" i="47" s="1"/>
  <c r="K226" i="47" s="1"/>
  <c r="AM226" i="47"/>
  <c r="AO226" i="47" s="1"/>
  <c r="AD226" i="47"/>
  <c r="AF226" i="47" s="1"/>
  <c r="U226" i="47"/>
  <c r="W226" i="47" s="1"/>
  <c r="AI81" i="47"/>
  <c r="L81" i="47"/>
  <c r="M81" i="47" s="1"/>
  <c r="I80" i="48" l="1"/>
  <c r="AM226" i="48"/>
  <c r="AO226" i="48" s="1"/>
  <c r="AD226" i="48"/>
  <c r="AF226" i="48" s="1"/>
  <c r="U226" i="48"/>
  <c r="W226" i="48" s="1"/>
  <c r="A227" i="48"/>
  <c r="B226" i="48"/>
  <c r="C226" i="48" s="1"/>
  <c r="J226" i="48" s="1"/>
  <c r="K226" i="48" s="1"/>
  <c r="H80" i="48"/>
  <c r="AH51" i="48"/>
  <c r="AK51" i="48"/>
  <c r="AL51" i="48" s="1"/>
  <c r="D81" i="47"/>
  <c r="N81" i="47"/>
  <c r="R81" i="47" s="1"/>
  <c r="AM227" i="47"/>
  <c r="AO227" i="47" s="1"/>
  <c r="AD227" i="47"/>
  <c r="U227" i="47"/>
  <c r="A228" i="47"/>
  <c r="AF227" i="47"/>
  <c r="W227" i="47"/>
  <c r="B227" i="47"/>
  <c r="C227" i="47" s="1"/>
  <c r="J227" i="47" s="1"/>
  <c r="K227" i="47" s="1"/>
  <c r="AI52" i="48" l="1"/>
  <c r="A228" i="48"/>
  <c r="B227" i="48"/>
  <c r="C227" i="48" s="1"/>
  <c r="J227" i="48" s="1"/>
  <c r="K227" i="48" s="1"/>
  <c r="AM227" i="48"/>
  <c r="AO227" i="48" s="1"/>
  <c r="U227" i="48"/>
  <c r="W227" i="48" s="1"/>
  <c r="AD227" i="48"/>
  <c r="AF227" i="48" s="1"/>
  <c r="L80" i="48"/>
  <c r="M80" i="48" s="1"/>
  <c r="A229" i="47"/>
  <c r="B228" i="47"/>
  <c r="C228" i="47" s="1"/>
  <c r="J228" i="47" s="1"/>
  <c r="K228" i="47" s="1"/>
  <c r="AM228" i="47"/>
  <c r="AO228" i="47" s="1"/>
  <c r="AD228" i="47"/>
  <c r="AF228" i="47" s="1"/>
  <c r="U228" i="47"/>
  <c r="W228" i="47" s="1"/>
  <c r="P81" i="47"/>
  <c r="S81" i="47"/>
  <c r="T81" i="47" s="1"/>
  <c r="F82" i="47"/>
  <c r="G82" i="47"/>
  <c r="E82" i="47"/>
  <c r="AM228" i="48" l="1"/>
  <c r="AO228" i="48" s="1"/>
  <c r="AD228" i="48"/>
  <c r="AF228" i="48" s="1"/>
  <c r="U228" i="48"/>
  <c r="B228" i="48"/>
  <c r="A229" i="48"/>
  <c r="C228" i="48"/>
  <c r="J228" i="48" s="1"/>
  <c r="K228" i="48" s="1"/>
  <c r="W228" i="48"/>
  <c r="D80" i="48"/>
  <c r="N80" i="48"/>
  <c r="R52" i="48"/>
  <c r="AA81" i="47"/>
  <c r="Q82" i="47"/>
  <c r="I82" i="47"/>
  <c r="H82" i="47"/>
  <c r="AM229" i="47"/>
  <c r="AO229" i="47" s="1"/>
  <c r="AD229" i="47"/>
  <c r="U229" i="47"/>
  <c r="W229" i="47" s="1"/>
  <c r="A230" i="47"/>
  <c r="AF229" i="47"/>
  <c r="B229" i="47"/>
  <c r="C229" i="47" s="1"/>
  <c r="J229" i="47" s="1"/>
  <c r="K229" i="47" s="1"/>
  <c r="A230" i="48" l="1"/>
  <c r="B229" i="48"/>
  <c r="C229" i="48" s="1"/>
  <c r="J229" i="48" s="1"/>
  <c r="K229" i="48" s="1"/>
  <c r="AM229" i="48"/>
  <c r="AO229" i="48" s="1"/>
  <c r="AD229" i="48"/>
  <c r="AF229" i="48" s="1"/>
  <c r="U229" i="48"/>
  <c r="W229" i="48" s="1"/>
  <c r="F81" i="48"/>
  <c r="G81" i="48"/>
  <c r="E81" i="48"/>
  <c r="P52" i="48"/>
  <c r="S52" i="48"/>
  <c r="T52" i="48" s="1"/>
  <c r="A231" i="47"/>
  <c r="B230" i="47"/>
  <c r="C230" i="47" s="1"/>
  <c r="J230" i="47" s="1"/>
  <c r="K230" i="47" s="1"/>
  <c r="AM230" i="47"/>
  <c r="AO230" i="47" s="1"/>
  <c r="AD230" i="47"/>
  <c r="AF230" i="47" s="1"/>
  <c r="U230" i="47"/>
  <c r="W230" i="47" s="1"/>
  <c r="L82" i="47"/>
  <c r="N82" i="47" s="1"/>
  <c r="R82" i="47" s="1"/>
  <c r="P82" i="47" s="1"/>
  <c r="Y81" i="47"/>
  <c r="AB81" i="47"/>
  <c r="AC81" i="47" s="1"/>
  <c r="M82" i="47" l="1"/>
  <c r="D82" i="47"/>
  <c r="H81" i="48"/>
  <c r="AA52" i="48"/>
  <c r="Q53" i="48"/>
  <c r="I81" i="48"/>
  <c r="AM230" i="48"/>
  <c r="AO230" i="48" s="1"/>
  <c r="AD230" i="48"/>
  <c r="U230" i="48"/>
  <c r="W230" i="48" s="1"/>
  <c r="AF230" i="48"/>
  <c r="A231" i="48"/>
  <c r="B230" i="48"/>
  <c r="C230" i="48" s="1"/>
  <c r="J230" i="48" s="1"/>
  <c r="K230" i="48" s="1"/>
  <c r="S82" i="47"/>
  <c r="T82" i="47" s="1"/>
  <c r="AJ81" i="47"/>
  <c r="Z82" i="47"/>
  <c r="F83" i="47"/>
  <c r="G83" i="47"/>
  <c r="E83" i="47"/>
  <c r="AA82" i="47"/>
  <c r="Y82" i="47" s="1"/>
  <c r="Q83" i="47"/>
  <c r="AM231" i="47"/>
  <c r="AO231" i="47" s="1"/>
  <c r="AD231" i="47"/>
  <c r="U231" i="47"/>
  <c r="W231" i="47" s="1"/>
  <c r="A232" i="47"/>
  <c r="AF231" i="47"/>
  <c r="B231" i="47"/>
  <c r="C231" i="47" s="1"/>
  <c r="J231" i="47" s="1"/>
  <c r="K231" i="47" s="1"/>
  <c r="AB82" i="47" l="1"/>
  <c r="AC82" i="47" s="1"/>
  <c r="L81" i="48"/>
  <c r="M81" i="48" s="1"/>
  <c r="A232" i="48"/>
  <c r="B231" i="48"/>
  <c r="C231" i="48" s="1"/>
  <c r="J231" i="48" s="1"/>
  <c r="K231" i="48" s="1"/>
  <c r="U231" i="48"/>
  <c r="W231" i="48" s="1"/>
  <c r="AD231" i="48"/>
  <c r="AF231" i="48" s="1"/>
  <c r="AM231" i="48"/>
  <c r="AO231" i="48" s="1"/>
  <c r="Y52" i="48"/>
  <c r="AB52" i="48"/>
  <c r="AC52" i="48" s="1"/>
  <c r="AJ82" i="47"/>
  <c r="Z83" i="47"/>
  <c r="H83" i="47"/>
  <c r="AH81" i="47"/>
  <c r="AK81" i="47"/>
  <c r="AL81" i="47" s="1"/>
  <c r="A233" i="47"/>
  <c r="B232" i="47"/>
  <c r="C232" i="47" s="1"/>
  <c r="J232" i="47" s="1"/>
  <c r="K232" i="47" s="1"/>
  <c r="AM232" i="47"/>
  <c r="AO232" i="47" s="1"/>
  <c r="AD232" i="47"/>
  <c r="AF232" i="47" s="1"/>
  <c r="U232" i="47"/>
  <c r="W232" i="47" s="1"/>
  <c r="I83" i="47"/>
  <c r="AM232" i="48" l="1"/>
  <c r="AO232" i="48" s="1"/>
  <c r="AD232" i="48"/>
  <c r="AF232" i="48" s="1"/>
  <c r="U232" i="48"/>
  <c r="W232" i="48" s="1"/>
  <c r="B232" i="48"/>
  <c r="C232" i="48" s="1"/>
  <c r="J232" i="48" s="1"/>
  <c r="K232" i="48" s="1"/>
  <c r="A233" i="48"/>
  <c r="AJ52" i="48"/>
  <c r="Z53" i="48"/>
  <c r="D81" i="48"/>
  <c r="N81" i="48"/>
  <c r="L83" i="47"/>
  <c r="N83" i="47" s="1"/>
  <c r="R83" i="47" s="1"/>
  <c r="AH82" i="47"/>
  <c r="AI82" i="47"/>
  <c r="AK82" i="47" s="1"/>
  <c r="AL82" i="47" s="1"/>
  <c r="AM233" i="47"/>
  <c r="AD233" i="47"/>
  <c r="U233" i="47"/>
  <c r="A234" i="47"/>
  <c r="AO233" i="47"/>
  <c r="AF233" i="47"/>
  <c r="W233" i="47"/>
  <c r="B233" i="47"/>
  <c r="C233" i="47" s="1"/>
  <c r="J233" i="47" s="1"/>
  <c r="K233" i="47" s="1"/>
  <c r="M83" i="47" l="1"/>
  <c r="AH52" i="48"/>
  <c r="AK52" i="48"/>
  <c r="AL52" i="48" s="1"/>
  <c r="F82" i="48"/>
  <c r="G82" i="48"/>
  <c r="E82" i="48"/>
  <c r="A234" i="48"/>
  <c r="B233" i="48"/>
  <c r="C233" i="48" s="1"/>
  <c r="J233" i="48" s="1"/>
  <c r="K233" i="48" s="1"/>
  <c r="AM233" i="48"/>
  <c r="AO233" i="48" s="1"/>
  <c r="AD233" i="48"/>
  <c r="AF233" i="48" s="1"/>
  <c r="U233" i="48"/>
  <c r="W233" i="48" s="1"/>
  <c r="P83" i="47"/>
  <c r="S83" i="47"/>
  <c r="T83" i="47" s="1"/>
  <c r="A235" i="47"/>
  <c r="AM234" i="47"/>
  <c r="U234" i="47"/>
  <c r="B234" i="47"/>
  <c r="C234" i="47" s="1"/>
  <c r="J234" i="47" s="1"/>
  <c r="K234" i="47" s="1"/>
  <c r="AO234" i="47"/>
  <c r="AD234" i="47"/>
  <c r="AF234" i="47" s="1"/>
  <c r="W234" i="47"/>
  <c r="D83" i="47"/>
  <c r="AI83" i="47"/>
  <c r="H82" i="48" l="1"/>
  <c r="I82" i="48"/>
  <c r="AM234" i="48"/>
  <c r="AD234" i="48"/>
  <c r="U234" i="48"/>
  <c r="AO234" i="48"/>
  <c r="AF234" i="48"/>
  <c r="W234" i="48"/>
  <c r="B234" i="48"/>
  <c r="C234" i="48" s="1"/>
  <c r="J234" i="48" s="1"/>
  <c r="K234" i="48" s="1"/>
  <c r="A235" i="48"/>
  <c r="AI53" i="48"/>
  <c r="A236" i="47"/>
  <c r="AD235" i="47"/>
  <c r="AF235" i="47" s="1"/>
  <c r="B235" i="47"/>
  <c r="C235" i="47" s="1"/>
  <c r="J235" i="47" s="1"/>
  <c r="K235" i="47" s="1"/>
  <c r="AM235" i="47"/>
  <c r="AO235" i="47" s="1"/>
  <c r="U235" i="47"/>
  <c r="W235" i="47" s="1"/>
  <c r="G84" i="47"/>
  <c r="F84" i="47"/>
  <c r="E84" i="47"/>
  <c r="AA83" i="47"/>
  <c r="Q84" i="47"/>
  <c r="R53" i="48" l="1"/>
  <c r="A236" i="48"/>
  <c r="B235" i="48"/>
  <c r="C235" i="48" s="1"/>
  <c r="J235" i="48" s="1"/>
  <c r="K235" i="48" s="1"/>
  <c r="U235" i="48"/>
  <c r="W235" i="48" s="1"/>
  <c r="AD235" i="48"/>
  <c r="AF235" i="48" s="1"/>
  <c r="AM235" i="48"/>
  <c r="AO235" i="48" s="1"/>
  <c r="L82" i="48"/>
  <c r="M82" i="48" s="1"/>
  <c r="A237" i="47"/>
  <c r="AM236" i="47"/>
  <c r="AO236" i="47" s="1"/>
  <c r="AD236" i="47"/>
  <c r="AF236" i="47" s="1"/>
  <c r="U236" i="47"/>
  <c r="W236" i="47"/>
  <c r="B236" i="47"/>
  <c r="C236" i="47" s="1"/>
  <c r="J236" i="47" s="1"/>
  <c r="K236" i="47" s="1"/>
  <c r="I84" i="47"/>
  <c r="Y83" i="47"/>
  <c r="AB83" i="47"/>
  <c r="AC83" i="47" s="1"/>
  <c r="H84" i="47"/>
  <c r="D82" i="48" l="1"/>
  <c r="AM236" i="48"/>
  <c r="AD236" i="48"/>
  <c r="U236" i="48"/>
  <c r="W236" i="48" s="1"/>
  <c r="B236" i="48"/>
  <c r="C236" i="48" s="1"/>
  <c r="J236" i="48" s="1"/>
  <c r="K236" i="48" s="1"/>
  <c r="A237" i="48"/>
  <c r="AF236" i="48"/>
  <c r="AO236" i="48"/>
  <c r="P53" i="48"/>
  <c r="S53" i="48"/>
  <c r="T53" i="48" s="1"/>
  <c r="N82" i="48"/>
  <c r="A238" i="47"/>
  <c r="B237" i="47"/>
  <c r="C237" i="47" s="1"/>
  <c r="J237" i="47" s="1"/>
  <c r="K237" i="47" s="1"/>
  <c r="AM237" i="47"/>
  <c r="AO237" i="47" s="1"/>
  <c r="U237" i="47"/>
  <c r="W237" i="47" s="1"/>
  <c r="AD237" i="47"/>
  <c r="AF237" i="47" s="1"/>
  <c r="AJ83" i="47"/>
  <c r="Z84" i="47"/>
  <c r="L84" i="47"/>
  <c r="N84" i="47" s="1"/>
  <c r="R84" i="47" s="1"/>
  <c r="M84" i="47" l="1"/>
  <c r="D84" i="47"/>
  <c r="G85" i="47" s="1"/>
  <c r="A238" i="48"/>
  <c r="B237" i="48"/>
  <c r="C237" i="48" s="1"/>
  <c r="J237" i="48" s="1"/>
  <c r="K237" i="48" s="1"/>
  <c r="AM237" i="48"/>
  <c r="AO237" i="48" s="1"/>
  <c r="AD237" i="48"/>
  <c r="AF237" i="48" s="1"/>
  <c r="U237" i="48"/>
  <c r="W237" i="48" s="1"/>
  <c r="AA53" i="48"/>
  <c r="Q54" i="48"/>
  <c r="G83" i="48"/>
  <c r="F83" i="48"/>
  <c r="E83" i="48"/>
  <c r="AH83" i="47"/>
  <c r="AK83" i="47"/>
  <c r="AL83" i="47" s="1"/>
  <c r="F85" i="47"/>
  <c r="E85" i="47"/>
  <c r="A239" i="47"/>
  <c r="AM238" i="47"/>
  <c r="AO238" i="47" s="1"/>
  <c r="AD238" i="47"/>
  <c r="U238" i="47"/>
  <c r="W238" i="47" s="1"/>
  <c r="AF238" i="47"/>
  <c r="B238" i="47"/>
  <c r="C238" i="47" s="1"/>
  <c r="J238" i="47" s="1"/>
  <c r="K238" i="47" s="1"/>
  <c r="P84" i="47"/>
  <c r="S84" i="47"/>
  <c r="T84" i="47" s="1"/>
  <c r="Y53" i="48" l="1"/>
  <c r="AB53" i="48"/>
  <c r="AC53" i="48" s="1"/>
  <c r="H83" i="48"/>
  <c r="I83" i="48"/>
  <c r="AM238" i="48"/>
  <c r="AD238" i="48"/>
  <c r="AF238" i="48" s="1"/>
  <c r="U238" i="48"/>
  <c r="AO238" i="48"/>
  <c r="W238" i="48"/>
  <c r="B238" i="48"/>
  <c r="C238" i="48" s="1"/>
  <c r="J238" i="48" s="1"/>
  <c r="K238" i="48" s="1"/>
  <c r="A239" i="48"/>
  <c r="A240" i="47"/>
  <c r="C239" i="47"/>
  <c r="W239" i="47"/>
  <c r="J239" i="47"/>
  <c r="K239" i="47" s="1"/>
  <c r="B239" i="47"/>
  <c r="AM239" i="47"/>
  <c r="AO239" i="47" s="1"/>
  <c r="U239" i="47"/>
  <c r="AD239" i="47"/>
  <c r="AF239" i="47" s="1"/>
  <c r="I85" i="47"/>
  <c r="AA84" i="47"/>
  <c r="Q85" i="47"/>
  <c r="H85" i="47"/>
  <c r="AI84" i="47"/>
  <c r="A240" i="48" l="1"/>
  <c r="B239" i="48"/>
  <c r="C239" i="48" s="1"/>
  <c r="J239" i="48" s="1"/>
  <c r="K239" i="48" s="1"/>
  <c r="AD239" i="48"/>
  <c r="AF239" i="48" s="1"/>
  <c r="AM239" i="48"/>
  <c r="AO239" i="48" s="1"/>
  <c r="U239" i="48"/>
  <c r="W239" i="48" s="1"/>
  <c r="L83" i="48"/>
  <c r="M83" i="48" s="1"/>
  <c r="AJ53" i="48"/>
  <c r="Z54" i="48"/>
  <c r="L85" i="47"/>
  <c r="N85" i="47" s="1"/>
  <c r="R85" i="47" s="1"/>
  <c r="Y84" i="47"/>
  <c r="AB84" i="47"/>
  <c r="AC84" i="47" s="1"/>
  <c r="A241" i="47"/>
  <c r="C240" i="47"/>
  <c r="J240" i="47" s="1"/>
  <c r="K240" i="47" s="1"/>
  <c r="AM240" i="47"/>
  <c r="AO240" i="47" s="1"/>
  <c r="AD240" i="47"/>
  <c r="AF240" i="47" s="1"/>
  <c r="U240" i="47"/>
  <c r="B240" i="47"/>
  <c r="W240" i="47"/>
  <c r="D85" i="47" l="1"/>
  <c r="M85" i="47"/>
  <c r="N83" i="48"/>
  <c r="AH53" i="48"/>
  <c r="AK53" i="48"/>
  <c r="AL53" i="48" s="1"/>
  <c r="D83" i="48"/>
  <c r="AM240" i="48"/>
  <c r="AO240" i="48" s="1"/>
  <c r="AD240" i="48"/>
  <c r="U240" i="48"/>
  <c r="W240" i="48" s="1"/>
  <c r="B240" i="48"/>
  <c r="C240" i="48" s="1"/>
  <c r="J240" i="48" s="1"/>
  <c r="K240" i="48" s="1"/>
  <c r="A241" i="48"/>
  <c r="AF240" i="48"/>
  <c r="P85" i="47"/>
  <c r="S85" i="47"/>
  <c r="T85" i="47" s="1"/>
  <c r="A242" i="47"/>
  <c r="B241" i="47"/>
  <c r="C241" i="47" s="1"/>
  <c r="J241" i="47" s="1"/>
  <c r="K241" i="47" s="1"/>
  <c r="AD241" i="47"/>
  <c r="AF241" i="47" s="1"/>
  <c r="AM241" i="47"/>
  <c r="AO241" i="47" s="1"/>
  <c r="U241" i="47"/>
  <c r="W241" i="47" s="1"/>
  <c r="G86" i="47"/>
  <c r="F86" i="47"/>
  <c r="H86" i="47" s="1"/>
  <c r="E86" i="47"/>
  <c r="AJ84" i="47"/>
  <c r="Z85" i="47"/>
  <c r="G84" i="48" l="1"/>
  <c r="F84" i="48"/>
  <c r="E84" i="48"/>
  <c r="A242" i="48"/>
  <c r="B241" i="48"/>
  <c r="C241" i="48" s="1"/>
  <c r="J241" i="48" s="1"/>
  <c r="K241" i="48" s="1"/>
  <c r="AM241" i="48"/>
  <c r="AO241" i="48" s="1"/>
  <c r="AD241" i="48"/>
  <c r="AF241" i="48" s="1"/>
  <c r="U241" i="48"/>
  <c r="W241" i="48" s="1"/>
  <c r="AI54" i="48"/>
  <c r="A243" i="47"/>
  <c r="AM242" i="47"/>
  <c r="AO242" i="47" s="1"/>
  <c r="AD242" i="47"/>
  <c r="AF242" i="47" s="1"/>
  <c r="U242" i="47"/>
  <c r="W242" i="47" s="1"/>
  <c r="B242" i="47"/>
  <c r="C242" i="47" s="1"/>
  <c r="J242" i="47" s="1"/>
  <c r="K242" i="47" s="1"/>
  <c r="AH84" i="47"/>
  <c r="AK84" i="47"/>
  <c r="AL84" i="47" s="1"/>
  <c r="I86" i="47"/>
  <c r="AA85" i="47"/>
  <c r="Y85" i="47" s="1"/>
  <c r="Q86" i="47"/>
  <c r="AM242" i="48" l="1"/>
  <c r="AD242" i="48"/>
  <c r="AF242" i="48" s="1"/>
  <c r="U242" i="48"/>
  <c r="A243" i="48"/>
  <c r="AO242" i="48"/>
  <c r="W242" i="48"/>
  <c r="B242" i="48"/>
  <c r="C242" i="48" s="1"/>
  <c r="J242" i="48" s="1"/>
  <c r="K242" i="48" s="1"/>
  <c r="R54" i="48"/>
  <c r="I84" i="48"/>
  <c r="H84" i="48"/>
  <c r="AI85" i="47"/>
  <c r="AJ85" i="47"/>
  <c r="AH85" i="47" s="1"/>
  <c r="Z86" i="47"/>
  <c r="AB85" i="47"/>
  <c r="AC85" i="47" s="1"/>
  <c r="L86" i="47"/>
  <c r="D86" i="47" s="1"/>
  <c r="AM243" i="47"/>
  <c r="AO243" i="47" s="1"/>
  <c r="AD243" i="47"/>
  <c r="AF243" i="47" s="1"/>
  <c r="U243" i="47"/>
  <c r="W243" i="47" s="1"/>
  <c r="A244" i="47"/>
  <c r="B243" i="47"/>
  <c r="C243" i="47" s="1"/>
  <c r="J243" i="47" s="1"/>
  <c r="K243" i="47" s="1"/>
  <c r="N86" i="47" l="1"/>
  <c r="R86" i="47" s="1"/>
  <c r="P86" i="47" s="1"/>
  <c r="M86" i="47"/>
  <c r="A244" i="48"/>
  <c r="B243" i="48"/>
  <c r="C243" i="48" s="1"/>
  <c r="J243" i="48" s="1"/>
  <c r="K243" i="48" s="1"/>
  <c r="AM243" i="48"/>
  <c r="AO243" i="48" s="1"/>
  <c r="AD243" i="48"/>
  <c r="AF243" i="48" s="1"/>
  <c r="U243" i="48"/>
  <c r="W243" i="48" s="1"/>
  <c r="L84" i="48"/>
  <c r="M84" i="48" s="1"/>
  <c r="P54" i="48"/>
  <c r="S54" i="48"/>
  <c r="T54" i="48" s="1"/>
  <c r="AI86" i="47"/>
  <c r="AA86" i="47"/>
  <c r="Y86" i="47" s="1"/>
  <c r="Q87" i="47"/>
  <c r="A245" i="47"/>
  <c r="B244" i="47"/>
  <c r="C244" i="47" s="1"/>
  <c r="J244" i="47" s="1"/>
  <c r="K244" i="47" s="1"/>
  <c r="AM244" i="47"/>
  <c r="AO244" i="47" s="1"/>
  <c r="AD244" i="47"/>
  <c r="AF244" i="47" s="1"/>
  <c r="U244" i="47"/>
  <c r="W244" i="47" s="1"/>
  <c r="S86" i="47"/>
  <c r="T86" i="47" s="1"/>
  <c r="AK85" i="47"/>
  <c r="AL85" i="47" s="1"/>
  <c r="F87" i="47"/>
  <c r="G87" i="47"/>
  <c r="E87" i="47"/>
  <c r="AB86" i="47" l="1"/>
  <c r="AC86" i="47" s="1"/>
  <c r="N84" i="48"/>
  <c r="AA54" i="48"/>
  <c r="Q55" i="48"/>
  <c r="D84" i="48"/>
  <c r="AM244" i="48"/>
  <c r="AO244" i="48" s="1"/>
  <c r="AD244" i="48"/>
  <c r="U244" i="48"/>
  <c r="W244" i="48" s="1"/>
  <c r="AF244" i="48"/>
  <c r="B244" i="48"/>
  <c r="C244" i="48" s="1"/>
  <c r="J244" i="48" s="1"/>
  <c r="K244" i="48" s="1"/>
  <c r="A245" i="48"/>
  <c r="AM245" i="47"/>
  <c r="AO245" i="47" s="1"/>
  <c r="AD245" i="47"/>
  <c r="U245" i="47"/>
  <c r="W245" i="47" s="1"/>
  <c r="A246" i="47"/>
  <c r="AF245" i="47"/>
  <c r="B245" i="47"/>
  <c r="C245" i="47" s="1"/>
  <c r="J245" i="47" s="1"/>
  <c r="K245" i="47" s="1"/>
  <c r="AJ86" i="47"/>
  <c r="AH86" i="47" s="1"/>
  <c r="Z87" i="47"/>
  <c r="I87" i="47"/>
  <c r="H87" i="47"/>
  <c r="AK86" i="47"/>
  <c r="AL86" i="47" s="1"/>
  <c r="Y54" i="48" l="1"/>
  <c r="AB54" i="48"/>
  <c r="AC54" i="48" s="1"/>
  <c r="F85" i="48"/>
  <c r="G85" i="48"/>
  <c r="E85" i="48"/>
  <c r="A246" i="48"/>
  <c r="B245" i="48"/>
  <c r="C245" i="48" s="1"/>
  <c r="J245" i="48" s="1"/>
  <c r="K245" i="48" s="1"/>
  <c r="AM245" i="48"/>
  <c r="AO245" i="48" s="1"/>
  <c r="AD245" i="48"/>
  <c r="AF245" i="48" s="1"/>
  <c r="U245" i="48"/>
  <c r="W245" i="48" s="1"/>
  <c r="AI87" i="47"/>
  <c r="A247" i="47"/>
  <c r="B246" i="47"/>
  <c r="C246" i="47" s="1"/>
  <c r="J246" i="47" s="1"/>
  <c r="K246" i="47" s="1"/>
  <c r="AM246" i="47"/>
  <c r="AO246" i="47" s="1"/>
  <c r="AD246" i="47"/>
  <c r="AF246" i="47" s="1"/>
  <c r="U246" i="47"/>
  <c r="W246" i="47" s="1"/>
  <c r="L87" i="47"/>
  <c r="M87" i="47" s="1"/>
  <c r="H85" i="48" l="1"/>
  <c r="I85" i="48"/>
  <c r="AM246" i="48"/>
  <c r="AO246" i="48" s="1"/>
  <c r="AD246" i="48"/>
  <c r="AF246" i="48" s="1"/>
  <c r="U246" i="48"/>
  <c r="B246" i="48"/>
  <c r="A247" i="48"/>
  <c r="W246" i="48"/>
  <c r="C246" i="48"/>
  <c r="J246" i="48" s="1"/>
  <c r="K246" i="48" s="1"/>
  <c r="AJ54" i="48"/>
  <c r="Z55" i="48"/>
  <c r="D87" i="47"/>
  <c r="AM247" i="47"/>
  <c r="AO247" i="47" s="1"/>
  <c r="AD247" i="47"/>
  <c r="AF247" i="47" s="1"/>
  <c r="U247" i="47"/>
  <c r="W247" i="47" s="1"/>
  <c r="A248" i="47"/>
  <c r="B247" i="47"/>
  <c r="C247" i="47" s="1"/>
  <c r="J247" i="47" s="1"/>
  <c r="K247" i="47" s="1"/>
  <c r="N87" i="47"/>
  <c r="R87" i="47" s="1"/>
  <c r="AH54" i="48" l="1"/>
  <c r="AK54" i="48"/>
  <c r="AL54" i="48" s="1"/>
  <c r="A248" i="48"/>
  <c r="B247" i="48"/>
  <c r="C247" i="48" s="1"/>
  <c r="J247" i="48" s="1"/>
  <c r="K247" i="48" s="1"/>
  <c r="AM247" i="48"/>
  <c r="AO247" i="48" s="1"/>
  <c r="AD247" i="48"/>
  <c r="AF247" i="48" s="1"/>
  <c r="U247" i="48"/>
  <c r="W247" i="48" s="1"/>
  <c r="L85" i="48"/>
  <c r="M85" i="48" s="1"/>
  <c r="P87" i="47"/>
  <c r="S87" i="47"/>
  <c r="T87" i="47" s="1"/>
  <c r="A249" i="47"/>
  <c r="B248" i="47"/>
  <c r="C248" i="47" s="1"/>
  <c r="J248" i="47" s="1"/>
  <c r="K248" i="47" s="1"/>
  <c r="AM248" i="47"/>
  <c r="AO248" i="47" s="1"/>
  <c r="AD248" i="47"/>
  <c r="AF248" i="47" s="1"/>
  <c r="U248" i="47"/>
  <c r="W248" i="47" s="1"/>
  <c r="G88" i="47"/>
  <c r="F88" i="47"/>
  <c r="H88" i="47" s="1"/>
  <c r="E88" i="47"/>
  <c r="D85" i="48" l="1"/>
  <c r="G86" i="48" s="1"/>
  <c r="F86" i="48"/>
  <c r="E86" i="48"/>
  <c r="AM248" i="48"/>
  <c r="AO248" i="48" s="1"/>
  <c r="AD248" i="48"/>
  <c r="AF248" i="48" s="1"/>
  <c r="A249" i="48"/>
  <c r="U248" i="48"/>
  <c r="W248" i="48" s="1"/>
  <c r="B248" i="48"/>
  <c r="C248" i="48" s="1"/>
  <c r="J248" i="48" s="1"/>
  <c r="K248" i="48" s="1"/>
  <c r="N85" i="48"/>
  <c r="AI55" i="48"/>
  <c r="AM249" i="47"/>
  <c r="AO249" i="47" s="1"/>
  <c r="AD249" i="47"/>
  <c r="AF249" i="47" s="1"/>
  <c r="U249" i="47"/>
  <c r="W249" i="47" s="1"/>
  <c r="A250" i="47"/>
  <c r="C249" i="47"/>
  <c r="J249" i="47" s="1"/>
  <c r="K249" i="47" s="1"/>
  <c r="B249" i="47"/>
  <c r="I88" i="47"/>
  <c r="AA87" i="47"/>
  <c r="Q88" i="47"/>
  <c r="H86" i="48" l="1"/>
  <c r="A250" i="48"/>
  <c r="B249" i="48"/>
  <c r="C249" i="48" s="1"/>
  <c r="J249" i="48" s="1"/>
  <c r="K249" i="48" s="1"/>
  <c r="AD249" i="48"/>
  <c r="AF249" i="48" s="1"/>
  <c r="AM249" i="48"/>
  <c r="AO249" i="48" s="1"/>
  <c r="U249" i="48"/>
  <c r="W249" i="48" s="1"/>
  <c r="R55" i="48"/>
  <c r="I86" i="48"/>
  <c r="Y87" i="47"/>
  <c r="AB87" i="47"/>
  <c r="AC87" i="47" s="1"/>
  <c r="A251" i="47"/>
  <c r="B250" i="47"/>
  <c r="C250" i="47" s="1"/>
  <c r="J250" i="47" s="1"/>
  <c r="K250" i="47" s="1"/>
  <c r="AM250" i="47"/>
  <c r="AO250" i="47" s="1"/>
  <c r="AD250" i="47"/>
  <c r="AF250" i="47" s="1"/>
  <c r="U250" i="47"/>
  <c r="W250" i="47" s="1"/>
  <c r="L88" i="47"/>
  <c r="N88" i="47" s="1"/>
  <c r="R88" i="47" s="1"/>
  <c r="M88" i="47" l="1"/>
  <c r="D88" i="47"/>
  <c r="G89" i="47" s="1"/>
  <c r="L86" i="48"/>
  <c r="M86" i="48" s="1"/>
  <c r="AM250" i="48"/>
  <c r="AO250" i="48" s="1"/>
  <c r="AD250" i="48"/>
  <c r="AF250" i="48" s="1"/>
  <c r="U250" i="48"/>
  <c r="W250" i="48" s="1"/>
  <c r="B250" i="48"/>
  <c r="C250" i="48" s="1"/>
  <c r="J250" i="48" s="1"/>
  <c r="K250" i="48" s="1"/>
  <c r="A251" i="48"/>
  <c r="P55" i="48"/>
  <c r="S55" i="48"/>
  <c r="T55" i="48" s="1"/>
  <c r="P88" i="47"/>
  <c r="S88" i="47"/>
  <c r="T88" i="47" s="1"/>
  <c r="AM251" i="47"/>
  <c r="AO251" i="47" s="1"/>
  <c r="AD251" i="47"/>
  <c r="AF251" i="47" s="1"/>
  <c r="U251" i="47"/>
  <c r="W251" i="47" s="1"/>
  <c r="A252" i="47"/>
  <c r="B251" i="47"/>
  <c r="C251" i="47" s="1"/>
  <c r="J251" i="47" s="1"/>
  <c r="K251" i="47" s="1"/>
  <c r="E89" i="47"/>
  <c r="AJ87" i="47"/>
  <c r="Z88" i="47"/>
  <c r="F89" i="47" l="1"/>
  <c r="H89" i="47"/>
  <c r="D86" i="48"/>
  <c r="AA55" i="48"/>
  <c r="Q56" i="48"/>
  <c r="A252" i="48"/>
  <c r="B251" i="48"/>
  <c r="C251" i="48" s="1"/>
  <c r="J251" i="48" s="1"/>
  <c r="K251" i="48" s="1"/>
  <c r="AM251" i="48"/>
  <c r="AO251" i="48" s="1"/>
  <c r="AD251" i="48"/>
  <c r="AF251" i="48" s="1"/>
  <c r="U251" i="48"/>
  <c r="W251" i="48" s="1"/>
  <c r="F87" i="48"/>
  <c r="G87" i="48"/>
  <c r="E87" i="48"/>
  <c r="N86" i="48"/>
  <c r="AH87" i="47"/>
  <c r="AK87" i="47"/>
  <c r="AL87" i="47" s="1"/>
  <c r="I89" i="47"/>
  <c r="A253" i="47"/>
  <c r="B252" i="47"/>
  <c r="C252" i="47" s="1"/>
  <c r="J252" i="47" s="1"/>
  <c r="K252" i="47" s="1"/>
  <c r="AM252" i="47"/>
  <c r="AO252" i="47" s="1"/>
  <c r="AD252" i="47"/>
  <c r="AF252" i="47" s="1"/>
  <c r="U252" i="47"/>
  <c r="W252" i="47" s="1"/>
  <c r="AA88" i="47"/>
  <c r="Y88" i="47" s="1"/>
  <c r="Q89" i="47"/>
  <c r="H87" i="48" l="1"/>
  <c r="AM252" i="48"/>
  <c r="AO252" i="48" s="1"/>
  <c r="AD252" i="48"/>
  <c r="AF252" i="48" s="1"/>
  <c r="U252" i="48"/>
  <c r="W252" i="48" s="1"/>
  <c r="A253" i="48"/>
  <c r="B252" i="48"/>
  <c r="C252" i="48" s="1"/>
  <c r="J252" i="48" s="1"/>
  <c r="K252" i="48" s="1"/>
  <c r="I87" i="48"/>
  <c r="Y55" i="48"/>
  <c r="AB55" i="48"/>
  <c r="AC55" i="48" s="1"/>
  <c r="AM253" i="47"/>
  <c r="AO253" i="47" s="1"/>
  <c r="AD253" i="47"/>
  <c r="AF253" i="47" s="1"/>
  <c r="U253" i="47"/>
  <c r="W253" i="47" s="1"/>
  <c r="A254" i="47"/>
  <c r="B253" i="47"/>
  <c r="C253" i="47" s="1"/>
  <c r="J253" i="47" s="1"/>
  <c r="K253" i="47" s="1"/>
  <c r="AJ88" i="47"/>
  <c r="AH88" i="47" s="1"/>
  <c r="Z89" i="47"/>
  <c r="L89" i="47"/>
  <c r="M89" i="47" s="1"/>
  <c r="AB88" i="47"/>
  <c r="AC88" i="47" s="1"/>
  <c r="AI88" i="47"/>
  <c r="AK88" i="47" s="1"/>
  <c r="AL88" i="47" s="1"/>
  <c r="D89" i="47" l="1"/>
  <c r="N89" i="47"/>
  <c r="R89" i="47" s="1"/>
  <c r="P89" i="47" s="1"/>
  <c r="AA89" i="47" s="1"/>
  <c r="L87" i="48"/>
  <c r="N87" i="48" s="1"/>
  <c r="A254" i="48"/>
  <c r="B253" i="48"/>
  <c r="C253" i="48" s="1"/>
  <c r="J253" i="48" s="1"/>
  <c r="K253" i="48" s="1"/>
  <c r="AM253" i="48"/>
  <c r="AO253" i="48" s="1"/>
  <c r="U253" i="48"/>
  <c r="W253" i="48" s="1"/>
  <c r="AD253" i="48"/>
  <c r="AF253" i="48" s="1"/>
  <c r="AJ55" i="48"/>
  <c r="Z56" i="48"/>
  <c r="M87" i="48"/>
  <c r="AI89" i="47"/>
  <c r="G90" i="47"/>
  <c r="F90" i="47"/>
  <c r="E90" i="47"/>
  <c r="A255" i="47"/>
  <c r="B254" i="47"/>
  <c r="C254" i="47" s="1"/>
  <c r="J254" i="47" s="1"/>
  <c r="K254" i="47" s="1"/>
  <c r="AM254" i="47"/>
  <c r="AO254" i="47" s="1"/>
  <c r="AD254" i="47"/>
  <c r="AF254" i="47" s="1"/>
  <c r="U254" i="47"/>
  <c r="W254" i="47" s="1"/>
  <c r="S89" i="47" l="1"/>
  <c r="T89" i="47" s="1"/>
  <c r="Y89" i="47"/>
  <c r="AJ89" i="47" s="1"/>
  <c r="AB89" i="47"/>
  <c r="AC89" i="47" s="1"/>
  <c r="Q90" i="47"/>
  <c r="AM254" i="48"/>
  <c r="AD254" i="48"/>
  <c r="U254" i="48"/>
  <c r="W254" i="48" s="1"/>
  <c r="B254" i="48"/>
  <c r="C254" i="48" s="1"/>
  <c r="J254" i="48" s="1"/>
  <c r="K254" i="48" s="1"/>
  <c r="AF254" i="48"/>
  <c r="A255" i="48"/>
  <c r="AO254" i="48"/>
  <c r="AH55" i="48"/>
  <c r="AK55" i="48"/>
  <c r="AL55" i="48" s="1"/>
  <c r="D87" i="48"/>
  <c r="AM255" i="47"/>
  <c r="AO255" i="47" s="1"/>
  <c r="AD255" i="47"/>
  <c r="AF255" i="47" s="1"/>
  <c r="U255" i="47"/>
  <c r="W255" i="47" s="1"/>
  <c r="A256" i="47"/>
  <c r="B255" i="47"/>
  <c r="C255" i="47" s="1"/>
  <c r="J255" i="47" s="1"/>
  <c r="K255" i="47" s="1"/>
  <c r="I90" i="47"/>
  <c r="H90" i="47"/>
  <c r="AH89" i="47" l="1"/>
  <c r="AK89" i="47"/>
  <c r="AL89" i="47" s="1"/>
  <c r="Z90" i="47"/>
  <c r="F88" i="48"/>
  <c r="G88" i="48"/>
  <c r="E88" i="48"/>
  <c r="AI56" i="48"/>
  <c r="A256" i="48"/>
  <c r="B255" i="48"/>
  <c r="C255" i="48" s="1"/>
  <c r="J255" i="48" s="1"/>
  <c r="K255" i="48" s="1"/>
  <c r="AM255" i="48"/>
  <c r="AO255" i="48" s="1"/>
  <c r="AD255" i="48"/>
  <c r="AF255" i="48" s="1"/>
  <c r="U255" i="48"/>
  <c r="W255" i="48" s="1"/>
  <c r="A257" i="47"/>
  <c r="B256" i="47"/>
  <c r="C256" i="47" s="1"/>
  <c r="J256" i="47" s="1"/>
  <c r="K256" i="47" s="1"/>
  <c r="AM256" i="47"/>
  <c r="AO256" i="47" s="1"/>
  <c r="AD256" i="47"/>
  <c r="AF256" i="47" s="1"/>
  <c r="U256" i="47"/>
  <c r="W256" i="47" s="1"/>
  <c r="L90" i="47"/>
  <c r="D90" i="47" s="1"/>
  <c r="AI90" i="47"/>
  <c r="M90" i="47" l="1"/>
  <c r="N90" i="47"/>
  <c r="R90" i="47" s="1"/>
  <c r="H88" i="48"/>
  <c r="R56" i="48"/>
  <c r="AM256" i="48"/>
  <c r="AD256" i="48"/>
  <c r="U256" i="48"/>
  <c r="A257" i="48"/>
  <c r="AO256" i="48"/>
  <c r="AF256" i="48"/>
  <c r="W256" i="48"/>
  <c r="B256" i="48"/>
  <c r="C256" i="48" s="1"/>
  <c r="J256" i="48" s="1"/>
  <c r="K256" i="48" s="1"/>
  <c r="I88" i="48"/>
  <c r="F91" i="47"/>
  <c r="G91" i="47"/>
  <c r="E91" i="47"/>
  <c r="P90" i="47"/>
  <c r="S90" i="47"/>
  <c r="T90" i="47" s="1"/>
  <c r="AM257" i="47"/>
  <c r="AD257" i="47"/>
  <c r="AF257" i="47" s="1"/>
  <c r="U257" i="47"/>
  <c r="A258" i="47"/>
  <c r="C257" i="47"/>
  <c r="J257" i="47" s="1"/>
  <c r="K257" i="47" s="1"/>
  <c r="AO257" i="47"/>
  <c r="W257" i="47"/>
  <c r="B257" i="47"/>
  <c r="L88" i="48" l="1"/>
  <c r="M88" i="48" s="1"/>
  <c r="A258" i="48"/>
  <c r="B257" i="48"/>
  <c r="C257" i="48" s="1"/>
  <c r="J257" i="48" s="1"/>
  <c r="K257" i="48" s="1"/>
  <c r="AD257" i="48"/>
  <c r="AF257" i="48" s="1"/>
  <c r="AM257" i="48"/>
  <c r="AO257" i="48" s="1"/>
  <c r="U257" i="48"/>
  <c r="W257" i="48" s="1"/>
  <c r="P56" i="48"/>
  <c r="S56" i="48"/>
  <c r="T56" i="48" s="1"/>
  <c r="A259" i="47"/>
  <c r="B258" i="47"/>
  <c r="C258" i="47" s="1"/>
  <c r="J258" i="47" s="1"/>
  <c r="K258" i="47" s="1"/>
  <c r="AM258" i="47"/>
  <c r="AO258" i="47" s="1"/>
  <c r="AD258" i="47"/>
  <c r="AF258" i="47" s="1"/>
  <c r="U258" i="47"/>
  <c r="W258" i="47" s="1"/>
  <c r="AA90" i="47"/>
  <c r="Q91" i="47"/>
  <c r="H91" i="47"/>
  <c r="I91" i="47"/>
  <c r="D88" i="48" l="1"/>
  <c r="F89" i="48" s="1"/>
  <c r="AA56" i="48"/>
  <c r="Q57" i="48"/>
  <c r="N88" i="48"/>
  <c r="AM258" i="48"/>
  <c r="AO258" i="48" s="1"/>
  <c r="AD258" i="48"/>
  <c r="AF258" i="48" s="1"/>
  <c r="U258" i="48"/>
  <c r="B258" i="48"/>
  <c r="C258" i="48" s="1"/>
  <c r="J258" i="48" s="1"/>
  <c r="K258" i="48" s="1"/>
  <c r="W258" i="48"/>
  <c r="A259" i="48"/>
  <c r="AM259" i="47"/>
  <c r="AO259" i="47" s="1"/>
  <c r="AD259" i="47"/>
  <c r="AF259" i="47" s="1"/>
  <c r="U259" i="47"/>
  <c r="W259" i="47" s="1"/>
  <c r="A260" i="47"/>
  <c r="B259" i="47"/>
  <c r="C259" i="47" s="1"/>
  <c r="J259" i="47" s="1"/>
  <c r="K259" i="47" s="1"/>
  <c r="L91" i="47"/>
  <c r="N91" i="47" s="1"/>
  <c r="R91" i="47" s="1"/>
  <c r="P91" i="47" s="1"/>
  <c r="D91" i="47"/>
  <c r="M91" i="47"/>
  <c r="Y90" i="47"/>
  <c r="AB90" i="47"/>
  <c r="AC90" i="47" s="1"/>
  <c r="E89" i="48" l="1"/>
  <c r="G89" i="48"/>
  <c r="A260" i="48"/>
  <c r="B259" i="48"/>
  <c r="C259" i="48" s="1"/>
  <c r="J259" i="48" s="1"/>
  <c r="K259" i="48" s="1"/>
  <c r="AM259" i="48"/>
  <c r="AO259" i="48" s="1"/>
  <c r="AD259" i="48"/>
  <c r="AF259" i="48" s="1"/>
  <c r="U259" i="48"/>
  <c r="W259" i="48" s="1"/>
  <c r="Y56" i="48"/>
  <c r="AB56" i="48"/>
  <c r="AC56" i="48" s="1"/>
  <c r="H89" i="48"/>
  <c r="I89" i="48"/>
  <c r="AA91" i="47"/>
  <c r="Y91" i="47" s="1"/>
  <c r="Q92" i="47"/>
  <c r="A261" i="47"/>
  <c r="B260" i="47"/>
  <c r="C260" i="47" s="1"/>
  <c r="J260" i="47" s="1"/>
  <c r="K260" i="47" s="1"/>
  <c r="AM260" i="47"/>
  <c r="AO260" i="47" s="1"/>
  <c r="AD260" i="47"/>
  <c r="AF260" i="47" s="1"/>
  <c r="U260" i="47"/>
  <c r="W260" i="47" s="1"/>
  <c r="F92" i="47"/>
  <c r="G92" i="47"/>
  <c r="E92" i="47"/>
  <c r="AJ90" i="47"/>
  <c r="Z91" i="47"/>
  <c r="S91" i="47"/>
  <c r="T91" i="47" s="1"/>
  <c r="AB91" i="47" l="1"/>
  <c r="AC91" i="47" s="1"/>
  <c r="H92" i="47"/>
  <c r="AJ56" i="48"/>
  <c r="Z57" i="48"/>
  <c r="L89" i="48"/>
  <c r="M89" i="48" s="1"/>
  <c r="AM260" i="48"/>
  <c r="AD260" i="48"/>
  <c r="AF260" i="48" s="1"/>
  <c r="U260" i="48"/>
  <c r="A261" i="48"/>
  <c r="AO260" i="48"/>
  <c r="W260" i="48"/>
  <c r="B260" i="48"/>
  <c r="C260" i="48" s="1"/>
  <c r="J260" i="48" s="1"/>
  <c r="K260" i="48" s="1"/>
  <c r="I92" i="47"/>
  <c r="AJ91" i="47"/>
  <c r="Z92" i="47"/>
  <c r="AH90" i="47"/>
  <c r="AK90" i="47"/>
  <c r="AL90" i="47" s="1"/>
  <c r="AM261" i="47"/>
  <c r="AD261" i="47"/>
  <c r="U261" i="47"/>
  <c r="A262" i="47"/>
  <c r="C261" i="47"/>
  <c r="AO261" i="47"/>
  <c r="AF261" i="47"/>
  <c r="W261" i="47"/>
  <c r="J261" i="47"/>
  <c r="K261" i="47" s="1"/>
  <c r="B261" i="47"/>
  <c r="A262" i="48" l="1"/>
  <c r="B261" i="48"/>
  <c r="C261" i="48" s="1"/>
  <c r="J261" i="48" s="1"/>
  <c r="K261" i="48" s="1"/>
  <c r="AM261" i="48"/>
  <c r="AO261" i="48" s="1"/>
  <c r="U261" i="48"/>
  <c r="W261" i="48" s="1"/>
  <c r="AD261" i="48"/>
  <c r="AF261" i="48" s="1"/>
  <c r="D89" i="48"/>
  <c r="AH56" i="48"/>
  <c r="AK56" i="48"/>
  <c r="AL56" i="48" s="1"/>
  <c r="N89" i="48"/>
  <c r="A263" i="47"/>
  <c r="B262" i="47"/>
  <c r="C262" i="47" s="1"/>
  <c r="J262" i="47" s="1"/>
  <c r="K262" i="47" s="1"/>
  <c r="AM262" i="47"/>
  <c r="AO262" i="47" s="1"/>
  <c r="AD262" i="47"/>
  <c r="AF262" i="47" s="1"/>
  <c r="U262" i="47"/>
  <c r="W262" i="47" s="1"/>
  <c r="L92" i="47"/>
  <c r="M92" i="47" s="1"/>
  <c r="D92" i="47"/>
  <c r="AH91" i="47"/>
  <c r="AI91" i="47"/>
  <c r="AK91" i="47" s="1"/>
  <c r="AL91" i="47" s="1"/>
  <c r="N92" i="47" l="1"/>
  <c r="R92" i="47" s="1"/>
  <c r="F90" i="48"/>
  <c r="G90" i="48"/>
  <c r="E90" i="48"/>
  <c r="AI57" i="48"/>
  <c r="AM262" i="48"/>
  <c r="AO262" i="48" s="1"/>
  <c r="AD262" i="48"/>
  <c r="U262" i="48"/>
  <c r="W262" i="48" s="1"/>
  <c r="B262" i="48"/>
  <c r="C262" i="48" s="1"/>
  <c r="J262" i="48" s="1"/>
  <c r="K262" i="48" s="1"/>
  <c r="AF262" i="48"/>
  <c r="A263" i="48"/>
  <c r="P92" i="47"/>
  <c r="S92" i="47"/>
  <c r="T92" i="47" s="1"/>
  <c r="AI92" i="47"/>
  <c r="G93" i="47"/>
  <c r="F93" i="47"/>
  <c r="H93" i="47" s="1"/>
  <c r="E93" i="47"/>
  <c r="AM263" i="47"/>
  <c r="AO263" i="47" s="1"/>
  <c r="AD263" i="47"/>
  <c r="AF263" i="47" s="1"/>
  <c r="U263" i="47"/>
  <c r="W263" i="47" s="1"/>
  <c r="A264" i="47"/>
  <c r="B263" i="47"/>
  <c r="C263" i="47" s="1"/>
  <c r="J263" i="47" s="1"/>
  <c r="K263" i="47" s="1"/>
  <c r="A264" i="48" l="1"/>
  <c r="B263" i="48"/>
  <c r="C263" i="48" s="1"/>
  <c r="J263" i="48" s="1"/>
  <c r="K263" i="48" s="1"/>
  <c r="AM263" i="48"/>
  <c r="AO263" i="48" s="1"/>
  <c r="AD263" i="48"/>
  <c r="AF263" i="48" s="1"/>
  <c r="U263" i="48"/>
  <c r="W263" i="48" s="1"/>
  <c r="I90" i="48"/>
  <c r="H90" i="48"/>
  <c r="R57" i="48"/>
  <c r="I93" i="47"/>
  <c r="AM264" i="47"/>
  <c r="AO264" i="47" s="1"/>
  <c r="AD264" i="47"/>
  <c r="AF264" i="47" s="1"/>
  <c r="U264" i="47"/>
  <c r="W264" i="47" s="1"/>
  <c r="A265" i="47"/>
  <c r="B264" i="47"/>
  <c r="C264" i="47" s="1"/>
  <c r="J264" i="47" s="1"/>
  <c r="K264" i="47" s="1"/>
  <c r="AA92" i="47"/>
  <c r="Q93" i="47"/>
  <c r="L90" i="48" l="1"/>
  <c r="N90" i="48" s="1"/>
  <c r="P57" i="48"/>
  <c r="S57" i="48"/>
  <c r="T57" i="48" s="1"/>
  <c r="AM264" i="48"/>
  <c r="AD264" i="48"/>
  <c r="U264" i="48"/>
  <c r="A265" i="48"/>
  <c r="AO264" i="48"/>
  <c r="AF264" i="48"/>
  <c r="W264" i="48"/>
  <c r="B264" i="48"/>
  <c r="C264" i="48" s="1"/>
  <c r="J264" i="48" s="1"/>
  <c r="K264" i="48" s="1"/>
  <c r="M90" i="48"/>
  <c r="L93" i="47"/>
  <c r="N93" i="47" s="1"/>
  <c r="R93" i="47" s="1"/>
  <c r="A266" i="47"/>
  <c r="B265" i="47"/>
  <c r="C265" i="47" s="1"/>
  <c r="J265" i="47" s="1"/>
  <c r="K265" i="47" s="1"/>
  <c r="AM265" i="47"/>
  <c r="AO265" i="47" s="1"/>
  <c r="AD265" i="47"/>
  <c r="AF265" i="47" s="1"/>
  <c r="U265" i="47"/>
  <c r="W265" i="47" s="1"/>
  <c r="Y92" i="47"/>
  <c r="AB92" i="47"/>
  <c r="AC92" i="47" s="1"/>
  <c r="M93" i="47"/>
  <c r="D93" i="47" l="1"/>
  <c r="F94" i="47" s="1"/>
  <c r="A266" i="48"/>
  <c r="B265" i="48"/>
  <c r="C265" i="48" s="1"/>
  <c r="J265" i="48" s="1"/>
  <c r="K265" i="48" s="1"/>
  <c r="U265" i="48"/>
  <c r="W265" i="48" s="1"/>
  <c r="AM265" i="48"/>
  <c r="AO265" i="48" s="1"/>
  <c r="AD265" i="48"/>
  <c r="AF265" i="48" s="1"/>
  <c r="AA57" i="48"/>
  <c r="Q58" i="48"/>
  <c r="D90" i="48"/>
  <c r="P93" i="47"/>
  <c r="S93" i="47"/>
  <c r="T93" i="47" s="1"/>
  <c r="AM266" i="47"/>
  <c r="AO266" i="47" s="1"/>
  <c r="AD266" i="47"/>
  <c r="U266" i="47"/>
  <c r="B266" i="47"/>
  <c r="C266" i="47" s="1"/>
  <c r="J266" i="47" s="1"/>
  <c r="K266" i="47" s="1"/>
  <c r="A267" i="47"/>
  <c r="AF266" i="47"/>
  <c r="W266" i="47"/>
  <c r="AJ92" i="47"/>
  <c r="Z93" i="47"/>
  <c r="E94" i="47" l="1"/>
  <c r="G94" i="47"/>
  <c r="H94" i="47" s="1"/>
  <c r="Y57" i="48"/>
  <c r="AB57" i="48"/>
  <c r="AC57" i="48" s="1"/>
  <c r="G91" i="48"/>
  <c r="F91" i="48"/>
  <c r="H91" i="48" s="1"/>
  <c r="E91" i="48"/>
  <c r="AM266" i="48"/>
  <c r="AD266" i="48"/>
  <c r="U266" i="48"/>
  <c r="W266" i="48" s="1"/>
  <c r="B266" i="48"/>
  <c r="C266" i="48" s="1"/>
  <c r="J266" i="48" s="1"/>
  <c r="K266" i="48" s="1"/>
  <c r="A267" i="48"/>
  <c r="AO266" i="48"/>
  <c r="AF266" i="48"/>
  <c r="AH92" i="47"/>
  <c r="AK92" i="47"/>
  <c r="AL92" i="47" s="1"/>
  <c r="A268" i="47"/>
  <c r="B267" i="47"/>
  <c r="C267" i="47" s="1"/>
  <c r="J267" i="47" s="1"/>
  <c r="K267" i="47" s="1"/>
  <c r="AM267" i="47"/>
  <c r="AO267" i="47" s="1"/>
  <c r="AD267" i="47"/>
  <c r="AF267" i="47" s="1"/>
  <c r="U267" i="47"/>
  <c r="W267" i="47" s="1"/>
  <c r="I94" i="47"/>
  <c r="AA93" i="47"/>
  <c r="Y93" i="47" s="1"/>
  <c r="Q94" i="47"/>
  <c r="A268" i="48" l="1"/>
  <c r="B267" i="48"/>
  <c r="C267" i="48" s="1"/>
  <c r="J267" i="48" s="1"/>
  <c r="K267" i="48" s="1"/>
  <c r="AM267" i="48"/>
  <c r="AO267" i="48" s="1"/>
  <c r="AD267" i="48"/>
  <c r="AF267" i="48" s="1"/>
  <c r="U267" i="48"/>
  <c r="W267" i="48" s="1"/>
  <c r="I91" i="48"/>
  <c r="AJ57" i="48"/>
  <c r="Z58" i="48"/>
  <c r="AM268" i="47"/>
  <c r="AO268" i="47" s="1"/>
  <c r="AD268" i="47"/>
  <c r="AF268" i="47" s="1"/>
  <c r="U268" i="47"/>
  <c r="W268" i="47" s="1"/>
  <c r="A269" i="47"/>
  <c r="B268" i="47"/>
  <c r="C268" i="47" s="1"/>
  <c r="J268" i="47" s="1"/>
  <c r="K268" i="47" s="1"/>
  <c r="AJ93" i="47"/>
  <c r="AH93" i="47" s="1"/>
  <c r="Z94" i="47"/>
  <c r="L94" i="47"/>
  <c r="M94" i="47" s="1"/>
  <c r="AB93" i="47"/>
  <c r="AC93" i="47" s="1"/>
  <c r="AI93" i="47"/>
  <c r="N94" i="47" l="1"/>
  <c r="R94" i="47" s="1"/>
  <c r="P94" i="47" s="1"/>
  <c r="D94" i="47"/>
  <c r="AH57" i="48"/>
  <c r="AK57" i="48"/>
  <c r="AL57" i="48" s="1"/>
  <c r="L91" i="48"/>
  <c r="N91" i="48" s="1"/>
  <c r="M91" i="48"/>
  <c r="AM268" i="48"/>
  <c r="AD268" i="48"/>
  <c r="U268" i="48"/>
  <c r="A269" i="48"/>
  <c r="AO268" i="48"/>
  <c r="AF268" i="48"/>
  <c r="W268" i="48"/>
  <c r="B268" i="48"/>
  <c r="C268" i="48" s="1"/>
  <c r="J268" i="48" s="1"/>
  <c r="K268" i="48" s="1"/>
  <c r="AI94" i="47"/>
  <c r="F95" i="47"/>
  <c r="G95" i="47"/>
  <c r="E95" i="47"/>
  <c r="A270" i="47"/>
  <c r="B269" i="47"/>
  <c r="C269" i="47" s="1"/>
  <c r="J269" i="47" s="1"/>
  <c r="K269" i="47" s="1"/>
  <c r="AM269" i="47"/>
  <c r="AO269" i="47" s="1"/>
  <c r="AD269" i="47"/>
  <c r="AF269" i="47" s="1"/>
  <c r="U269" i="47"/>
  <c r="W269" i="47" s="1"/>
  <c r="AA94" i="47"/>
  <c r="Y94" i="47" s="1"/>
  <c r="Q95" i="47"/>
  <c r="AK93" i="47"/>
  <c r="AL93" i="47" s="1"/>
  <c r="S94" i="47"/>
  <c r="T94" i="47" s="1"/>
  <c r="AB94" i="47" l="1"/>
  <c r="AC94" i="47" s="1"/>
  <c r="H95" i="47"/>
  <c r="D91" i="48"/>
  <c r="F92" i="48" s="1"/>
  <c r="A270" i="48"/>
  <c r="B269" i="48"/>
  <c r="C269" i="48" s="1"/>
  <c r="J269" i="48" s="1"/>
  <c r="K269" i="48" s="1"/>
  <c r="AD269" i="48"/>
  <c r="AF269" i="48" s="1"/>
  <c r="U269" i="48"/>
  <c r="W269" i="48" s="1"/>
  <c r="AM269" i="48"/>
  <c r="AO269" i="48" s="1"/>
  <c r="AI58" i="48"/>
  <c r="I95" i="47"/>
  <c r="AJ94" i="47"/>
  <c r="AH94" i="47" s="1"/>
  <c r="Z95" i="47"/>
  <c r="A271" i="47"/>
  <c r="AM270" i="47"/>
  <c r="AO270" i="47" s="1"/>
  <c r="AD270" i="47"/>
  <c r="U270" i="47"/>
  <c r="W270" i="47" s="1"/>
  <c r="B270" i="47"/>
  <c r="C270" i="47" s="1"/>
  <c r="J270" i="47" s="1"/>
  <c r="K270" i="47" s="1"/>
  <c r="AF270" i="47"/>
  <c r="G92" i="48" l="1"/>
  <c r="H92" i="48" s="1"/>
  <c r="E92" i="48"/>
  <c r="AM270" i="48"/>
  <c r="AD270" i="48"/>
  <c r="U270" i="48"/>
  <c r="B270" i="48"/>
  <c r="C270" i="48" s="1"/>
  <c r="J270" i="48" s="1"/>
  <c r="K270" i="48" s="1"/>
  <c r="A271" i="48"/>
  <c r="W270" i="48"/>
  <c r="AO270" i="48"/>
  <c r="AF270" i="48"/>
  <c r="I92" i="48"/>
  <c r="R58" i="48"/>
  <c r="A272" i="47"/>
  <c r="B271" i="47"/>
  <c r="C271" i="47" s="1"/>
  <c r="J271" i="47" s="1"/>
  <c r="K271" i="47" s="1"/>
  <c r="AM271" i="47"/>
  <c r="AO271" i="47" s="1"/>
  <c r="U271" i="47"/>
  <c r="W271" i="47" s="1"/>
  <c r="AD271" i="47"/>
  <c r="AF271" i="47" s="1"/>
  <c r="AI95" i="47"/>
  <c r="AK94" i="47"/>
  <c r="AL94" i="47" s="1"/>
  <c r="L95" i="47"/>
  <c r="M95" i="47" s="1"/>
  <c r="D95" i="47" l="1"/>
  <c r="N95" i="47"/>
  <c r="R95" i="47" s="1"/>
  <c r="P95" i="47" s="1"/>
  <c r="L92" i="48"/>
  <c r="M92" i="48" s="1"/>
  <c r="P58" i="48"/>
  <c r="S58" i="48"/>
  <c r="T58" i="48" s="1"/>
  <c r="A272" i="48"/>
  <c r="B271" i="48"/>
  <c r="C271" i="48" s="1"/>
  <c r="J271" i="48" s="1"/>
  <c r="K271" i="48" s="1"/>
  <c r="AM271" i="48"/>
  <c r="AO271" i="48" s="1"/>
  <c r="AD271" i="48"/>
  <c r="AF271" i="48" s="1"/>
  <c r="U271" i="48"/>
  <c r="W271" i="48" s="1"/>
  <c r="G96" i="47"/>
  <c r="F96" i="47"/>
  <c r="E96" i="47"/>
  <c r="A273" i="47"/>
  <c r="AM272" i="47"/>
  <c r="AO272" i="47" s="1"/>
  <c r="AD272" i="47"/>
  <c r="AF272" i="47" s="1"/>
  <c r="U272" i="47"/>
  <c r="W272" i="47"/>
  <c r="B272" i="47"/>
  <c r="C272" i="47" s="1"/>
  <c r="J272" i="47" s="1"/>
  <c r="K272" i="47" s="1"/>
  <c r="S95" i="47" l="1"/>
  <c r="T95" i="47" s="1"/>
  <c r="H96" i="47"/>
  <c r="AA58" i="48"/>
  <c r="Q59" i="48"/>
  <c r="AM272" i="48"/>
  <c r="AD272" i="48"/>
  <c r="AF272" i="48" s="1"/>
  <c r="U272" i="48"/>
  <c r="A273" i="48"/>
  <c r="AO272" i="48"/>
  <c r="W272" i="48"/>
  <c r="B272" i="48"/>
  <c r="C272" i="48" s="1"/>
  <c r="J272" i="48" s="1"/>
  <c r="K272" i="48" s="1"/>
  <c r="D92" i="48"/>
  <c r="N92" i="48"/>
  <c r="AA95" i="47"/>
  <c r="Q96" i="47"/>
  <c r="A274" i="47"/>
  <c r="B273" i="47"/>
  <c r="C273" i="47" s="1"/>
  <c r="J273" i="47" s="1"/>
  <c r="K273" i="47" s="1"/>
  <c r="AM273" i="47"/>
  <c r="AO273" i="47" s="1"/>
  <c r="U273" i="47"/>
  <c r="W273" i="47" s="1"/>
  <c r="AD273" i="47"/>
  <c r="AF273" i="47" s="1"/>
  <c r="I96" i="47"/>
  <c r="G93" i="48" l="1"/>
  <c r="F93" i="48"/>
  <c r="E93" i="48"/>
  <c r="A274" i="48"/>
  <c r="B273" i="48"/>
  <c r="C273" i="48" s="1"/>
  <c r="J273" i="48" s="1"/>
  <c r="K273" i="48" s="1"/>
  <c r="AM273" i="48"/>
  <c r="AO273" i="48" s="1"/>
  <c r="AD273" i="48"/>
  <c r="AF273" i="48" s="1"/>
  <c r="U273" i="48"/>
  <c r="W273" i="48" s="1"/>
  <c r="Y58" i="48"/>
  <c r="AB58" i="48"/>
  <c r="AC58" i="48" s="1"/>
  <c r="A275" i="47"/>
  <c r="AM274" i="47"/>
  <c r="AO274" i="47" s="1"/>
  <c r="AD274" i="47"/>
  <c r="AF274" i="47" s="1"/>
  <c r="U274" i="47"/>
  <c r="B274" i="47"/>
  <c r="C274" i="47" s="1"/>
  <c r="J274" i="47" s="1"/>
  <c r="K274" i="47" s="1"/>
  <c r="W274" i="47"/>
  <c r="Y95" i="47"/>
  <c r="AB95" i="47"/>
  <c r="AC95" i="47" s="1"/>
  <c r="L96" i="47"/>
  <c r="M96" i="47" s="1"/>
  <c r="AM274" i="48" l="1"/>
  <c r="AD274" i="48"/>
  <c r="U274" i="48"/>
  <c r="B274" i="48"/>
  <c r="C274" i="48" s="1"/>
  <c r="J274" i="48" s="1"/>
  <c r="K274" i="48" s="1"/>
  <c r="A275" i="48"/>
  <c r="AF274" i="48"/>
  <c r="W274" i="48"/>
  <c r="AO274" i="48"/>
  <c r="I93" i="48"/>
  <c r="AJ58" i="48"/>
  <c r="Z59" i="48"/>
  <c r="H93" i="48"/>
  <c r="D96" i="47"/>
  <c r="AJ95" i="47"/>
  <c r="Z96" i="47"/>
  <c r="N96" i="47"/>
  <c r="R96" i="47" s="1"/>
  <c r="A276" i="47"/>
  <c r="B275" i="47"/>
  <c r="C275" i="47" s="1"/>
  <c r="J275" i="47" s="1"/>
  <c r="K275" i="47" s="1"/>
  <c r="AD275" i="47"/>
  <c r="AF275" i="47" s="1"/>
  <c r="AM275" i="47"/>
  <c r="AO275" i="47" s="1"/>
  <c r="U275" i="47"/>
  <c r="W275" i="47" s="1"/>
  <c r="AH58" i="48" l="1"/>
  <c r="AK58" i="48"/>
  <c r="AL58" i="48" s="1"/>
  <c r="L93" i="48"/>
  <c r="M93" i="48" s="1"/>
  <c r="A276" i="48"/>
  <c r="B275" i="48"/>
  <c r="C275" i="48" s="1"/>
  <c r="J275" i="48" s="1"/>
  <c r="K275" i="48" s="1"/>
  <c r="AM275" i="48"/>
  <c r="AO275" i="48" s="1"/>
  <c r="AD275" i="48"/>
  <c r="AF275" i="48" s="1"/>
  <c r="U275" i="48"/>
  <c r="W275" i="48" s="1"/>
  <c r="A277" i="47"/>
  <c r="AM276" i="47"/>
  <c r="AO276" i="47" s="1"/>
  <c r="AD276" i="47"/>
  <c r="AF276" i="47" s="1"/>
  <c r="U276" i="47"/>
  <c r="W276" i="47" s="1"/>
  <c r="B276" i="47"/>
  <c r="C276" i="47" s="1"/>
  <c r="J276" i="47" s="1"/>
  <c r="K276" i="47" s="1"/>
  <c r="AH95" i="47"/>
  <c r="AK95" i="47"/>
  <c r="AL95" i="47" s="1"/>
  <c r="P96" i="47"/>
  <c r="S96" i="47"/>
  <c r="T96" i="47" s="1"/>
  <c r="G97" i="47"/>
  <c r="F97" i="47"/>
  <c r="E97" i="47"/>
  <c r="H97" i="47" l="1"/>
  <c r="AM276" i="48"/>
  <c r="AO276" i="48" s="1"/>
  <c r="AD276" i="48"/>
  <c r="AF276" i="48" s="1"/>
  <c r="U276" i="48"/>
  <c r="A277" i="48"/>
  <c r="W276" i="48"/>
  <c r="B276" i="48"/>
  <c r="C276" i="48" s="1"/>
  <c r="J276" i="48" s="1"/>
  <c r="K276" i="48" s="1"/>
  <c r="D93" i="48"/>
  <c r="AI59" i="48"/>
  <c r="N93" i="48"/>
  <c r="I97" i="47"/>
  <c r="AI96" i="47"/>
  <c r="AA96" i="47"/>
  <c r="Q97" i="47"/>
  <c r="A278" i="47"/>
  <c r="B277" i="47"/>
  <c r="C277" i="47" s="1"/>
  <c r="J277" i="47" s="1"/>
  <c r="K277" i="47" s="1"/>
  <c r="AD277" i="47"/>
  <c r="AF277" i="47" s="1"/>
  <c r="AM277" i="47"/>
  <c r="AO277" i="47" s="1"/>
  <c r="U277" i="47"/>
  <c r="W277" i="47" s="1"/>
  <c r="A278" i="48" l="1"/>
  <c r="B277" i="48"/>
  <c r="C277" i="48" s="1"/>
  <c r="J277" i="48" s="1"/>
  <c r="K277" i="48" s="1"/>
  <c r="AM277" i="48"/>
  <c r="AO277" i="48" s="1"/>
  <c r="AD277" i="48"/>
  <c r="AF277" i="48" s="1"/>
  <c r="U277" i="48"/>
  <c r="W277" i="48" s="1"/>
  <c r="G94" i="48"/>
  <c r="F94" i="48"/>
  <c r="H94" i="48" s="1"/>
  <c r="E94" i="48"/>
  <c r="R59" i="48"/>
  <c r="A279" i="47"/>
  <c r="AM278" i="47"/>
  <c r="AO278" i="47" s="1"/>
  <c r="AD278" i="47"/>
  <c r="AF278" i="47" s="1"/>
  <c r="U278" i="47"/>
  <c r="W278" i="47"/>
  <c r="B278" i="47"/>
  <c r="C278" i="47" s="1"/>
  <c r="J278" i="47" s="1"/>
  <c r="K278" i="47" s="1"/>
  <c r="Y96" i="47"/>
  <c r="AB96" i="47"/>
  <c r="AC96" i="47" s="1"/>
  <c r="L97" i="47"/>
  <c r="M97" i="47" s="1"/>
  <c r="N97" i="47" l="1"/>
  <c r="R97" i="47" s="1"/>
  <c r="P97" i="47" s="1"/>
  <c r="AA97" i="47" s="1"/>
  <c r="Y97" i="47" s="1"/>
  <c r="D97" i="47"/>
  <c r="E98" i="47" s="1"/>
  <c r="I94" i="48"/>
  <c r="P59" i="48"/>
  <c r="S59" i="48"/>
  <c r="T59" i="48" s="1"/>
  <c r="AM278" i="48"/>
  <c r="AD278" i="48"/>
  <c r="U278" i="48"/>
  <c r="W278" i="48" s="1"/>
  <c r="B278" i="48"/>
  <c r="C278" i="48" s="1"/>
  <c r="J278" i="48" s="1"/>
  <c r="K278" i="48" s="1"/>
  <c r="A279" i="48"/>
  <c r="AO278" i="48"/>
  <c r="AF278" i="48"/>
  <c r="AJ96" i="47"/>
  <c r="Z97" i="47"/>
  <c r="Q98" i="47"/>
  <c r="A280" i="47"/>
  <c r="AF279" i="47"/>
  <c r="W279" i="47"/>
  <c r="B279" i="47"/>
  <c r="C279" i="47" s="1"/>
  <c r="J279" i="47" s="1"/>
  <c r="K279" i="47" s="1"/>
  <c r="AM279" i="47"/>
  <c r="AO279" i="47" s="1"/>
  <c r="U279" i="47"/>
  <c r="AD279" i="47"/>
  <c r="F98" i="47" l="1"/>
  <c r="G98" i="47"/>
  <c r="S97" i="47"/>
  <c r="T97" i="47" s="1"/>
  <c r="H98" i="47"/>
  <c r="AA59" i="48"/>
  <c r="Q60" i="48"/>
  <c r="A280" i="48"/>
  <c r="B279" i="48"/>
  <c r="C279" i="48" s="1"/>
  <c r="J279" i="48" s="1"/>
  <c r="K279" i="48" s="1"/>
  <c r="AM279" i="48"/>
  <c r="AO279" i="48" s="1"/>
  <c r="AD279" i="48"/>
  <c r="AF279" i="48" s="1"/>
  <c r="U279" i="48"/>
  <c r="W279" i="48" s="1"/>
  <c r="L94" i="48"/>
  <c r="M94" i="48" s="1"/>
  <c r="AJ97" i="47"/>
  <c r="Z98" i="47"/>
  <c r="A281" i="47"/>
  <c r="AM280" i="47"/>
  <c r="AD280" i="47"/>
  <c r="U280" i="47"/>
  <c r="W280" i="47" s="1"/>
  <c r="AF280" i="47"/>
  <c r="AO280" i="47"/>
  <c r="B280" i="47"/>
  <c r="C280" i="47" s="1"/>
  <c r="J280" i="47" s="1"/>
  <c r="K280" i="47" s="1"/>
  <c r="AB97" i="47"/>
  <c r="AC97" i="47" s="1"/>
  <c r="AH96" i="47"/>
  <c r="AK96" i="47"/>
  <c r="AL96" i="47" s="1"/>
  <c r="I98" i="47"/>
  <c r="D94" i="48" l="1"/>
  <c r="F95" i="48" s="1"/>
  <c r="N94" i="48"/>
  <c r="Y59" i="48"/>
  <c r="AB59" i="48"/>
  <c r="AC59" i="48" s="1"/>
  <c r="AM280" i="48"/>
  <c r="AO280" i="48" s="1"/>
  <c r="AD280" i="48"/>
  <c r="AF280" i="48" s="1"/>
  <c r="U280" i="48"/>
  <c r="A281" i="48"/>
  <c r="W280" i="48"/>
  <c r="B280" i="48"/>
  <c r="C280" i="48" s="1"/>
  <c r="J280" i="48" s="1"/>
  <c r="K280" i="48" s="1"/>
  <c r="AM281" i="47"/>
  <c r="AO281" i="47" s="1"/>
  <c r="AD281" i="47"/>
  <c r="AF281" i="47" s="1"/>
  <c r="U281" i="47"/>
  <c r="A282" i="47"/>
  <c r="W281" i="47"/>
  <c r="B281" i="47"/>
  <c r="C281" i="47" s="1"/>
  <c r="J281" i="47" s="1"/>
  <c r="K281" i="47" s="1"/>
  <c r="L98" i="47"/>
  <c r="N98" i="47" s="1"/>
  <c r="R98" i="47" s="1"/>
  <c r="D98" i="47"/>
  <c r="M98" i="47"/>
  <c r="AH97" i="47"/>
  <c r="AI97" i="47"/>
  <c r="AK97" i="47" s="1"/>
  <c r="AL97" i="47" s="1"/>
  <c r="E95" i="48" l="1"/>
  <c r="I95" i="48" s="1"/>
  <c r="G95" i="48"/>
  <c r="A282" i="48"/>
  <c r="B281" i="48"/>
  <c r="C281" i="48" s="1"/>
  <c r="J281" i="48" s="1"/>
  <c r="K281" i="48" s="1"/>
  <c r="U281" i="48"/>
  <c r="W281" i="48" s="1"/>
  <c r="AM281" i="48"/>
  <c r="AO281" i="48" s="1"/>
  <c r="AD281" i="48"/>
  <c r="AF281" i="48" s="1"/>
  <c r="H95" i="48"/>
  <c r="AJ59" i="48"/>
  <c r="Z60" i="48"/>
  <c r="P98" i="47"/>
  <c r="S98" i="47"/>
  <c r="T98" i="47" s="1"/>
  <c r="G99" i="47"/>
  <c r="F99" i="47"/>
  <c r="E99" i="47"/>
  <c r="AI98" i="47"/>
  <c r="A283" i="47"/>
  <c r="B282" i="47"/>
  <c r="C282" i="47" s="1"/>
  <c r="J282" i="47" s="1"/>
  <c r="K282" i="47" s="1"/>
  <c r="AM282" i="47"/>
  <c r="AO282" i="47" s="1"/>
  <c r="AD282" i="47"/>
  <c r="AF282" i="47" s="1"/>
  <c r="U282" i="47"/>
  <c r="W282" i="47" s="1"/>
  <c r="H99" i="47" l="1"/>
  <c r="AH59" i="48"/>
  <c r="AK59" i="48"/>
  <c r="AL59" i="48" s="1"/>
  <c r="AM282" i="48"/>
  <c r="AO282" i="48" s="1"/>
  <c r="AD282" i="48"/>
  <c r="U282" i="48"/>
  <c r="B282" i="48"/>
  <c r="C282" i="48" s="1"/>
  <c r="J282" i="48" s="1"/>
  <c r="K282" i="48" s="1"/>
  <c r="A283" i="48"/>
  <c r="AF282" i="48"/>
  <c r="W282" i="48"/>
  <c r="L95" i="48"/>
  <c r="M95" i="48" s="1"/>
  <c r="AM283" i="47"/>
  <c r="AO283" i="47" s="1"/>
  <c r="AD283" i="47"/>
  <c r="AF283" i="47" s="1"/>
  <c r="U283" i="47"/>
  <c r="W283" i="47" s="1"/>
  <c r="A284" i="47"/>
  <c r="B283" i="47"/>
  <c r="C283" i="47" s="1"/>
  <c r="J283" i="47" s="1"/>
  <c r="K283" i="47" s="1"/>
  <c r="I99" i="47"/>
  <c r="AA98" i="47"/>
  <c r="Q99" i="47"/>
  <c r="D95" i="48" l="1"/>
  <c r="F96" i="48" s="1"/>
  <c r="A284" i="48"/>
  <c r="B283" i="48"/>
  <c r="C283" i="48" s="1"/>
  <c r="J283" i="48" s="1"/>
  <c r="K283" i="48" s="1"/>
  <c r="AM283" i="48"/>
  <c r="AO283" i="48" s="1"/>
  <c r="AD283" i="48"/>
  <c r="AF283" i="48" s="1"/>
  <c r="U283" i="48"/>
  <c r="W283" i="48" s="1"/>
  <c r="N95" i="48"/>
  <c r="AI60" i="48"/>
  <c r="Y98" i="47"/>
  <c r="AB98" i="47"/>
  <c r="AC98" i="47" s="1"/>
  <c r="N99" i="47"/>
  <c r="R99" i="47" s="1"/>
  <c r="P99" i="47" s="1"/>
  <c r="D99" i="47"/>
  <c r="L99" i="47"/>
  <c r="A285" i="47"/>
  <c r="B284" i="47"/>
  <c r="C284" i="47" s="1"/>
  <c r="J284" i="47" s="1"/>
  <c r="K284" i="47" s="1"/>
  <c r="AM284" i="47"/>
  <c r="AO284" i="47" s="1"/>
  <c r="AD284" i="47"/>
  <c r="AF284" i="47" s="1"/>
  <c r="U284" i="47"/>
  <c r="W284" i="47" s="1"/>
  <c r="M99" i="47"/>
  <c r="E96" i="48" l="1"/>
  <c r="I96" i="48" s="1"/>
  <c r="G96" i="48"/>
  <c r="H96" i="48" s="1"/>
  <c r="R60" i="48"/>
  <c r="AM284" i="48"/>
  <c r="AO284" i="48" s="1"/>
  <c r="AD284" i="48"/>
  <c r="AF284" i="48" s="1"/>
  <c r="U284" i="48"/>
  <c r="W284" i="48" s="1"/>
  <c r="A285" i="48"/>
  <c r="B284" i="48"/>
  <c r="C284" i="48" s="1"/>
  <c r="J284" i="48" s="1"/>
  <c r="K284" i="48" s="1"/>
  <c r="S99" i="47"/>
  <c r="T99" i="47" s="1"/>
  <c r="G100" i="47"/>
  <c r="F100" i="47"/>
  <c r="H100" i="47" s="1"/>
  <c r="E100" i="47"/>
  <c r="AA99" i="47"/>
  <c r="Q100" i="47"/>
  <c r="AM285" i="47"/>
  <c r="AO285" i="47" s="1"/>
  <c r="AD285" i="47"/>
  <c r="AF285" i="47" s="1"/>
  <c r="U285" i="47"/>
  <c r="W285" i="47" s="1"/>
  <c r="A286" i="47"/>
  <c r="B285" i="47"/>
  <c r="C285" i="47" s="1"/>
  <c r="J285" i="47" s="1"/>
  <c r="K285" i="47" s="1"/>
  <c r="AJ98" i="47"/>
  <c r="Y99" i="47"/>
  <c r="Z99" i="47"/>
  <c r="AB99" i="47" s="1"/>
  <c r="AC99" i="47" s="1"/>
  <c r="L96" i="48" l="1"/>
  <c r="N96" i="48" s="1"/>
  <c r="P60" i="48"/>
  <c r="S60" i="48"/>
  <c r="T60" i="48" s="1"/>
  <c r="M96" i="48"/>
  <c r="A286" i="48"/>
  <c r="B285" i="48"/>
  <c r="C285" i="48" s="1"/>
  <c r="J285" i="48" s="1"/>
  <c r="K285" i="48" s="1"/>
  <c r="AD285" i="48"/>
  <c r="AF285" i="48" s="1"/>
  <c r="U285" i="48"/>
  <c r="W285" i="48" s="1"/>
  <c r="AM285" i="48"/>
  <c r="AO285" i="48" s="1"/>
  <c r="AJ99" i="47"/>
  <c r="Z100" i="47"/>
  <c r="I100" i="47"/>
  <c r="AH98" i="47"/>
  <c r="AK98" i="47"/>
  <c r="AL98" i="47" s="1"/>
  <c r="A287" i="47"/>
  <c r="B286" i="47"/>
  <c r="C286" i="47" s="1"/>
  <c r="J286" i="47" s="1"/>
  <c r="K286" i="47" s="1"/>
  <c r="AM286" i="47"/>
  <c r="AO286" i="47" s="1"/>
  <c r="AD286" i="47"/>
  <c r="AF286" i="47" s="1"/>
  <c r="U286" i="47"/>
  <c r="W286" i="47" s="1"/>
  <c r="AA60" i="48" l="1"/>
  <c r="Q61" i="48"/>
  <c r="AM286" i="48"/>
  <c r="AD286" i="48"/>
  <c r="AF286" i="48" s="1"/>
  <c r="U286" i="48"/>
  <c r="B286" i="48"/>
  <c r="C286" i="48" s="1"/>
  <c r="J286" i="48" s="1"/>
  <c r="K286" i="48" s="1"/>
  <c r="A287" i="48"/>
  <c r="W286" i="48"/>
  <c r="AO286" i="48"/>
  <c r="D96" i="48"/>
  <c r="AI99" i="47"/>
  <c r="AK99" i="47" s="1"/>
  <c r="AL99" i="47" s="1"/>
  <c r="AH99" i="47"/>
  <c r="AM287" i="47"/>
  <c r="AD287" i="47"/>
  <c r="U287" i="47"/>
  <c r="A288" i="47"/>
  <c r="AO287" i="47"/>
  <c r="AF287" i="47"/>
  <c r="W287" i="47"/>
  <c r="B287" i="47"/>
  <c r="C287" i="47" s="1"/>
  <c r="J287" i="47" s="1"/>
  <c r="K287" i="47" s="1"/>
  <c r="L100" i="47"/>
  <c r="N100" i="47" s="1"/>
  <c r="R100" i="47" s="1"/>
  <c r="M100" i="47"/>
  <c r="D100" i="47" l="1"/>
  <c r="G97" i="48"/>
  <c r="F97" i="48"/>
  <c r="E97" i="48"/>
  <c r="Y60" i="48"/>
  <c r="AB60" i="48"/>
  <c r="AC60" i="48" s="1"/>
  <c r="A288" i="48"/>
  <c r="B287" i="48"/>
  <c r="C287" i="48" s="1"/>
  <c r="J287" i="48" s="1"/>
  <c r="K287" i="48" s="1"/>
  <c r="AM287" i="48"/>
  <c r="AO287" i="48" s="1"/>
  <c r="AD287" i="48"/>
  <c r="AF287" i="48" s="1"/>
  <c r="U287" i="48"/>
  <c r="W287" i="48" s="1"/>
  <c r="G101" i="47"/>
  <c r="F101" i="47"/>
  <c r="E101" i="47"/>
  <c r="P100" i="47"/>
  <c r="S100" i="47"/>
  <c r="T100" i="47" s="1"/>
  <c r="A289" i="47"/>
  <c r="B288" i="47"/>
  <c r="C288" i="47" s="1"/>
  <c r="J288" i="47" s="1"/>
  <c r="K288" i="47" s="1"/>
  <c r="AM288" i="47"/>
  <c r="AO288" i="47" s="1"/>
  <c r="AD288" i="47"/>
  <c r="AF288" i="47" s="1"/>
  <c r="U288" i="47"/>
  <c r="W288" i="47" s="1"/>
  <c r="AI100" i="47"/>
  <c r="H101" i="47" l="1"/>
  <c r="AJ60" i="48"/>
  <c r="Z61" i="48"/>
  <c r="I97" i="48"/>
  <c r="AM288" i="48"/>
  <c r="AD288" i="48"/>
  <c r="U288" i="48"/>
  <c r="A289" i="48"/>
  <c r="AO288" i="48"/>
  <c r="AF288" i="48"/>
  <c r="W288" i="48"/>
  <c r="B288" i="48"/>
  <c r="C288" i="48" s="1"/>
  <c r="J288" i="48" s="1"/>
  <c r="K288" i="48" s="1"/>
  <c r="H97" i="48"/>
  <c r="AM289" i="47"/>
  <c r="AD289" i="47"/>
  <c r="U289" i="47"/>
  <c r="A290" i="47"/>
  <c r="AO289" i="47"/>
  <c r="AF289" i="47"/>
  <c r="W289" i="47"/>
  <c r="B289" i="47"/>
  <c r="C289" i="47" s="1"/>
  <c r="J289" i="47" s="1"/>
  <c r="K289" i="47" s="1"/>
  <c r="AA100" i="47"/>
  <c r="Q101" i="47"/>
  <c r="I101" i="47"/>
  <c r="A290" i="48" l="1"/>
  <c r="B289" i="48"/>
  <c r="C289" i="48" s="1"/>
  <c r="J289" i="48" s="1"/>
  <c r="K289" i="48" s="1"/>
  <c r="AM289" i="48"/>
  <c r="AO289" i="48" s="1"/>
  <c r="AD289" i="48"/>
  <c r="AF289" i="48" s="1"/>
  <c r="U289" i="48"/>
  <c r="W289" i="48" s="1"/>
  <c r="L97" i="48"/>
  <c r="D97" i="48" s="1"/>
  <c r="AH60" i="48"/>
  <c r="AK60" i="48"/>
  <c r="AL60" i="48" s="1"/>
  <c r="A291" i="47"/>
  <c r="B290" i="47"/>
  <c r="C290" i="47" s="1"/>
  <c r="J290" i="47" s="1"/>
  <c r="K290" i="47" s="1"/>
  <c r="AM290" i="47"/>
  <c r="AO290" i="47" s="1"/>
  <c r="AD290" i="47"/>
  <c r="AF290" i="47" s="1"/>
  <c r="U290" i="47"/>
  <c r="W290" i="47" s="1"/>
  <c r="L101" i="47"/>
  <c r="D101" i="47" s="1"/>
  <c r="Y100" i="47"/>
  <c r="AB100" i="47"/>
  <c r="AC100" i="47" s="1"/>
  <c r="N97" i="48" l="1"/>
  <c r="F98" i="48"/>
  <c r="G98" i="48"/>
  <c r="E98" i="48"/>
  <c r="AI61" i="48"/>
  <c r="AM290" i="48"/>
  <c r="AO290" i="48" s="1"/>
  <c r="AD290" i="48"/>
  <c r="AF290" i="48" s="1"/>
  <c r="U290" i="48"/>
  <c r="W290" i="48" s="1"/>
  <c r="B290" i="48"/>
  <c r="C290" i="48" s="1"/>
  <c r="J290" i="48" s="1"/>
  <c r="K290" i="48" s="1"/>
  <c r="A291" i="48"/>
  <c r="M97" i="48"/>
  <c r="F102" i="47"/>
  <c r="G102" i="47"/>
  <c r="E102" i="47"/>
  <c r="AJ100" i="47"/>
  <c r="Z101" i="47"/>
  <c r="N101" i="47"/>
  <c r="R101" i="47" s="1"/>
  <c r="M101" i="47"/>
  <c r="AM291" i="47"/>
  <c r="AD291" i="47"/>
  <c r="AF291" i="47" s="1"/>
  <c r="U291" i="47"/>
  <c r="W291" i="47" s="1"/>
  <c r="A292" i="47"/>
  <c r="C291" i="47"/>
  <c r="J291" i="47" s="1"/>
  <c r="K291" i="47" s="1"/>
  <c r="AO291" i="47"/>
  <c r="B291" i="47"/>
  <c r="H98" i="48" l="1"/>
  <c r="A292" i="48"/>
  <c r="B291" i="48"/>
  <c r="C291" i="48" s="1"/>
  <c r="J291" i="48" s="1"/>
  <c r="K291" i="48" s="1"/>
  <c r="AM291" i="48"/>
  <c r="AO291" i="48" s="1"/>
  <c r="AD291" i="48"/>
  <c r="AF291" i="48" s="1"/>
  <c r="U291" i="48"/>
  <c r="W291" i="48" s="1"/>
  <c r="R61" i="48"/>
  <c r="I98" i="48"/>
  <c r="A293" i="47"/>
  <c r="B292" i="47"/>
  <c r="C292" i="47" s="1"/>
  <c r="J292" i="47" s="1"/>
  <c r="K292" i="47" s="1"/>
  <c r="AM292" i="47"/>
  <c r="AO292" i="47" s="1"/>
  <c r="AD292" i="47"/>
  <c r="AF292" i="47" s="1"/>
  <c r="U292" i="47"/>
  <c r="W292" i="47" s="1"/>
  <c r="AH100" i="47"/>
  <c r="AK100" i="47"/>
  <c r="AL100" i="47" s="1"/>
  <c r="P101" i="47"/>
  <c r="S101" i="47"/>
  <c r="T101" i="47" s="1"/>
  <c r="I102" i="47"/>
  <c r="H102" i="47"/>
  <c r="L98" i="48" l="1"/>
  <c r="N98" i="48" s="1"/>
  <c r="AM292" i="48"/>
  <c r="AO292" i="48" s="1"/>
  <c r="AD292" i="48"/>
  <c r="AF292" i="48" s="1"/>
  <c r="U292" i="48"/>
  <c r="W292" i="48" s="1"/>
  <c r="A293" i="48"/>
  <c r="B292" i="48"/>
  <c r="C292" i="48" s="1"/>
  <c r="J292" i="48" s="1"/>
  <c r="K292" i="48" s="1"/>
  <c r="P61" i="48"/>
  <c r="S61" i="48"/>
  <c r="T61" i="48" s="1"/>
  <c r="AI101" i="47"/>
  <c r="AM293" i="47"/>
  <c r="AO293" i="47" s="1"/>
  <c r="AD293" i="47"/>
  <c r="AF293" i="47" s="1"/>
  <c r="U293" i="47"/>
  <c r="W293" i="47" s="1"/>
  <c r="A294" i="47"/>
  <c r="B293" i="47"/>
  <c r="C293" i="47" s="1"/>
  <c r="J293" i="47" s="1"/>
  <c r="K293" i="47" s="1"/>
  <c r="AA101" i="47"/>
  <c r="Q102" i="47"/>
  <c r="L102" i="47"/>
  <c r="M102" i="47" s="1"/>
  <c r="M98" i="48" l="1"/>
  <c r="D98" i="48"/>
  <c r="AA61" i="48"/>
  <c r="Q62" i="48"/>
  <c r="A294" i="48"/>
  <c r="B293" i="48"/>
  <c r="C293" i="48" s="1"/>
  <c r="J293" i="48" s="1"/>
  <c r="K293" i="48" s="1"/>
  <c r="AM293" i="48"/>
  <c r="AO293" i="48" s="1"/>
  <c r="AD293" i="48"/>
  <c r="AF293" i="48" s="1"/>
  <c r="U293" i="48"/>
  <c r="W293" i="48" s="1"/>
  <c r="F99" i="48"/>
  <c r="G99" i="48"/>
  <c r="E99" i="48"/>
  <c r="N102" i="47"/>
  <c r="R102" i="47" s="1"/>
  <c r="P102" i="47" s="1"/>
  <c r="A295" i="47"/>
  <c r="B294" i="47"/>
  <c r="C294" i="47" s="1"/>
  <c r="J294" i="47" s="1"/>
  <c r="K294" i="47" s="1"/>
  <c r="AM294" i="47"/>
  <c r="AO294" i="47" s="1"/>
  <c r="AD294" i="47"/>
  <c r="AF294" i="47" s="1"/>
  <c r="U294" i="47"/>
  <c r="W294" i="47" s="1"/>
  <c r="Y101" i="47"/>
  <c r="AB101" i="47"/>
  <c r="AC101" i="47" s="1"/>
  <c r="D102" i="47"/>
  <c r="S102" i="47"/>
  <c r="T102" i="47" s="1"/>
  <c r="H99" i="48" l="1"/>
  <c r="I99" i="48"/>
  <c r="Y61" i="48"/>
  <c r="AB61" i="48"/>
  <c r="AC61" i="48" s="1"/>
  <c r="AM294" i="48"/>
  <c r="AD294" i="48"/>
  <c r="U294" i="48"/>
  <c r="B294" i="48"/>
  <c r="C294" i="48" s="1"/>
  <c r="J294" i="48" s="1"/>
  <c r="K294" i="48" s="1"/>
  <c r="A295" i="48"/>
  <c r="AO294" i="48"/>
  <c r="AF294" i="48"/>
  <c r="W294" i="48"/>
  <c r="F103" i="47"/>
  <c r="G103" i="47"/>
  <c r="E103" i="47"/>
  <c r="AM295" i="47"/>
  <c r="AD295" i="47"/>
  <c r="AF295" i="47" s="1"/>
  <c r="U295" i="47"/>
  <c r="A296" i="47"/>
  <c r="AO295" i="47"/>
  <c r="W295" i="47"/>
  <c r="B295" i="47"/>
  <c r="C295" i="47" s="1"/>
  <c r="J295" i="47" s="1"/>
  <c r="K295" i="47" s="1"/>
  <c r="AJ101" i="47"/>
  <c r="Z102" i="47"/>
  <c r="AA102" i="47"/>
  <c r="Y102" i="47" s="1"/>
  <c r="Q103" i="47"/>
  <c r="AB102" i="47" l="1"/>
  <c r="AC102" i="47" s="1"/>
  <c r="H103" i="47"/>
  <c r="AJ61" i="48"/>
  <c r="Z62" i="48"/>
  <c r="A296" i="48"/>
  <c r="B295" i="48"/>
  <c r="C295" i="48" s="1"/>
  <c r="J295" i="48" s="1"/>
  <c r="K295" i="48" s="1"/>
  <c r="AM295" i="48"/>
  <c r="AO295" i="48" s="1"/>
  <c r="AD295" i="48"/>
  <c r="AF295" i="48" s="1"/>
  <c r="U295" i="48"/>
  <c r="W295" i="48" s="1"/>
  <c r="L99" i="48"/>
  <c r="M99" i="48" s="1"/>
  <c r="AJ102" i="47"/>
  <c r="Z103" i="47"/>
  <c r="AH101" i="47"/>
  <c r="AK101" i="47"/>
  <c r="AL101" i="47" s="1"/>
  <c r="AM296" i="47"/>
  <c r="AD296" i="47"/>
  <c r="U296" i="47"/>
  <c r="W296" i="47" s="1"/>
  <c r="AO296" i="47"/>
  <c r="AF296" i="47"/>
  <c r="B296" i="47"/>
  <c r="C296" i="47" s="1"/>
  <c r="J296" i="47" s="1"/>
  <c r="K296" i="47" s="1"/>
  <c r="A297" i="47"/>
  <c r="I103" i="47"/>
  <c r="AM296" i="48" l="1"/>
  <c r="AO296" i="48" s="1"/>
  <c r="AD296" i="48"/>
  <c r="AF296" i="48" s="1"/>
  <c r="U296" i="48"/>
  <c r="W296" i="48" s="1"/>
  <c r="A297" i="48"/>
  <c r="B296" i="48"/>
  <c r="C296" i="48" s="1"/>
  <c r="J296" i="48" s="1"/>
  <c r="K296" i="48" s="1"/>
  <c r="D99" i="48"/>
  <c r="N99" i="48"/>
  <c r="AH61" i="48"/>
  <c r="AK61" i="48"/>
  <c r="AL61" i="48" s="1"/>
  <c r="AM297" i="47"/>
  <c r="AO297" i="47" s="1"/>
  <c r="AD297" i="47"/>
  <c r="AF297" i="47" s="1"/>
  <c r="U297" i="47"/>
  <c r="W297" i="47" s="1"/>
  <c r="A298" i="47"/>
  <c r="B297" i="47"/>
  <c r="C297" i="47" s="1"/>
  <c r="J297" i="47" s="1"/>
  <c r="K297" i="47" s="1"/>
  <c r="L103" i="47"/>
  <c r="M103" i="47" s="1"/>
  <c r="D103" i="47"/>
  <c r="AH102" i="47"/>
  <c r="AI102" i="47"/>
  <c r="AK102" i="47" s="1"/>
  <c r="AL102" i="47" s="1"/>
  <c r="F100" i="48" l="1"/>
  <c r="G100" i="48"/>
  <c r="E100" i="48"/>
  <c r="A298" i="48"/>
  <c r="AD297" i="48"/>
  <c r="AF297" i="48" s="1"/>
  <c r="B297" i="48"/>
  <c r="C297" i="48" s="1"/>
  <c r="J297" i="48" s="1"/>
  <c r="K297" i="48" s="1"/>
  <c r="U297" i="48"/>
  <c r="W297" i="48" s="1"/>
  <c r="AM297" i="48"/>
  <c r="AO297" i="48" s="1"/>
  <c r="AI62" i="48"/>
  <c r="AI103" i="47"/>
  <c r="F104" i="47"/>
  <c r="G104" i="47"/>
  <c r="E104" i="47"/>
  <c r="B298" i="47"/>
  <c r="AM298" i="47"/>
  <c r="AO298" i="47" s="1"/>
  <c r="AD298" i="47"/>
  <c r="AF298" i="47" s="1"/>
  <c r="U298" i="47"/>
  <c r="W298" i="47" s="1"/>
  <c r="A299" i="47"/>
  <c r="C298" i="47"/>
  <c r="J298" i="47" s="1"/>
  <c r="K298" i="47" s="1"/>
  <c r="N103" i="47"/>
  <c r="R103" i="47" s="1"/>
  <c r="H104" i="47" l="1"/>
  <c r="H100" i="48"/>
  <c r="AM298" i="48"/>
  <c r="AD298" i="48"/>
  <c r="U298" i="48"/>
  <c r="A299" i="48"/>
  <c r="B298" i="48"/>
  <c r="AO298" i="48"/>
  <c r="W298" i="48"/>
  <c r="C298" i="48"/>
  <c r="J298" i="48" s="1"/>
  <c r="K298" i="48" s="1"/>
  <c r="AF298" i="48"/>
  <c r="I100" i="48"/>
  <c r="R62" i="48"/>
  <c r="AM299" i="47"/>
  <c r="AD299" i="47"/>
  <c r="U299" i="47"/>
  <c r="A300" i="47"/>
  <c r="AO299" i="47"/>
  <c r="AF299" i="47"/>
  <c r="W299" i="47"/>
  <c r="B299" i="47"/>
  <c r="C299" i="47" s="1"/>
  <c r="J299" i="47" s="1"/>
  <c r="K299" i="47" s="1"/>
  <c r="I104" i="47"/>
  <c r="P103" i="47"/>
  <c r="S103" i="47"/>
  <c r="T103" i="47" s="1"/>
  <c r="L100" i="48" l="1"/>
  <c r="M100" i="48" s="1"/>
  <c r="P62" i="48"/>
  <c r="S62" i="48"/>
  <c r="T62" i="48" s="1"/>
  <c r="B299" i="48"/>
  <c r="A300" i="48"/>
  <c r="AD299" i="48"/>
  <c r="AF299" i="48" s="1"/>
  <c r="U299" i="48"/>
  <c r="W299" i="48" s="1"/>
  <c r="AM299" i="48"/>
  <c r="AO299" i="48" s="1"/>
  <c r="C299" i="48"/>
  <c r="J299" i="48" s="1"/>
  <c r="K299" i="48" s="1"/>
  <c r="L104" i="47"/>
  <c r="N104" i="47" s="1"/>
  <c r="R104" i="47" s="1"/>
  <c r="P104" i="47" s="1"/>
  <c r="D104" i="47"/>
  <c r="AA103" i="47"/>
  <c r="Q104" i="47"/>
  <c r="B300" i="47"/>
  <c r="AM300" i="47"/>
  <c r="AO300" i="47" s="1"/>
  <c r="AD300" i="47"/>
  <c r="AF300" i="47" s="1"/>
  <c r="U300" i="47"/>
  <c r="W300" i="47" s="1"/>
  <c r="A301" i="47"/>
  <c r="C300" i="47"/>
  <c r="J300" i="47" s="1"/>
  <c r="K300" i="47" s="1"/>
  <c r="M104" i="47" l="1"/>
  <c r="D100" i="48"/>
  <c r="F101" i="48" s="1"/>
  <c r="AM300" i="48"/>
  <c r="AO300" i="48" s="1"/>
  <c r="AD300" i="48"/>
  <c r="AF300" i="48" s="1"/>
  <c r="U300" i="48"/>
  <c r="W300" i="48"/>
  <c r="B300" i="48"/>
  <c r="C300" i="48" s="1"/>
  <c r="J300" i="48" s="1"/>
  <c r="K300" i="48" s="1"/>
  <c r="A301" i="48"/>
  <c r="AA62" i="48"/>
  <c r="Q63" i="48"/>
  <c r="E101" i="48"/>
  <c r="N100" i="48"/>
  <c r="AA104" i="47"/>
  <c r="Q105" i="47"/>
  <c r="G105" i="47"/>
  <c r="F105" i="47"/>
  <c r="E105" i="47"/>
  <c r="AM301" i="47"/>
  <c r="AO301" i="47" s="1"/>
  <c r="AD301" i="47"/>
  <c r="U301" i="47"/>
  <c r="W301" i="47" s="1"/>
  <c r="A302" i="47"/>
  <c r="AF301" i="47"/>
  <c r="B301" i="47"/>
  <c r="C301" i="47" s="1"/>
  <c r="J301" i="47" s="1"/>
  <c r="K301" i="47" s="1"/>
  <c r="S104" i="47"/>
  <c r="T104" i="47" s="1"/>
  <c r="Y103" i="47"/>
  <c r="AB103" i="47"/>
  <c r="AC103" i="47" s="1"/>
  <c r="G101" i="48" l="1"/>
  <c r="H101" i="48" s="1"/>
  <c r="Y62" i="48"/>
  <c r="AB62" i="48"/>
  <c r="AC62" i="48" s="1"/>
  <c r="B301" i="48"/>
  <c r="AM301" i="48"/>
  <c r="AO301" i="48" s="1"/>
  <c r="U301" i="48"/>
  <c r="W301" i="48" s="1"/>
  <c r="A302" i="48"/>
  <c r="AD301" i="48"/>
  <c r="AF301" i="48" s="1"/>
  <c r="C301" i="48"/>
  <c r="J301" i="48" s="1"/>
  <c r="K301" i="48" s="1"/>
  <c r="I101" i="48"/>
  <c r="AF302" i="47"/>
  <c r="B302" i="47"/>
  <c r="C302" i="47" s="1"/>
  <c r="J302" i="47" s="1"/>
  <c r="K302" i="47" s="1"/>
  <c r="AM302" i="47"/>
  <c r="AO302" i="47" s="1"/>
  <c r="AD302" i="47"/>
  <c r="U302" i="47"/>
  <c r="W302" i="47" s="1"/>
  <c r="A303" i="47"/>
  <c r="H105" i="47"/>
  <c r="AJ103" i="47"/>
  <c r="Y104" i="47"/>
  <c r="Z104" i="47"/>
  <c r="AB104" i="47" s="1"/>
  <c r="AC104" i="47" s="1"/>
  <c r="I105" i="47"/>
  <c r="AM302" i="48" l="1"/>
  <c r="AD302" i="48"/>
  <c r="AF302" i="48" s="1"/>
  <c r="U302" i="48"/>
  <c r="B302" i="48"/>
  <c r="C302" i="48" s="1"/>
  <c r="J302" i="48" s="1"/>
  <c r="K302" i="48" s="1"/>
  <c r="W302" i="48"/>
  <c r="A303" i="48"/>
  <c r="AO302" i="48"/>
  <c r="L101" i="48"/>
  <c r="D101" i="48" s="1"/>
  <c r="AJ62" i="48"/>
  <c r="Z63" i="48"/>
  <c r="M101" i="48"/>
  <c r="AH103" i="47"/>
  <c r="AK103" i="47"/>
  <c r="AL103" i="47" s="1"/>
  <c r="L105" i="47"/>
  <c r="N105" i="47" s="1"/>
  <c r="R105" i="47" s="1"/>
  <c r="AM303" i="47"/>
  <c r="AO303" i="47" s="1"/>
  <c r="AD303" i="47"/>
  <c r="U303" i="47"/>
  <c r="W303" i="47" s="1"/>
  <c r="A304" i="47"/>
  <c r="AF303" i="47"/>
  <c r="B303" i="47"/>
  <c r="C303" i="47" s="1"/>
  <c r="J303" i="47" s="1"/>
  <c r="K303" i="47" s="1"/>
  <c r="M105" i="47"/>
  <c r="AJ104" i="47"/>
  <c r="Z105" i="47"/>
  <c r="D105" i="47" l="1"/>
  <c r="N101" i="48"/>
  <c r="G102" i="48"/>
  <c r="F102" i="48"/>
  <c r="E102" i="48"/>
  <c r="B303" i="48"/>
  <c r="C303" i="48" s="1"/>
  <c r="J303" i="48" s="1"/>
  <c r="K303" i="48" s="1"/>
  <c r="AM303" i="48"/>
  <c r="AO303" i="48" s="1"/>
  <c r="U303" i="48"/>
  <c r="W303" i="48" s="1"/>
  <c r="A304" i="48"/>
  <c r="AD303" i="48"/>
  <c r="AF303" i="48" s="1"/>
  <c r="AH62" i="48"/>
  <c r="AK62" i="48"/>
  <c r="AL62" i="48" s="1"/>
  <c r="P105" i="47"/>
  <c r="S105" i="47"/>
  <c r="T105" i="47" s="1"/>
  <c r="B304" i="47"/>
  <c r="AM304" i="47"/>
  <c r="AO304" i="47" s="1"/>
  <c r="AD304" i="47"/>
  <c r="AF304" i="47" s="1"/>
  <c r="U304" i="47"/>
  <c r="W304" i="47" s="1"/>
  <c r="C304" i="47"/>
  <c r="J304" i="47" s="1"/>
  <c r="K304" i="47" s="1"/>
  <c r="A305" i="47"/>
  <c r="F106" i="47"/>
  <c r="G106" i="47"/>
  <c r="E106" i="47"/>
  <c r="AH104" i="47"/>
  <c r="AI104" i="47"/>
  <c r="AK104" i="47" s="1"/>
  <c r="AL104" i="47" s="1"/>
  <c r="H106" i="47" l="1"/>
  <c r="H102" i="48"/>
  <c r="AM304" i="48"/>
  <c r="AD304" i="48"/>
  <c r="U304" i="48"/>
  <c r="A305" i="48"/>
  <c r="AO304" i="48"/>
  <c r="AF304" i="48"/>
  <c r="W304" i="48"/>
  <c r="B304" i="48"/>
  <c r="C304" i="48" s="1"/>
  <c r="J304" i="48" s="1"/>
  <c r="K304" i="48" s="1"/>
  <c r="AI63" i="48"/>
  <c r="I102" i="48"/>
  <c r="I106" i="47"/>
  <c r="AM305" i="47"/>
  <c r="AD305" i="47"/>
  <c r="U305" i="47"/>
  <c r="A306" i="47"/>
  <c r="AO305" i="47"/>
  <c r="AF305" i="47"/>
  <c r="W305" i="47"/>
  <c r="B305" i="47"/>
  <c r="C305" i="47" s="1"/>
  <c r="J305" i="47" s="1"/>
  <c r="K305" i="47" s="1"/>
  <c r="AI105" i="47"/>
  <c r="AA105" i="47"/>
  <c r="Q106" i="47"/>
  <c r="R63" i="48" l="1"/>
  <c r="B305" i="48"/>
  <c r="A306" i="48"/>
  <c r="AM305" i="48"/>
  <c r="AO305" i="48" s="1"/>
  <c r="U305" i="48"/>
  <c r="W305" i="48" s="1"/>
  <c r="C305" i="48"/>
  <c r="J305" i="48" s="1"/>
  <c r="K305" i="48" s="1"/>
  <c r="AD305" i="48"/>
  <c r="AF305" i="48" s="1"/>
  <c r="L102" i="48"/>
  <c r="M102" i="48" s="1"/>
  <c r="AF306" i="47"/>
  <c r="B306" i="47"/>
  <c r="C306" i="47" s="1"/>
  <c r="J306" i="47" s="1"/>
  <c r="K306" i="47" s="1"/>
  <c r="AM306" i="47"/>
  <c r="AO306" i="47" s="1"/>
  <c r="AD306" i="47"/>
  <c r="U306" i="47"/>
  <c r="W306" i="47" s="1"/>
  <c r="A307" i="47"/>
  <c r="Y105" i="47"/>
  <c r="AB105" i="47"/>
  <c r="AC105" i="47" s="1"/>
  <c r="L106" i="47"/>
  <c r="M106" i="47" s="1"/>
  <c r="D106" i="47" l="1"/>
  <c r="N106" i="47"/>
  <c r="R106" i="47" s="1"/>
  <c r="P106" i="47" s="1"/>
  <c r="AA106" i="47" s="1"/>
  <c r="Y106" i="47" s="1"/>
  <c r="D102" i="48"/>
  <c r="F103" i="48" s="1"/>
  <c r="G103" i="48"/>
  <c r="E103" i="48"/>
  <c r="AM306" i="48"/>
  <c r="AO306" i="48" s="1"/>
  <c r="AD306" i="48"/>
  <c r="U306" i="48"/>
  <c r="W306" i="48" s="1"/>
  <c r="A307" i="48"/>
  <c r="B306" i="48"/>
  <c r="C306" i="48" s="1"/>
  <c r="J306" i="48" s="1"/>
  <c r="K306" i="48" s="1"/>
  <c r="AF306" i="48"/>
  <c r="P63" i="48"/>
  <c r="S63" i="48"/>
  <c r="T63" i="48" s="1"/>
  <c r="N102" i="48"/>
  <c r="F107" i="47"/>
  <c r="G107" i="47"/>
  <c r="E107" i="47"/>
  <c r="Q107" i="47"/>
  <c r="AJ105" i="47"/>
  <c r="Z106" i="47"/>
  <c r="AM307" i="47"/>
  <c r="AO307" i="47" s="1"/>
  <c r="AD307" i="47"/>
  <c r="U307" i="47"/>
  <c r="A308" i="47"/>
  <c r="AF307" i="47"/>
  <c r="W307" i="47"/>
  <c r="B307" i="47"/>
  <c r="C307" i="47" s="1"/>
  <c r="J307" i="47" s="1"/>
  <c r="K307" i="47" s="1"/>
  <c r="AB106" i="47" l="1"/>
  <c r="AC106" i="47" s="1"/>
  <c r="H107" i="47"/>
  <c r="S106" i="47"/>
  <c r="T106" i="47" s="1"/>
  <c r="H103" i="48"/>
  <c r="AA63" i="48"/>
  <c r="Q64" i="48"/>
  <c r="B307" i="48"/>
  <c r="AM307" i="48"/>
  <c r="AO307" i="48" s="1"/>
  <c r="AD307" i="48"/>
  <c r="AF307" i="48" s="1"/>
  <c r="U307" i="48"/>
  <c r="W307" i="48" s="1"/>
  <c r="C307" i="48"/>
  <c r="J307" i="48" s="1"/>
  <c r="K307" i="48" s="1"/>
  <c r="A308" i="48"/>
  <c r="I103" i="48"/>
  <c r="AO308" i="47"/>
  <c r="AK308" i="47"/>
  <c r="AF308" i="47"/>
  <c r="AB308" i="47"/>
  <c r="W308" i="47"/>
  <c r="S308" i="47"/>
  <c r="N308" i="47"/>
  <c r="J308" i="47"/>
  <c r="F308" i="47"/>
  <c r="B308" i="47"/>
  <c r="AN308" i="47"/>
  <c r="AJ308" i="47"/>
  <c r="AE308" i="47"/>
  <c r="AA308" i="47"/>
  <c r="V308" i="47"/>
  <c r="R308" i="47"/>
  <c r="M308" i="47"/>
  <c r="I308" i="47"/>
  <c r="E308" i="47"/>
  <c r="AM308" i="47"/>
  <c r="AI308" i="47"/>
  <c r="AD308" i="47"/>
  <c r="Z308" i="47"/>
  <c r="U308" i="47"/>
  <c r="Q308" i="47"/>
  <c r="L308" i="47"/>
  <c r="H308" i="47"/>
  <c r="D308" i="47"/>
  <c r="AC308" i="47"/>
  <c r="K308" i="47"/>
  <c r="A309" i="47"/>
  <c r="Y308" i="47"/>
  <c r="G308" i="47"/>
  <c r="AL308" i="47"/>
  <c r="T308" i="47"/>
  <c r="C308" i="47"/>
  <c r="AH308" i="47"/>
  <c r="P308" i="47"/>
  <c r="AH105" i="47"/>
  <c r="AK105" i="47"/>
  <c r="AL105" i="47" s="1"/>
  <c r="I107" i="47"/>
  <c r="AJ106" i="47"/>
  <c r="Z107" i="47"/>
  <c r="AM308" i="48" l="1"/>
  <c r="AI308" i="48"/>
  <c r="AD308" i="48"/>
  <c r="Z308" i="48"/>
  <c r="U308" i="48"/>
  <c r="Q308" i="48"/>
  <c r="L308" i="48"/>
  <c r="H308" i="48"/>
  <c r="D308" i="48"/>
  <c r="A309" i="48"/>
  <c r="AL308" i="48"/>
  <c r="AH308" i="48"/>
  <c r="AC308" i="48"/>
  <c r="Y308" i="48"/>
  <c r="T308" i="48"/>
  <c r="P308" i="48"/>
  <c r="K308" i="48"/>
  <c r="G308" i="48"/>
  <c r="C308" i="48"/>
  <c r="AO308" i="48"/>
  <c r="AF308" i="48"/>
  <c r="W308" i="48"/>
  <c r="N308" i="48"/>
  <c r="F308" i="48"/>
  <c r="AN308" i="48"/>
  <c r="AE308" i="48"/>
  <c r="V308" i="48"/>
  <c r="M308" i="48"/>
  <c r="E308" i="48"/>
  <c r="AK308" i="48"/>
  <c r="S308" i="48"/>
  <c r="B308" i="48"/>
  <c r="AJ308" i="48"/>
  <c r="R308" i="48"/>
  <c r="AB308" i="48"/>
  <c r="J308" i="48"/>
  <c r="AA308" i="48"/>
  <c r="I308" i="48"/>
  <c r="L103" i="48"/>
  <c r="M103" i="48" s="1"/>
  <c r="Y63" i="48"/>
  <c r="AB63" i="48"/>
  <c r="AC63" i="48" s="1"/>
  <c r="AH106" i="47"/>
  <c r="AI106" i="47"/>
  <c r="AK106" i="47" s="1"/>
  <c r="AL106" i="47" s="1"/>
  <c r="L107" i="47"/>
  <c r="M107" i="47" s="1"/>
  <c r="AM309" i="47"/>
  <c r="AI309" i="47"/>
  <c r="AD309" i="47"/>
  <c r="Z309" i="47"/>
  <c r="U309" i="47"/>
  <c r="Q309" i="47"/>
  <c r="L309" i="47"/>
  <c r="H309" i="47"/>
  <c r="D309" i="47"/>
  <c r="A310" i="47"/>
  <c r="AL309" i="47"/>
  <c r="AH309" i="47"/>
  <c r="AC309" i="47"/>
  <c r="Y309" i="47"/>
  <c r="T309" i="47"/>
  <c r="P309" i="47"/>
  <c r="K309" i="47"/>
  <c r="AO309" i="47"/>
  <c r="AK309" i="47"/>
  <c r="AF309" i="47"/>
  <c r="AB309" i="47"/>
  <c r="W309" i="47"/>
  <c r="S309" i="47"/>
  <c r="N309" i="47"/>
  <c r="AA309" i="47"/>
  <c r="J309" i="47"/>
  <c r="E309" i="47"/>
  <c r="AN309" i="47"/>
  <c r="V309" i="47"/>
  <c r="I309" i="47"/>
  <c r="C309" i="47"/>
  <c r="AJ309" i="47"/>
  <c r="R309" i="47"/>
  <c r="G309" i="47"/>
  <c r="B309" i="47"/>
  <c r="F309" i="47"/>
  <c r="AE309" i="47"/>
  <c r="M309" i="47"/>
  <c r="D103" i="48" l="1"/>
  <c r="N103" i="48"/>
  <c r="AJ63" i="48"/>
  <c r="Z64" i="48"/>
  <c r="AO309" i="48"/>
  <c r="AK309" i="48"/>
  <c r="AF309" i="48"/>
  <c r="AB309" i="48"/>
  <c r="W309" i="48"/>
  <c r="S309" i="48"/>
  <c r="N309" i="48"/>
  <c r="J309" i="48"/>
  <c r="F309" i="48"/>
  <c r="B309" i="48"/>
  <c r="AN309" i="48"/>
  <c r="AJ309" i="48"/>
  <c r="AE309" i="48"/>
  <c r="AA309" i="48"/>
  <c r="V309" i="48"/>
  <c r="R309" i="48"/>
  <c r="M309" i="48"/>
  <c r="I309" i="48"/>
  <c r="E309" i="48"/>
  <c r="AI309" i="48"/>
  <c r="Z309" i="48"/>
  <c r="Q309" i="48"/>
  <c r="H309" i="48"/>
  <c r="A310" i="48"/>
  <c r="AH309" i="48"/>
  <c r="Y309" i="48"/>
  <c r="P309" i="48"/>
  <c r="G309" i="48"/>
  <c r="AD309" i="48"/>
  <c r="L309" i="48"/>
  <c r="AC309" i="48"/>
  <c r="K309" i="48"/>
  <c r="AM309" i="48"/>
  <c r="U309" i="48"/>
  <c r="D309" i="48"/>
  <c r="T309" i="48"/>
  <c r="C309" i="48"/>
  <c r="AL309" i="48"/>
  <c r="F104" i="48"/>
  <c r="G104" i="48"/>
  <c r="E104" i="48"/>
  <c r="AO310" i="47"/>
  <c r="AK310" i="47"/>
  <c r="AF310" i="47"/>
  <c r="AB310" i="47"/>
  <c r="W310" i="47"/>
  <c r="S310" i="47"/>
  <c r="N310" i="47"/>
  <c r="J310" i="47"/>
  <c r="F310" i="47"/>
  <c r="B310" i="47"/>
  <c r="AN310" i="47"/>
  <c r="AJ310" i="47"/>
  <c r="AE310" i="47"/>
  <c r="AA310" i="47"/>
  <c r="V310" i="47"/>
  <c r="R310" i="47"/>
  <c r="M310" i="47"/>
  <c r="I310" i="47"/>
  <c r="E310" i="47"/>
  <c r="AM310" i="47"/>
  <c r="AI310" i="47"/>
  <c r="AD310" i="47"/>
  <c r="Z310" i="47"/>
  <c r="U310" i="47"/>
  <c r="Q310" i="47"/>
  <c r="L310" i="47"/>
  <c r="H310" i="47"/>
  <c r="D310" i="47"/>
  <c r="AL310" i="47"/>
  <c r="T310" i="47"/>
  <c r="C310" i="47"/>
  <c r="AH310" i="47"/>
  <c r="P310" i="47"/>
  <c r="AC310" i="47"/>
  <c r="K310" i="47"/>
  <c r="Y310" i="47"/>
  <c r="G310" i="47"/>
  <c r="A311" i="47"/>
  <c r="N107" i="47"/>
  <c r="R107" i="47" s="1"/>
  <c r="D107" i="47"/>
  <c r="AI107" i="47"/>
  <c r="H104" i="48" l="1"/>
  <c r="I104" i="48"/>
  <c r="AH63" i="48"/>
  <c r="AK63" i="48"/>
  <c r="AL63" i="48" s="1"/>
  <c r="AM310" i="48"/>
  <c r="AI310" i="48"/>
  <c r="AD310" i="48"/>
  <c r="Z310" i="48"/>
  <c r="U310" i="48"/>
  <c r="Q310" i="48"/>
  <c r="L310" i="48"/>
  <c r="H310" i="48"/>
  <c r="D310" i="48"/>
  <c r="A311" i="48"/>
  <c r="AL310" i="48"/>
  <c r="AH310" i="48"/>
  <c r="AC310" i="48"/>
  <c r="Y310" i="48"/>
  <c r="T310" i="48"/>
  <c r="P310" i="48"/>
  <c r="K310" i="48"/>
  <c r="G310" i="48"/>
  <c r="C310" i="48"/>
  <c r="AK310" i="48"/>
  <c r="AB310" i="48"/>
  <c r="S310" i="48"/>
  <c r="J310" i="48"/>
  <c r="B310" i="48"/>
  <c r="AJ310" i="48"/>
  <c r="AA310" i="48"/>
  <c r="R310" i="48"/>
  <c r="I310" i="48"/>
  <c r="AO310" i="48"/>
  <c r="W310" i="48"/>
  <c r="F310" i="48"/>
  <c r="AN310" i="48"/>
  <c r="V310" i="48"/>
  <c r="E310" i="48"/>
  <c r="AF310" i="48"/>
  <c r="N310" i="48"/>
  <c r="AE310" i="48"/>
  <c r="M310" i="48"/>
  <c r="P107" i="47"/>
  <c r="S107" i="47"/>
  <c r="T107" i="47" s="1"/>
  <c r="AM311" i="47"/>
  <c r="AI311" i="47"/>
  <c r="AD311" i="47"/>
  <c r="Z311" i="47"/>
  <c r="U311" i="47"/>
  <c r="Q311" i="47"/>
  <c r="L311" i="47"/>
  <c r="H311" i="47"/>
  <c r="D311" i="47"/>
  <c r="A312" i="47"/>
  <c r="AL311" i="47"/>
  <c r="AH311" i="47"/>
  <c r="AC311" i="47"/>
  <c r="Y311" i="47"/>
  <c r="T311" i="47"/>
  <c r="P311" i="47"/>
  <c r="K311" i="47"/>
  <c r="G311" i="47"/>
  <c r="C311" i="47"/>
  <c r="AO311" i="47"/>
  <c r="AK311" i="47"/>
  <c r="AF311" i="47"/>
  <c r="AB311" i="47"/>
  <c r="W311" i="47"/>
  <c r="S311" i="47"/>
  <c r="N311" i="47"/>
  <c r="J311" i="47"/>
  <c r="F311" i="47"/>
  <c r="B311" i="47"/>
  <c r="AE311" i="47"/>
  <c r="M311" i="47"/>
  <c r="AA311" i="47"/>
  <c r="I311" i="47"/>
  <c r="AN311" i="47"/>
  <c r="V311" i="47"/>
  <c r="E311" i="47"/>
  <c r="AJ311" i="47"/>
  <c r="R311" i="47"/>
  <c r="G108" i="47"/>
  <c r="F108" i="47"/>
  <c r="E108" i="47"/>
  <c r="H108" i="47" l="1"/>
  <c r="AO311" i="48"/>
  <c r="AK311" i="48"/>
  <c r="AF311" i="48"/>
  <c r="AB311" i="48"/>
  <c r="W311" i="48"/>
  <c r="S311" i="48"/>
  <c r="N311" i="48"/>
  <c r="J311" i="48"/>
  <c r="F311" i="48"/>
  <c r="B311" i="48"/>
  <c r="AN311" i="48"/>
  <c r="AJ311" i="48"/>
  <c r="AE311" i="48"/>
  <c r="AA311" i="48"/>
  <c r="V311" i="48"/>
  <c r="R311" i="48"/>
  <c r="M311" i="48"/>
  <c r="I311" i="48"/>
  <c r="E311" i="48"/>
  <c r="AM311" i="48"/>
  <c r="AD311" i="48"/>
  <c r="U311" i="48"/>
  <c r="L311" i="48"/>
  <c r="D311" i="48"/>
  <c r="AL311" i="48"/>
  <c r="AC311" i="48"/>
  <c r="T311" i="48"/>
  <c r="K311" i="48"/>
  <c r="C311" i="48"/>
  <c r="AI311" i="48"/>
  <c r="Q311" i="48"/>
  <c r="AH311" i="48"/>
  <c r="P311" i="48"/>
  <c r="Z311" i="48"/>
  <c r="H311" i="48"/>
  <c r="G311" i="48"/>
  <c r="A312" i="48"/>
  <c r="Y311" i="48"/>
  <c r="AI64" i="48"/>
  <c r="L104" i="48"/>
  <c r="M104" i="48" s="1"/>
  <c r="I108" i="47"/>
  <c r="AA107" i="47"/>
  <c r="AO312" i="47"/>
  <c r="AK312" i="47"/>
  <c r="AF312" i="47"/>
  <c r="AB312" i="47"/>
  <c r="W312" i="47"/>
  <c r="S312" i="47"/>
  <c r="N312" i="47"/>
  <c r="J312" i="47"/>
  <c r="F312" i="47"/>
  <c r="B312" i="47"/>
  <c r="AN312" i="47"/>
  <c r="AJ312" i="47"/>
  <c r="AE312" i="47"/>
  <c r="AA312" i="47"/>
  <c r="V312" i="47"/>
  <c r="R312" i="47"/>
  <c r="M312" i="47"/>
  <c r="I312" i="47"/>
  <c r="E312" i="47"/>
  <c r="AM312" i="47"/>
  <c r="AI312" i="47"/>
  <c r="AD312" i="47"/>
  <c r="Z312" i="47"/>
  <c r="U312" i="47"/>
  <c r="Q312" i="47"/>
  <c r="L312" i="47"/>
  <c r="H312" i="47"/>
  <c r="D312" i="47"/>
  <c r="A313" i="47"/>
  <c r="Y312" i="47"/>
  <c r="G312" i="47"/>
  <c r="AL312" i="47"/>
  <c r="T312" i="47"/>
  <c r="C312" i="47"/>
  <c r="AH312" i="47"/>
  <c r="P312" i="47"/>
  <c r="K312" i="47"/>
  <c r="AC312" i="47"/>
  <c r="D104" i="48" l="1"/>
  <c r="N104" i="48"/>
  <c r="F105" i="48"/>
  <c r="G105" i="48"/>
  <c r="E105" i="48"/>
  <c r="AM312" i="48"/>
  <c r="AI312" i="48"/>
  <c r="AD312" i="48"/>
  <c r="Z312" i="48"/>
  <c r="U312" i="48"/>
  <c r="Q312" i="48"/>
  <c r="L312" i="48"/>
  <c r="H312" i="48"/>
  <c r="D312" i="48"/>
  <c r="A313" i="48"/>
  <c r="AL312" i="48"/>
  <c r="AH312" i="48"/>
  <c r="AC312" i="48"/>
  <c r="Y312" i="48"/>
  <c r="T312" i="48"/>
  <c r="P312" i="48"/>
  <c r="K312" i="48"/>
  <c r="G312" i="48"/>
  <c r="C312" i="48"/>
  <c r="AO312" i="48"/>
  <c r="AF312" i="48"/>
  <c r="W312" i="48"/>
  <c r="N312" i="48"/>
  <c r="F312" i="48"/>
  <c r="AN312" i="48"/>
  <c r="AE312" i="48"/>
  <c r="V312" i="48"/>
  <c r="M312" i="48"/>
  <c r="E312" i="48"/>
  <c r="AB312" i="48"/>
  <c r="J312" i="48"/>
  <c r="AA312" i="48"/>
  <c r="I312" i="48"/>
  <c r="AK312" i="48"/>
  <c r="S312" i="48"/>
  <c r="B312" i="48"/>
  <c r="AJ312" i="48"/>
  <c r="R312" i="48"/>
  <c r="R64" i="48"/>
  <c r="L108" i="47"/>
  <c r="N108" i="47" s="1"/>
  <c r="R108" i="47" s="1"/>
  <c r="AM313" i="47"/>
  <c r="AI313" i="47"/>
  <c r="AD313" i="47"/>
  <c r="Z313" i="47"/>
  <c r="U313" i="47"/>
  <c r="Q313" i="47"/>
  <c r="L313" i="47"/>
  <c r="H313" i="47"/>
  <c r="D313" i="47"/>
  <c r="A314" i="47"/>
  <c r="AL313" i="47"/>
  <c r="AH313" i="47"/>
  <c r="AC313" i="47"/>
  <c r="Y313" i="47"/>
  <c r="T313" i="47"/>
  <c r="P313" i="47"/>
  <c r="K313" i="47"/>
  <c r="G313" i="47"/>
  <c r="C313" i="47"/>
  <c r="AO313" i="47"/>
  <c r="AK313" i="47"/>
  <c r="AF313" i="47"/>
  <c r="AB313" i="47"/>
  <c r="W313" i="47"/>
  <c r="S313" i="47"/>
  <c r="N313" i="47"/>
  <c r="J313" i="47"/>
  <c r="F313" i="47"/>
  <c r="B313" i="47"/>
  <c r="AJ313" i="47"/>
  <c r="R313" i="47"/>
  <c r="AE313" i="47"/>
  <c r="M313" i="47"/>
  <c r="AA313" i="47"/>
  <c r="I313" i="47"/>
  <c r="AN313" i="47"/>
  <c r="V313" i="47"/>
  <c r="E313" i="47"/>
  <c r="Y107" i="47"/>
  <c r="AB107" i="47"/>
  <c r="AC107" i="47" s="1"/>
  <c r="D108" i="47" l="1"/>
  <c r="M108" i="47"/>
  <c r="A314" i="48"/>
  <c r="AL313" i="48"/>
  <c r="AH313" i="48"/>
  <c r="AC313" i="48"/>
  <c r="Y313" i="48"/>
  <c r="T313" i="48"/>
  <c r="P313" i="48"/>
  <c r="AM313" i="48"/>
  <c r="AF313" i="48"/>
  <c r="AA313" i="48"/>
  <c r="U313" i="48"/>
  <c r="N313" i="48"/>
  <c r="J313" i="48"/>
  <c r="F313" i="48"/>
  <c r="B313" i="48"/>
  <c r="AK313" i="48"/>
  <c r="AE313" i="48"/>
  <c r="Z313" i="48"/>
  <c r="S313" i="48"/>
  <c r="M313" i="48"/>
  <c r="I313" i="48"/>
  <c r="E313" i="48"/>
  <c r="AO313" i="48"/>
  <c r="AD313" i="48"/>
  <c r="R313" i="48"/>
  <c r="H313" i="48"/>
  <c r="AN313" i="48"/>
  <c r="AB313" i="48"/>
  <c r="Q313" i="48"/>
  <c r="G313" i="48"/>
  <c r="W313" i="48"/>
  <c r="D313" i="48"/>
  <c r="V313" i="48"/>
  <c r="C313" i="48"/>
  <c r="AJ313" i="48"/>
  <c r="L313" i="48"/>
  <c r="AI313" i="48"/>
  <c r="K313" i="48"/>
  <c r="P64" i="48"/>
  <c r="S64" i="48"/>
  <c r="T64" i="48" s="1"/>
  <c r="I105" i="48"/>
  <c r="H105" i="48"/>
  <c r="P108" i="47"/>
  <c r="S108" i="47"/>
  <c r="T108" i="47" s="1"/>
  <c r="G109" i="47"/>
  <c r="F109" i="47"/>
  <c r="H109" i="47" s="1"/>
  <c r="E109" i="47"/>
  <c r="AJ107" i="47"/>
  <c r="AO314" i="47"/>
  <c r="AK314" i="47"/>
  <c r="AF314" i="47"/>
  <c r="AB314" i="47"/>
  <c r="W314" i="47"/>
  <c r="S314" i="47"/>
  <c r="N314" i="47"/>
  <c r="J314" i="47"/>
  <c r="F314" i="47"/>
  <c r="B314" i="47"/>
  <c r="AN314" i="47"/>
  <c r="AJ314" i="47"/>
  <c r="AE314" i="47"/>
  <c r="AA314" i="47"/>
  <c r="V314" i="47"/>
  <c r="R314" i="47"/>
  <c r="M314" i="47"/>
  <c r="I314" i="47"/>
  <c r="E314" i="47"/>
  <c r="AM314" i="47"/>
  <c r="AI314" i="47"/>
  <c r="AD314" i="47"/>
  <c r="Z314" i="47"/>
  <c r="U314" i="47"/>
  <c r="Q314" i="47"/>
  <c r="L314" i="47"/>
  <c r="H314" i="47"/>
  <c r="D314" i="47"/>
  <c r="AC314" i="47"/>
  <c r="K314" i="47"/>
  <c r="A315" i="47"/>
  <c r="Y314" i="47"/>
  <c r="G314" i="47"/>
  <c r="AL314" i="47"/>
  <c r="T314" i="47"/>
  <c r="C314" i="47"/>
  <c r="AH314" i="47"/>
  <c r="P314" i="47"/>
  <c r="AA64" i="48" l="1"/>
  <c r="Q65" i="48"/>
  <c r="L105" i="48"/>
  <c r="N105" i="48" s="1"/>
  <c r="AN314" i="48"/>
  <c r="AJ314" i="48"/>
  <c r="AE314" i="48"/>
  <c r="AA314" i="48"/>
  <c r="V314" i="48"/>
  <c r="R314" i="48"/>
  <c r="M314" i="48"/>
  <c r="I314" i="48"/>
  <c r="E314" i="48"/>
  <c r="AL314" i="48"/>
  <c r="AF314" i="48"/>
  <c r="Z314" i="48"/>
  <c r="T314" i="48"/>
  <c r="N314" i="48"/>
  <c r="H314" i="48"/>
  <c r="C314" i="48"/>
  <c r="A315" i="48"/>
  <c r="AK314" i="48"/>
  <c r="AD314" i="48"/>
  <c r="Y314" i="48"/>
  <c r="S314" i="48"/>
  <c r="L314" i="48"/>
  <c r="G314" i="48"/>
  <c r="B314" i="48"/>
  <c r="AI314" i="48"/>
  <c r="W314" i="48"/>
  <c r="K314" i="48"/>
  <c r="AH314" i="48"/>
  <c r="U314" i="48"/>
  <c r="J314" i="48"/>
  <c r="AC314" i="48"/>
  <c r="F314" i="48"/>
  <c r="AB314" i="48"/>
  <c r="D314" i="48"/>
  <c r="AO314" i="48"/>
  <c r="Q314" i="48"/>
  <c r="AM314" i="48"/>
  <c r="P314" i="48"/>
  <c r="I109" i="47"/>
  <c r="AM315" i="47"/>
  <c r="AI315" i="47"/>
  <c r="AD315" i="47"/>
  <c r="Z315" i="47"/>
  <c r="U315" i="47"/>
  <c r="Q315" i="47"/>
  <c r="L315" i="47"/>
  <c r="H315" i="47"/>
  <c r="D315" i="47"/>
  <c r="A316" i="47"/>
  <c r="AL315" i="47"/>
  <c r="AH315" i="47"/>
  <c r="AC315" i="47"/>
  <c r="Y315" i="47"/>
  <c r="T315" i="47"/>
  <c r="P315" i="47"/>
  <c r="K315" i="47"/>
  <c r="G315" i="47"/>
  <c r="C315" i="47"/>
  <c r="AO315" i="47"/>
  <c r="AK315" i="47"/>
  <c r="AF315" i="47"/>
  <c r="AB315" i="47"/>
  <c r="W315" i="47"/>
  <c r="S315" i="47"/>
  <c r="N315" i="47"/>
  <c r="J315" i="47"/>
  <c r="F315" i="47"/>
  <c r="B315" i="47"/>
  <c r="AN315" i="47"/>
  <c r="V315" i="47"/>
  <c r="E315" i="47"/>
  <c r="AJ315" i="47"/>
  <c r="R315" i="47"/>
  <c r="AE315" i="47"/>
  <c r="M315" i="47"/>
  <c r="AA315" i="47"/>
  <c r="I315" i="47"/>
  <c r="AH107" i="47"/>
  <c r="AK107" i="47"/>
  <c r="AL107" i="47" s="1"/>
  <c r="Y108" i="47"/>
  <c r="Q109" i="47"/>
  <c r="M105" i="48" l="1"/>
  <c r="D105" i="48"/>
  <c r="Y64" i="48"/>
  <c r="AB64" i="48"/>
  <c r="AC64" i="48" s="1"/>
  <c r="A316" i="48"/>
  <c r="AL315" i="48"/>
  <c r="AH315" i="48"/>
  <c r="AC315" i="48"/>
  <c r="Y315" i="48"/>
  <c r="T315" i="48"/>
  <c r="P315" i="48"/>
  <c r="K315" i="48"/>
  <c r="G315" i="48"/>
  <c r="C315" i="48"/>
  <c r="AK315" i="48"/>
  <c r="AE315" i="48"/>
  <c r="Z315" i="48"/>
  <c r="S315" i="48"/>
  <c r="M315" i="48"/>
  <c r="H315" i="48"/>
  <c r="B315" i="48"/>
  <c r="AO315" i="48"/>
  <c r="AJ315" i="48"/>
  <c r="AD315" i="48"/>
  <c r="W315" i="48"/>
  <c r="R315" i="48"/>
  <c r="L315" i="48"/>
  <c r="F315" i="48"/>
  <c r="AN315" i="48"/>
  <c r="AB315" i="48"/>
  <c r="Q315" i="48"/>
  <c r="E315" i="48"/>
  <c r="AM315" i="48"/>
  <c r="AA315" i="48"/>
  <c r="N315" i="48"/>
  <c r="D315" i="48"/>
  <c r="AI315" i="48"/>
  <c r="J315" i="48"/>
  <c r="AF315" i="48"/>
  <c r="I315" i="48"/>
  <c r="V315" i="48"/>
  <c r="U315" i="48"/>
  <c r="AO316" i="47"/>
  <c r="AK316" i="47"/>
  <c r="AF316" i="47"/>
  <c r="AB316" i="47"/>
  <c r="W316" i="47"/>
  <c r="S316" i="47"/>
  <c r="N316" i="47"/>
  <c r="J316" i="47"/>
  <c r="F316" i="47"/>
  <c r="B316" i="47"/>
  <c r="AN316" i="47"/>
  <c r="AJ316" i="47"/>
  <c r="AE316" i="47"/>
  <c r="AA316" i="47"/>
  <c r="V316" i="47"/>
  <c r="R316" i="47"/>
  <c r="M316" i="47"/>
  <c r="I316" i="47"/>
  <c r="E316" i="47"/>
  <c r="AM316" i="47"/>
  <c r="AI316" i="47"/>
  <c r="AD316" i="47"/>
  <c r="Z316" i="47"/>
  <c r="U316" i="47"/>
  <c r="Q316" i="47"/>
  <c r="L316" i="47"/>
  <c r="H316" i="47"/>
  <c r="D316" i="47"/>
  <c r="AH316" i="47"/>
  <c r="P316" i="47"/>
  <c r="AC316" i="47"/>
  <c r="K316" i="47"/>
  <c r="A317" i="47"/>
  <c r="Y316" i="47"/>
  <c r="G316" i="47"/>
  <c r="AL316" i="47"/>
  <c r="T316" i="47"/>
  <c r="C316" i="47"/>
  <c r="AJ108" i="47"/>
  <c r="Z109" i="47"/>
  <c r="AH108" i="47"/>
  <c r="AI108" i="47"/>
  <c r="AB108" i="47"/>
  <c r="AC108" i="47" s="1"/>
  <c r="L109" i="47"/>
  <c r="M109" i="47" s="1"/>
  <c r="AJ64" i="48" l="1"/>
  <c r="Z65" i="48"/>
  <c r="AN316" i="48"/>
  <c r="AJ316" i="48"/>
  <c r="AE316" i="48"/>
  <c r="AA316" i="48"/>
  <c r="V316" i="48"/>
  <c r="R316" i="48"/>
  <c r="M316" i="48"/>
  <c r="I316" i="48"/>
  <c r="E316" i="48"/>
  <c r="A317" i="48"/>
  <c r="AK316" i="48"/>
  <c r="AD316" i="48"/>
  <c r="Y316" i="48"/>
  <c r="S316" i="48"/>
  <c r="L316" i="48"/>
  <c r="G316" i="48"/>
  <c r="B316" i="48"/>
  <c r="AO316" i="48"/>
  <c r="AI316" i="48"/>
  <c r="AC316" i="48"/>
  <c r="W316" i="48"/>
  <c r="Q316" i="48"/>
  <c r="K316" i="48"/>
  <c r="F316" i="48"/>
  <c r="AH316" i="48"/>
  <c r="U316" i="48"/>
  <c r="J316" i="48"/>
  <c r="AF316" i="48"/>
  <c r="T316" i="48"/>
  <c r="H316" i="48"/>
  <c r="AM316" i="48"/>
  <c r="P316" i="48"/>
  <c r="AL316" i="48"/>
  <c r="N316" i="48"/>
  <c r="AB316" i="48"/>
  <c r="D316" i="48"/>
  <c r="Z316" i="48"/>
  <c r="C316" i="48"/>
  <c r="F106" i="48"/>
  <c r="G106" i="48"/>
  <c r="E106" i="48"/>
  <c r="AI109" i="47"/>
  <c r="N109" i="47"/>
  <c r="R109" i="47" s="1"/>
  <c r="AM317" i="47"/>
  <c r="AI317" i="47"/>
  <c r="AD317" i="47"/>
  <c r="Z317" i="47"/>
  <c r="U317" i="47"/>
  <c r="Q317" i="47"/>
  <c r="L317" i="47"/>
  <c r="H317" i="47"/>
  <c r="D317" i="47"/>
  <c r="A318" i="47"/>
  <c r="AL317" i="47"/>
  <c r="AH317" i="47"/>
  <c r="AC317" i="47"/>
  <c r="Y317" i="47"/>
  <c r="T317" i="47"/>
  <c r="P317" i="47"/>
  <c r="K317" i="47"/>
  <c r="G317" i="47"/>
  <c r="C317" i="47"/>
  <c r="AO317" i="47"/>
  <c r="AK317" i="47"/>
  <c r="AF317" i="47"/>
  <c r="AB317" i="47"/>
  <c r="W317" i="47"/>
  <c r="S317" i="47"/>
  <c r="N317" i="47"/>
  <c r="J317" i="47"/>
  <c r="F317" i="47"/>
  <c r="B317" i="47"/>
  <c r="AE317" i="47"/>
  <c r="AA317" i="47"/>
  <c r="I317" i="47"/>
  <c r="AN317" i="47"/>
  <c r="V317" i="47"/>
  <c r="E317" i="47"/>
  <c r="AJ317" i="47"/>
  <c r="R317" i="47"/>
  <c r="M317" i="47"/>
  <c r="D109" i="47"/>
  <c r="AK108" i="47"/>
  <c r="AL108" i="47" s="1"/>
  <c r="H106" i="48" l="1"/>
  <c r="I106" i="48"/>
  <c r="A318" i="48"/>
  <c r="AL317" i="48"/>
  <c r="AH317" i="48"/>
  <c r="AC317" i="48"/>
  <c r="Y317" i="48"/>
  <c r="T317" i="48"/>
  <c r="P317" i="48"/>
  <c r="K317" i="48"/>
  <c r="G317" i="48"/>
  <c r="C317" i="48"/>
  <c r="AO317" i="48"/>
  <c r="AJ317" i="48"/>
  <c r="AD317" i="48"/>
  <c r="W317" i="48"/>
  <c r="R317" i="48"/>
  <c r="L317" i="48"/>
  <c r="F317" i="48"/>
  <c r="AN317" i="48"/>
  <c r="AI317" i="48"/>
  <c r="AB317" i="48"/>
  <c r="V317" i="48"/>
  <c r="Q317" i="48"/>
  <c r="J317" i="48"/>
  <c r="E317" i="48"/>
  <c r="AM317" i="48"/>
  <c r="AA317" i="48"/>
  <c r="N317" i="48"/>
  <c r="D317" i="48"/>
  <c r="AK317" i="48"/>
  <c r="Z317" i="48"/>
  <c r="M317" i="48"/>
  <c r="B317" i="48"/>
  <c r="U317" i="48"/>
  <c r="S317" i="48"/>
  <c r="AF317" i="48"/>
  <c r="I317" i="48"/>
  <c r="H317" i="48"/>
  <c r="AE317" i="48"/>
  <c r="AH64" i="48"/>
  <c r="AK64" i="48"/>
  <c r="AL64" i="48" s="1"/>
  <c r="G110" i="47"/>
  <c r="F110" i="47"/>
  <c r="E110" i="47"/>
  <c r="P109" i="47"/>
  <c r="S109" i="47"/>
  <c r="T109" i="47" s="1"/>
  <c r="AO318" i="47"/>
  <c r="AK318" i="47"/>
  <c r="AF318" i="47"/>
  <c r="AB318" i="47"/>
  <c r="W318" i="47"/>
  <c r="S318" i="47"/>
  <c r="N318" i="47"/>
  <c r="J318" i="47"/>
  <c r="F318" i="47"/>
  <c r="B318" i="47"/>
  <c r="AN318" i="47"/>
  <c r="AJ318" i="47"/>
  <c r="AE318" i="47"/>
  <c r="AA318" i="47"/>
  <c r="V318" i="47"/>
  <c r="R318" i="47"/>
  <c r="M318" i="47"/>
  <c r="I318" i="47"/>
  <c r="E318" i="47"/>
  <c r="AM318" i="47"/>
  <c r="AI318" i="47"/>
  <c r="AD318" i="47"/>
  <c r="Z318" i="47"/>
  <c r="U318" i="47"/>
  <c r="Q318" i="47"/>
  <c r="L318" i="47"/>
  <c r="H318" i="47"/>
  <c r="D318" i="47"/>
  <c r="A319" i="47"/>
  <c r="Y318" i="47"/>
  <c r="G318" i="47"/>
  <c r="AL318" i="47"/>
  <c r="T318" i="47"/>
  <c r="C318" i="47"/>
  <c r="AH318" i="47"/>
  <c r="P318" i="47"/>
  <c r="AC318" i="47"/>
  <c r="K318" i="47"/>
  <c r="H110" i="47" l="1"/>
  <c r="AI65" i="48"/>
  <c r="L106" i="48"/>
  <c r="D106" i="48" s="1"/>
  <c r="AN318" i="48"/>
  <c r="AJ318" i="48"/>
  <c r="AE318" i="48"/>
  <c r="AA318" i="48"/>
  <c r="V318" i="48"/>
  <c r="R318" i="48"/>
  <c r="M318" i="48"/>
  <c r="I318" i="48"/>
  <c r="E318" i="48"/>
  <c r="AO318" i="48"/>
  <c r="AI318" i="48"/>
  <c r="AC318" i="48"/>
  <c r="W318" i="48"/>
  <c r="Q318" i="48"/>
  <c r="K318" i="48"/>
  <c r="F318" i="48"/>
  <c r="AM318" i="48"/>
  <c r="AH318" i="48"/>
  <c r="AB318" i="48"/>
  <c r="U318" i="48"/>
  <c r="P318" i="48"/>
  <c r="J318" i="48"/>
  <c r="D318" i="48"/>
  <c r="AF318" i="48"/>
  <c r="T318" i="48"/>
  <c r="H318" i="48"/>
  <c r="A319" i="48"/>
  <c r="AD318" i="48"/>
  <c r="S318" i="48"/>
  <c r="G318" i="48"/>
  <c r="Z318" i="48"/>
  <c r="C318" i="48"/>
  <c r="Y318" i="48"/>
  <c r="B318" i="48"/>
  <c r="AL318" i="48"/>
  <c r="N318" i="48"/>
  <c r="AK318" i="48"/>
  <c r="L318" i="48"/>
  <c r="M106" i="48"/>
  <c r="AA109" i="47"/>
  <c r="Q110" i="47"/>
  <c r="I110" i="47"/>
  <c r="AM319" i="47"/>
  <c r="AI319" i="47"/>
  <c r="AD319" i="47"/>
  <c r="Z319" i="47"/>
  <c r="U319" i="47"/>
  <c r="Q319" i="47"/>
  <c r="L319" i="47"/>
  <c r="H319" i="47"/>
  <c r="D319" i="47"/>
  <c r="A320" i="47"/>
  <c r="AL319" i="47"/>
  <c r="AH319" i="47"/>
  <c r="AC319" i="47"/>
  <c r="Y319" i="47"/>
  <c r="T319" i="47"/>
  <c r="P319" i="47"/>
  <c r="K319" i="47"/>
  <c r="G319" i="47"/>
  <c r="C319" i="47"/>
  <c r="AO319" i="47"/>
  <c r="AK319" i="47"/>
  <c r="AF319" i="47"/>
  <c r="AB319" i="47"/>
  <c r="W319" i="47"/>
  <c r="S319" i="47"/>
  <c r="N319" i="47"/>
  <c r="J319" i="47"/>
  <c r="F319" i="47"/>
  <c r="B319" i="47"/>
  <c r="AJ319" i="47"/>
  <c r="R319" i="47"/>
  <c r="AE319" i="47"/>
  <c r="M319" i="47"/>
  <c r="AA319" i="47"/>
  <c r="I319" i="47"/>
  <c r="AN319" i="47"/>
  <c r="V319" i="47"/>
  <c r="E319" i="47"/>
  <c r="N106" i="48" l="1"/>
  <c r="G107" i="48"/>
  <c r="F107" i="48"/>
  <c r="E107" i="48"/>
  <c r="R65" i="48"/>
  <c r="A320" i="48"/>
  <c r="AL319" i="48"/>
  <c r="AH319" i="48"/>
  <c r="AC319" i="48"/>
  <c r="Y319" i="48"/>
  <c r="T319" i="48"/>
  <c r="P319" i="48"/>
  <c r="K319" i="48"/>
  <c r="G319" i="48"/>
  <c r="C319" i="48"/>
  <c r="AN319" i="48"/>
  <c r="AI319" i="48"/>
  <c r="AB319" i="48"/>
  <c r="V319" i="48"/>
  <c r="Q319" i="48"/>
  <c r="J319" i="48"/>
  <c r="E319" i="48"/>
  <c r="AM319" i="48"/>
  <c r="AF319" i="48"/>
  <c r="AA319" i="48"/>
  <c r="U319" i="48"/>
  <c r="N319" i="48"/>
  <c r="I319" i="48"/>
  <c r="D319" i="48"/>
  <c r="AK319" i="48"/>
  <c r="Z319" i="48"/>
  <c r="M319" i="48"/>
  <c r="B319" i="48"/>
  <c r="AJ319" i="48"/>
  <c r="W319" i="48"/>
  <c r="L319" i="48"/>
  <c r="AE319" i="48"/>
  <c r="H319" i="48"/>
  <c r="AD319" i="48"/>
  <c r="F319" i="48"/>
  <c r="S319" i="48"/>
  <c r="R319" i="48"/>
  <c r="AO319" i="48"/>
  <c r="AO320" i="47"/>
  <c r="AK320" i="47"/>
  <c r="AF320" i="47"/>
  <c r="AB320" i="47"/>
  <c r="W320" i="47"/>
  <c r="S320" i="47"/>
  <c r="N320" i="47"/>
  <c r="J320" i="47"/>
  <c r="F320" i="47"/>
  <c r="B320" i="47"/>
  <c r="AN320" i="47"/>
  <c r="AJ320" i="47"/>
  <c r="AE320" i="47"/>
  <c r="AA320" i="47"/>
  <c r="V320" i="47"/>
  <c r="R320" i="47"/>
  <c r="M320" i="47"/>
  <c r="I320" i="47"/>
  <c r="E320" i="47"/>
  <c r="AM320" i="47"/>
  <c r="AI320" i="47"/>
  <c r="AD320" i="47"/>
  <c r="Z320" i="47"/>
  <c r="U320" i="47"/>
  <c r="Q320" i="47"/>
  <c r="L320" i="47"/>
  <c r="H320" i="47"/>
  <c r="D320" i="47"/>
  <c r="AC320" i="47"/>
  <c r="K320" i="47"/>
  <c r="A321" i="47"/>
  <c r="Y320" i="47"/>
  <c r="G320" i="47"/>
  <c r="AL320" i="47"/>
  <c r="T320" i="47"/>
  <c r="C320" i="47"/>
  <c r="AH320" i="47"/>
  <c r="P320" i="47"/>
  <c r="L110" i="47"/>
  <c r="M110" i="47" s="1"/>
  <c r="Y109" i="47"/>
  <c r="AB109" i="47"/>
  <c r="AC109" i="47" s="1"/>
  <c r="H107" i="48" l="1"/>
  <c r="P65" i="48"/>
  <c r="S65" i="48"/>
  <c r="T65" i="48" s="1"/>
  <c r="AN320" i="48"/>
  <c r="AJ320" i="48"/>
  <c r="AE320" i="48"/>
  <c r="AA320" i="48"/>
  <c r="V320" i="48"/>
  <c r="R320" i="48"/>
  <c r="M320" i="48"/>
  <c r="I320" i="48"/>
  <c r="E320" i="48"/>
  <c r="AM320" i="48"/>
  <c r="AH320" i="48"/>
  <c r="AB320" i="48"/>
  <c r="U320" i="48"/>
  <c r="P320" i="48"/>
  <c r="J320" i="48"/>
  <c r="D320" i="48"/>
  <c r="AL320" i="48"/>
  <c r="AF320" i="48"/>
  <c r="Z320" i="48"/>
  <c r="T320" i="48"/>
  <c r="N320" i="48"/>
  <c r="H320" i="48"/>
  <c r="C320" i="48"/>
  <c r="A321" i="48"/>
  <c r="AD320" i="48"/>
  <c r="S320" i="48"/>
  <c r="G320" i="48"/>
  <c r="AO320" i="48"/>
  <c r="AC320" i="48"/>
  <c r="Q320" i="48"/>
  <c r="F320" i="48"/>
  <c r="AK320" i="48"/>
  <c r="L320" i="48"/>
  <c r="AI320" i="48"/>
  <c r="K320" i="48"/>
  <c r="Y320" i="48"/>
  <c r="B320" i="48"/>
  <c r="W320" i="48"/>
  <c r="I107" i="48"/>
  <c r="N110" i="47"/>
  <c r="R110" i="47" s="1"/>
  <c r="AM321" i="47"/>
  <c r="AI321" i="47"/>
  <c r="AD321" i="47"/>
  <c r="Z321" i="47"/>
  <c r="U321" i="47"/>
  <c r="Q321" i="47"/>
  <c r="L321" i="47"/>
  <c r="H321" i="47"/>
  <c r="D321" i="47"/>
  <c r="A322" i="47"/>
  <c r="AL321" i="47"/>
  <c r="AH321" i="47"/>
  <c r="AC321" i="47"/>
  <c r="Y321" i="47"/>
  <c r="T321" i="47"/>
  <c r="P321" i="47"/>
  <c r="K321" i="47"/>
  <c r="G321" i="47"/>
  <c r="C321" i="47"/>
  <c r="AO321" i="47"/>
  <c r="AK321" i="47"/>
  <c r="AF321" i="47"/>
  <c r="AB321" i="47"/>
  <c r="W321" i="47"/>
  <c r="S321" i="47"/>
  <c r="N321" i="47"/>
  <c r="J321" i="47"/>
  <c r="F321" i="47"/>
  <c r="B321" i="47"/>
  <c r="AN321" i="47"/>
  <c r="V321" i="47"/>
  <c r="E321" i="47"/>
  <c r="AJ321" i="47"/>
  <c r="R321" i="47"/>
  <c r="AE321" i="47"/>
  <c r="M321" i="47"/>
  <c r="AA321" i="47"/>
  <c r="I321" i="47"/>
  <c r="AJ109" i="47"/>
  <c r="Z110" i="47"/>
  <c r="D110" i="47"/>
  <c r="A322" i="48" l="1"/>
  <c r="AL321" i="48"/>
  <c r="AH321" i="48"/>
  <c r="AC321" i="48"/>
  <c r="Y321" i="48"/>
  <c r="T321" i="48"/>
  <c r="P321" i="48"/>
  <c r="K321" i="48"/>
  <c r="G321" i="48"/>
  <c r="C321" i="48"/>
  <c r="AM321" i="48"/>
  <c r="AF321" i="48"/>
  <c r="AA321" i="48"/>
  <c r="U321" i="48"/>
  <c r="N321" i="48"/>
  <c r="I321" i="48"/>
  <c r="D321" i="48"/>
  <c r="AK321" i="48"/>
  <c r="AE321" i="48"/>
  <c r="Z321" i="48"/>
  <c r="S321" i="48"/>
  <c r="M321" i="48"/>
  <c r="H321" i="48"/>
  <c r="B321" i="48"/>
  <c r="AJ321" i="48"/>
  <c r="W321" i="48"/>
  <c r="L321" i="48"/>
  <c r="AI321" i="48"/>
  <c r="V321" i="48"/>
  <c r="J321" i="48"/>
  <c r="AO321" i="48"/>
  <c r="R321" i="48"/>
  <c r="AN321" i="48"/>
  <c r="Q321" i="48"/>
  <c r="AD321" i="48"/>
  <c r="F321" i="48"/>
  <c r="AB321" i="48"/>
  <c r="E321" i="48"/>
  <c r="L107" i="48"/>
  <c r="M107" i="48" s="1"/>
  <c r="AA65" i="48"/>
  <c r="Q66" i="48"/>
  <c r="F111" i="47"/>
  <c r="G111" i="47"/>
  <c r="E111" i="47"/>
  <c r="AO322" i="47"/>
  <c r="AK322" i="47"/>
  <c r="AF322" i="47"/>
  <c r="AB322" i="47"/>
  <c r="W322" i="47"/>
  <c r="S322" i="47"/>
  <c r="N322" i="47"/>
  <c r="J322" i="47"/>
  <c r="F322" i="47"/>
  <c r="B322" i="47"/>
  <c r="AN322" i="47"/>
  <c r="AJ322" i="47"/>
  <c r="AE322" i="47"/>
  <c r="AA322" i="47"/>
  <c r="V322" i="47"/>
  <c r="R322" i="47"/>
  <c r="M322" i="47"/>
  <c r="I322" i="47"/>
  <c r="E322" i="47"/>
  <c r="AM322" i="47"/>
  <c r="AI322" i="47"/>
  <c r="AD322" i="47"/>
  <c r="Z322" i="47"/>
  <c r="U322" i="47"/>
  <c r="Q322" i="47"/>
  <c r="L322" i="47"/>
  <c r="H322" i="47"/>
  <c r="D322" i="47"/>
  <c r="AH322" i="47"/>
  <c r="P322" i="47"/>
  <c r="AC322" i="47"/>
  <c r="K322" i="47"/>
  <c r="A323" i="47"/>
  <c r="Y322" i="47"/>
  <c r="G322" i="47"/>
  <c r="AL322" i="47"/>
  <c r="T322" i="47"/>
  <c r="C322" i="47"/>
  <c r="P110" i="47"/>
  <c r="S110" i="47"/>
  <c r="T110" i="47" s="1"/>
  <c r="AH109" i="47"/>
  <c r="AK109" i="47"/>
  <c r="AL109" i="47" s="1"/>
  <c r="N107" i="48" l="1"/>
  <c r="Y65" i="48"/>
  <c r="AB65" i="48"/>
  <c r="AC65" i="48" s="1"/>
  <c r="AN322" i="48"/>
  <c r="AJ322" i="48"/>
  <c r="AE322" i="48"/>
  <c r="AA322" i="48"/>
  <c r="V322" i="48"/>
  <c r="R322" i="48"/>
  <c r="M322" i="48"/>
  <c r="I322" i="48"/>
  <c r="E322" i="48"/>
  <c r="AL322" i="48"/>
  <c r="AF322" i="48"/>
  <c r="Z322" i="48"/>
  <c r="T322" i="48"/>
  <c r="N322" i="48"/>
  <c r="H322" i="48"/>
  <c r="C322" i="48"/>
  <c r="A323" i="48"/>
  <c r="AK322" i="48"/>
  <c r="AD322" i="48"/>
  <c r="Y322" i="48"/>
  <c r="S322" i="48"/>
  <c r="L322" i="48"/>
  <c r="G322" i="48"/>
  <c r="B322" i="48"/>
  <c r="AO322" i="48"/>
  <c r="AC322" i="48"/>
  <c r="Q322" i="48"/>
  <c r="F322" i="48"/>
  <c r="AM322" i="48"/>
  <c r="AB322" i="48"/>
  <c r="P322" i="48"/>
  <c r="D322" i="48"/>
  <c r="W322" i="48"/>
  <c r="U322" i="48"/>
  <c r="AI322" i="48"/>
  <c r="K322" i="48"/>
  <c r="AH322" i="48"/>
  <c r="J322" i="48"/>
  <c r="D107" i="48"/>
  <c r="AI110" i="47"/>
  <c r="AM323" i="47"/>
  <c r="AI323" i="47"/>
  <c r="AD323" i="47"/>
  <c r="Z323" i="47"/>
  <c r="U323" i="47"/>
  <c r="Q323" i="47"/>
  <c r="L323" i="47"/>
  <c r="H323" i="47"/>
  <c r="D323" i="47"/>
  <c r="A324" i="47"/>
  <c r="AL323" i="47"/>
  <c r="AH323" i="47"/>
  <c r="AC323" i="47"/>
  <c r="Y323" i="47"/>
  <c r="T323" i="47"/>
  <c r="P323" i="47"/>
  <c r="K323" i="47"/>
  <c r="G323" i="47"/>
  <c r="C323" i="47"/>
  <c r="AO323" i="47"/>
  <c r="AK323" i="47"/>
  <c r="AF323" i="47"/>
  <c r="AB323" i="47"/>
  <c r="W323" i="47"/>
  <c r="S323" i="47"/>
  <c r="N323" i="47"/>
  <c r="J323" i="47"/>
  <c r="F323" i="47"/>
  <c r="B323" i="47"/>
  <c r="AA323" i="47"/>
  <c r="I323" i="47"/>
  <c r="AN323" i="47"/>
  <c r="V323" i="47"/>
  <c r="E323" i="47"/>
  <c r="AJ323" i="47"/>
  <c r="R323" i="47"/>
  <c r="AE323" i="47"/>
  <c r="M323" i="47"/>
  <c r="AA110" i="47"/>
  <c r="Q111" i="47"/>
  <c r="I111" i="47"/>
  <c r="H111" i="47"/>
  <c r="A324" i="48" l="1"/>
  <c r="AL323" i="48"/>
  <c r="AH323" i="48"/>
  <c r="AC323" i="48"/>
  <c r="Y323" i="48"/>
  <c r="T323" i="48"/>
  <c r="P323" i="48"/>
  <c r="K323" i="48"/>
  <c r="G323" i="48"/>
  <c r="C323" i="48"/>
  <c r="AK323" i="48"/>
  <c r="AE323" i="48"/>
  <c r="Z323" i="48"/>
  <c r="S323" i="48"/>
  <c r="M323" i="48"/>
  <c r="H323" i="48"/>
  <c r="B323" i="48"/>
  <c r="AO323" i="48"/>
  <c r="AJ323" i="48"/>
  <c r="AD323" i="48"/>
  <c r="W323" i="48"/>
  <c r="R323" i="48"/>
  <c r="L323" i="48"/>
  <c r="F323" i="48"/>
  <c r="AI323" i="48"/>
  <c r="V323" i="48"/>
  <c r="J323" i="48"/>
  <c r="AF323" i="48"/>
  <c r="U323" i="48"/>
  <c r="I323" i="48"/>
  <c r="AB323" i="48"/>
  <c r="E323" i="48"/>
  <c r="AA323" i="48"/>
  <c r="D323" i="48"/>
  <c r="AN323" i="48"/>
  <c r="Q323" i="48"/>
  <c r="AM323" i="48"/>
  <c r="N323" i="48"/>
  <c r="F108" i="48"/>
  <c r="G108" i="48"/>
  <c r="E108" i="48"/>
  <c r="AJ65" i="48"/>
  <c r="Z66" i="48"/>
  <c r="Y110" i="47"/>
  <c r="AB110" i="47"/>
  <c r="AC110" i="47" s="1"/>
  <c r="AO324" i="47"/>
  <c r="AK324" i="47"/>
  <c r="AF324" i="47"/>
  <c r="AB324" i="47"/>
  <c r="W324" i="47"/>
  <c r="S324" i="47"/>
  <c r="N324" i="47"/>
  <c r="J324" i="47"/>
  <c r="F324" i="47"/>
  <c r="B324" i="47"/>
  <c r="AN324" i="47"/>
  <c r="AJ324" i="47"/>
  <c r="AE324" i="47"/>
  <c r="AA324" i="47"/>
  <c r="V324" i="47"/>
  <c r="R324" i="47"/>
  <c r="M324" i="47"/>
  <c r="I324" i="47"/>
  <c r="E324" i="47"/>
  <c r="AM324" i="47"/>
  <c r="AI324" i="47"/>
  <c r="AD324" i="47"/>
  <c r="Z324" i="47"/>
  <c r="U324" i="47"/>
  <c r="Q324" i="47"/>
  <c r="L324" i="47"/>
  <c r="H324" i="47"/>
  <c r="D324" i="47"/>
  <c r="AL324" i="47"/>
  <c r="T324" i="47"/>
  <c r="C324" i="47"/>
  <c r="AH324" i="47"/>
  <c r="P324" i="47"/>
  <c r="AC324" i="47"/>
  <c r="K324" i="47"/>
  <c r="A325" i="47"/>
  <c r="Y324" i="47"/>
  <c r="G324" i="47"/>
  <c r="N111" i="47"/>
  <c r="R111" i="47" s="1"/>
  <c r="P111" i="47" s="1"/>
  <c r="L111" i="47"/>
  <c r="M111" i="47" s="1"/>
  <c r="I108" i="48" l="1"/>
  <c r="H108" i="48"/>
  <c r="AH65" i="48"/>
  <c r="AK65" i="48"/>
  <c r="AL65" i="48" s="1"/>
  <c r="AN324" i="48"/>
  <c r="AJ324" i="48"/>
  <c r="AE324" i="48"/>
  <c r="AA324" i="48"/>
  <c r="V324" i="48"/>
  <c r="R324" i="48"/>
  <c r="M324" i="48"/>
  <c r="I324" i="48"/>
  <c r="E324" i="48"/>
  <c r="A325" i="48"/>
  <c r="AK324" i="48"/>
  <c r="AD324" i="48"/>
  <c r="Y324" i="48"/>
  <c r="S324" i="48"/>
  <c r="L324" i="48"/>
  <c r="G324" i="48"/>
  <c r="B324" i="48"/>
  <c r="AO324" i="48"/>
  <c r="AI324" i="48"/>
  <c r="AC324" i="48"/>
  <c r="W324" i="48"/>
  <c r="Q324" i="48"/>
  <c r="K324" i="48"/>
  <c r="F324" i="48"/>
  <c r="AM324" i="48"/>
  <c r="AB324" i="48"/>
  <c r="P324" i="48"/>
  <c r="D324" i="48"/>
  <c r="AL324" i="48"/>
  <c r="Z324" i="48"/>
  <c r="N324" i="48"/>
  <c r="C324" i="48"/>
  <c r="AH324" i="48"/>
  <c r="J324" i="48"/>
  <c r="AF324" i="48"/>
  <c r="H324" i="48"/>
  <c r="U324" i="48"/>
  <c r="T324" i="48"/>
  <c r="AA111" i="47"/>
  <c r="Y111" i="47" s="1"/>
  <c r="Q112" i="47"/>
  <c r="AM325" i="47"/>
  <c r="AI325" i="47"/>
  <c r="AD325" i="47"/>
  <c r="Z325" i="47"/>
  <c r="U325" i="47"/>
  <c r="Q325" i="47"/>
  <c r="L325" i="47"/>
  <c r="H325" i="47"/>
  <c r="D325" i="47"/>
  <c r="A326" i="47"/>
  <c r="AL325" i="47"/>
  <c r="AH325" i="47"/>
  <c r="AC325" i="47"/>
  <c r="Y325" i="47"/>
  <c r="T325" i="47"/>
  <c r="P325" i="47"/>
  <c r="K325" i="47"/>
  <c r="G325" i="47"/>
  <c r="C325" i="47"/>
  <c r="AO325" i="47"/>
  <c r="AK325" i="47"/>
  <c r="AF325" i="47"/>
  <c r="AB325" i="47"/>
  <c r="W325" i="47"/>
  <c r="S325" i="47"/>
  <c r="N325" i="47"/>
  <c r="J325" i="47"/>
  <c r="F325" i="47"/>
  <c r="B325" i="47"/>
  <c r="AE325" i="47"/>
  <c r="M325" i="47"/>
  <c r="AA325" i="47"/>
  <c r="I325" i="47"/>
  <c r="AN325" i="47"/>
  <c r="V325" i="47"/>
  <c r="E325" i="47"/>
  <c r="AJ325" i="47"/>
  <c r="R325" i="47"/>
  <c r="S111" i="47"/>
  <c r="T111" i="47" s="1"/>
  <c r="D111" i="47"/>
  <c r="AJ110" i="47"/>
  <c r="Z111" i="47"/>
  <c r="AB111" i="47" l="1"/>
  <c r="AC111" i="47" s="1"/>
  <c r="A326" i="48"/>
  <c r="AL325" i="48"/>
  <c r="AH325" i="48"/>
  <c r="AC325" i="48"/>
  <c r="Y325" i="48"/>
  <c r="T325" i="48"/>
  <c r="P325" i="48"/>
  <c r="K325" i="48"/>
  <c r="G325" i="48"/>
  <c r="C325" i="48"/>
  <c r="AO325" i="48"/>
  <c r="AJ325" i="48"/>
  <c r="AD325" i="48"/>
  <c r="W325" i="48"/>
  <c r="R325" i="48"/>
  <c r="L325" i="48"/>
  <c r="F325" i="48"/>
  <c r="AN325" i="48"/>
  <c r="AI325" i="48"/>
  <c r="AB325" i="48"/>
  <c r="V325" i="48"/>
  <c r="Q325" i="48"/>
  <c r="J325" i="48"/>
  <c r="E325" i="48"/>
  <c r="AF325" i="48"/>
  <c r="U325" i="48"/>
  <c r="I325" i="48"/>
  <c r="AE325" i="48"/>
  <c r="S325" i="48"/>
  <c r="H325" i="48"/>
  <c r="AM325" i="48"/>
  <c r="N325" i="48"/>
  <c r="AK325" i="48"/>
  <c r="M325" i="48"/>
  <c r="AA325" i="48"/>
  <c r="D325" i="48"/>
  <c r="Z325" i="48"/>
  <c r="B325" i="48"/>
  <c r="AI66" i="48"/>
  <c r="L108" i="48"/>
  <c r="M108" i="48" s="1"/>
  <c r="AJ111" i="47"/>
  <c r="Z112" i="47"/>
  <c r="AH110" i="47"/>
  <c r="AK110" i="47"/>
  <c r="AL110" i="47" s="1"/>
  <c r="AO326" i="47"/>
  <c r="AK326" i="47"/>
  <c r="AF326" i="47"/>
  <c r="AB326" i="47"/>
  <c r="W326" i="47"/>
  <c r="S326" i="47"/>
  <c r="N326" i="47"/>
  <c r="J326" i="47"/>
  <c r="F326" i="47"/>
  <c r="B326" i="47"/>
  <c r="AN326" i="47"/>
  <c r="AJ326" i="47"/>
  <c r="AE326" i="47"/>
  <c r="AA326" i="47"/>
  <c r="V326" i="47"/>
  <c r="R326" i="47"/>
  <c r="M326" i="47"/>
  <c r="I326" i="47"/>
  <c r="E326" i="47"/>
  <c r="AM326" i="47"/>
  <c r="AI326" i="47"/>
  <c r="AD326" i="47"/>
  <c r="Z326" i="47"/>
  <c r="U326" i="47"/>
  <c r="Q326" i="47"/>
  <c r="L326" i="47"/>
  <c r="H326" i="47"/>
  <c r="D326" i="47"/>
  <c r="A327" i="47"/>
  <c r="Y326" i="47"/>
  <c r="G326" i="47"/>
  <c r="AL326" i="47"/>
  <c r="T326" i="47"/>
  <c r="C326" i="47"/>
  <c r="AH326" i="47"/>
  <c r="P326" i="47"/>
  <c r="AC326" i="47"/>
  <c r="K326" i="47"/>
  <c r="G112" i="47"/>
  <c r="F112" i="47"/>
  <c r="E112" i="47"/>
  <c r="D108" i="48" l="1"/>
  <c r="N108" i="48"/>
  <c r="AN326" i="48"/>
  <c r="AJ326" i="48"/>
  <c r="AE326" i="48"/>
  <c r="AA326" i="48"/>
  <c r="V326" i="48"/>
  <c r="R326" i="48"/>
  <c r="M326" i="48"/>
  <c r="I326" i="48"/>
  <c r="E326" i="48"/>
  <c r="AO326" i="48"/>
  <c r="AI326" i="48"/>
  <c r="AC326" i="48"/>
  <c r="W326" i="48"/>
  <c r="Q326" i="48"/>
  <c r="K326" i="48"/>
  <c r="F326" i="48"/>
  <c r="AM326" i="48"/>
  <c r="AH326" i="48"/>
  <c r="AB326" i="48"/>
  <c r="U326" i="48"/>
  <c r="P326" i="48"/>
  <c r="J326" i="48"/>
  <c r="D326" i="48"/>
  <c r="AL326" i="48"/>
  <c r="Z326" i="48"/>
  <c r="N326" i="48"/>
  <c r="C326" i="48"/>
  <c r="AK326" i="48"/>
  <c r="Y326" i="48"/>
  <c r="L326" i="48"/>
  <c r="B326" i="48"/>
  <c r="T326" i="48"/>
  <c r="A327" i="48"/>
  <c r="S326" i="48"/>
  <c r="AF326" i="48"/>
  <c r="H326" i="48"/>
  <c r="G326" i="48"/>
  <c r="AD326" i="48"/>
  <c r="R66" i="48"/>
  <c r="AM327" i="47"/>
  <c r="AI327" i="47"/>
  <c r="AD327" i="47"/>
  <c r="Z327" i="47"/>
  <c r="U327" i="47"/>
  <c r="Q327" i="47"/>
  <c r="L327" i="47"/>
  <c r="H327" i="47"/>
  <c r="D327" i="47"/>
  <c r="A328" i="47"/>
  <c r="AL327" i="47"/>
  <c r="AH327" i="47"/>
  <c r="AC327" i="47"/>
  <c r="Y327" i="47"/>
  <c r="T327" i="47"/>
  <c r="P327" i="47"/>
  <c r="K327" i="47"/>
  <c r="G327" i="47"/>
  <c r="C327" i="47"/>
  <c r="AO327" i="47"/>
  <c r="AK327" i="47"/>
  <c r="AF327" i="47"/>
  <c r="AB327" i="47"/>
  <c r="W327" i="47"/>
  <c r="S327" i="47"/>
  <c r="N327" i="47"/>
  <c r="J327" i="47"/>
  <c r="F327" i="47"/>
  <c r="B327" i="47"/>
  <c r="AJ327" i="47"/>
  <c r="R327" i="47"/>
  <c r="AE327" i="47"/>
  <c r="M327" i="47"/>
  <c r="AA327" i="47"/>
  <c r="I327" i="47"/>
  <c r="AN327" i="47"/>
  <c r="V327" i="47"/>
  <c r="E327" i="47"/>
  <c r="H112" i="47"/>
  <c r="AH111" i="47"/>
  <c r="AI111" i="47"/>
  <c r="AK111" i="47" s="1"/>
  <c r="AL111" i="47" s="1"/>
  <c r="I112" i="47"/>
  <c r="A328" i="48" l="1"/>
  <c r="AL327" i="48"/>
  <c r="AH327" i="48"/>
  <c r="AC327" i="48"/>
  <c r="Y327" i="48"/>
  <c r="T327" i="48"/>
  <c r="P327" i="48"/>
  <c r="K327" i="48"/>
  <c r="G327" i="48"/>
  <c r="C327" i="48"/>
  <c r="AN327" i="48"/>
  <c r="AI327" i="48"/>
  <c r="AB327" i="48"/>
  <c r="V327" i="48"/>
  <c r="Q327" i="48"/>
  <c r="J327" i="48"/>
  <c r="E327" i="48"/>
  <c r="AM327" i="48"/>
  <c r="AF327" i="48"/>
  <c r="AA327" i="48"/>
  <c r="U327" i="48"/>
  <c r="N327" i="48"/>
  <c r="I327" i="48"/>
  <c r="D327" i="48"/>
  <c r="AE327" i="48"/>
  <c r="S327" i="48"/>
  <c r="H327" i="48"/>
  <c r="AO327" i="48"/>
  <c r="AD327" i="48"/>
  <c r="R327" i="48"/>
  <c r="F327" i="48"/>
  <c r="Z327" i="48"/>
  <c r="B327" i="48"/>
  <c r="W327" i="48"/>
  <c r="AK327" i="48"/>
  <c r="M327" i="48"/>
  <c r="AJ327" i="48"/>
  <c r="L327" i="48"/>
  <c r="P66" i="48"/>
  <c r="S66" i="48"/>
  <c r="T66" i="48" s="1"/>
  <c r="F109" i="48"/>
  <c r="G109" i="48"/>
  <c r="E109" i="48"/>
  <c r="AI112" i="47"/>
  <c r="AO328" i="47"/>
  <c r="AK328" i="47"/>
  <c r="AF328" i="47"/>
  <c r="AB328" i="47"/>
  <c r="W328" i="47"/>
  <c r="S328" i="47"/>
  <c r="N328" i="47"/>
  <c r="J328" i="47"/>
  <c r="F328" i="47"/>
  <c r="B328" i="47"/>
  <c r="AN328" i="47"/>
  <c r="AJ328" i="47"/>
  <c r="AE328" i="47"/>
  <c r="AA328" i="47"/>
  <c r="V328" i="47"/>
  <c r="R328" i="47"/>
  <c r="M328" i="47"/>
  <c r="I328" i="47"/>
  <c r="E328" i="47"/>
  <c r="AM328" i="47"/>
  <c r="AI328" i="47"/>
  <c r="AD328" i="47"/>
  <c r="Z328" i="47"/>
  <c r="U328" i="47"/>
  <c r="Q328" i="47"/>
  <c r="L328" i="47"/>
  <c r="H328" i="47"/>
  <c r="D328" i="47"/>
  <c r="A329" i="47"/>
  <c r="AL328" i="47"/>
  <c r="AH328" i="47"/>
  <c r="AC328" i="47"/>
  <c r="Y328" i="47"/>
  <c r="T328" i="47"/>
  <c r="P328" i="47"/>
  <c r="K328" i="47"/>
  <c r="G328" i="47"/>
  <c r="C328" i="47"/>
  <c r="L112" i="47"/>
  <c r="M112" i="47" s="1"/>
  <c r="N112" i="47" l="1"/>
  <c r="R112" i="47" s="1"/>
  <c r="H109" i="48"/>
  <c r="AA66" i="48"/>
  <c r="Q67" i="48"/>
  <c r="I109" i="48"/>
  <c r="AN328" i="48"/>
  <c r="AJ328" i="48"/>
  <c r="AE328" i="48"/>
  <c r="AA328" i="48"/>
  <c r="V328" i="48"/>
  <c r="R328" i="48"/>
  <c r="M328" i="48"/>
  <c r="I328" i="48"/>
  <c r="E328" i="48"/>
  <c r="AM328" i="48"/>
  <c r="AH328" i="48"/>
  <c r="AB328" i="48"/>
  <c r="U328" i="48"/>
  <c r="P328" i="48"/>
  <c r="J328" i="48"/>
  <c r="D328" i="48"/>
  <c r="AL328" i="48"/>
  <c r="AF328" i="48"/>
  <c r="Z328" i="48"/>
  <c r="T328" i="48"/>
  <c r="N328" i="48"/>
  <c r="H328" i="48"/>
  <c r="C328" i="48"/>
  <c r="AK328" i="48"/>
  <c r="Y328" i="48"/>
  <c r="L328" i="48"/>
  <c r="B328" i="48"/>
  <c r="AI328" i="48"/>
  <c r="W328" i="48"/>
  <c r="K328" i="48"/>
  <c r="AD328" i="48"/>
  <c r="G328" i="48"/>
  <c r="AC328" i="48"/>
  <c r="F328" i="48"/>
  <c r="A329" i="48"/>
  <c r="S328" i="48"/>
  <c r="Q328" i="48"/>
  <c r="AO328" i="48"/>
  <c r="P112" i="47"/>
  <c r="S112" i="47"/>
  <c r="T112" i="47" s="1"/>
  <c r="D112" i="47"/>
  <c r="AM329" i="47"/>
  <c r="AI329" i="47"/>
  <c r="AD329" i="47"/>
  <c r="Z329" i="47"/>
  <c r="U329" i="47"/>
  <c r="Q329" i="47"/>
  <c r="L329" i="47"/>
  <c r="H329" i="47"/>
  <c r="D329" i="47"/>
  <c r="A330" i="47"/>
  <c r="AL329" i="47"/>
  <c r="AH329" i="47"/>
  <c r="AC329" i="47"/>
  <c r="Y329" i="47"/>
  <c r="T329" i="47"/>
  <c r="P329" i="47"/>
  <c r="K329" i="47"/>
  <c r="G329" i="47"/>
  <c r="C329" i="47"/>
  <c r="AO329" i="47"/>
  <c r="AK329" i="47"/>
  <c r="AF329" i="47"/>
  <c r="AB329" i="47"/>
  <c r="W329" i="47"/>
  <c r="S329" i="47"/>
  <c r="N329" i="47"/>
  <c r="J329" i="47"/>
  <c r="F329" i="47"/>
  <c r="B329" i="47"/>
  <c r="AN329" i="47"/>
  <c r="AJ329" i="47"/>
  <c r="AE329" i="47"/>
  <c r="AA329" i="47"/>
  <c r="V329" i="47"/>
  <c r="R329" i="47"/>
  <c r="M329" i="47"/>
  <c r="I329" i="47"/>
  <c r="E329" i="47"/>
  <c r="A330" i="48" l="1"/>
  <c r="AL329" i="48"/>
  <c r="AH329" i="48"/>
  <c r="AC329" i="48"/>
  <c r="Y329" i="48"/>
  <c r="T329" i="48"/>
  <c r="P329" i="48"/>
  <c r="K329" i="48"/>
  <c r="G329" i="48"/>
  <c r="C329" i="48"/>
  <c r="AM329" i="48"/>
  <c r="AF329" i="48"/>
  <c r="AA329" i="48"/>
  <c r="U329" i="48"/>
  <c r="N329" i="48"/>
  <c r="I329" i="48"/>
  <c r="D329" i="48"/>
  <c r="AK329" i="48"/>
  <c r="AE329" i="48"/>
  <c r="Z329" i="48"/>
  <c r="S329" i="48"/>
  <c r="M329" i="48"/>
  <c r="H329" i="48"/>
  <c r="B329" i="48"/>
  <c r="AO329" i="48"/>
  <c r="AD329" i="48"/>
  <c r="R329" i="48"/>
  <c r="F329" i="48"/>
  <c r="AN329" i="48"/>
  <c r="AB329" i="48"/>
  <c r="Q329" i="48"/>
  <c r="E329" i="48"/>
  <c r="AJ329" i="48"/>
  <c r="L329" i="48"/>
  <c r="AI329" i="48"/>
  <c r="J329" i="48"/>
  <c r="W329" i="48"/>
  <c r="V329" i="48"/>
  <c r="Y66" i="48"/>
  <c r="AB66" i="48"/>
  <c r="AC66" i="48" s="1"/>
  <c r="L109" i="48"/>
  <c r="M109" i="48" s="1"/>
  <c r="G113" i="47"/>
  <c r="F113" i="47"/>
  <c r="H113" i="47" s="1"/>
  <c r="E113" i="47"/>
  <c r="AO330" i="47"/>
  <c r="AK330" i="47"/>
  <c r="AF330" i="47"/>
  <c r="AB330" i="47"/>
  <c r="W330" i="47"/>
  <c r="S330" i="47"/>
  <c r="N330" i="47"/>
  <c r="J330" i="47"/>
  <c r="F330" i="47"/>
  <c r="B330" i="47"/>
  <c r="AN330" i="47"/>
  <c r="AJ330" i="47"/>
  <c r="AE330" i="47"/>
  <c r="AA330" i="47"/>
  <c r="V330" i="47"/>
  <c r="R330" i="47"/>
  <c r="M330" i="47"/>
  <c r="I330" i="47"/>
  <c r="E330" i="47"/>
  <c r="AM330" i="47"/>
  <c r="AI330" i="47"/>
  <c r="AD330" i="47"/>
  <c r="Z330" i="47"/>
  <c r="U330" i="47"/>
  <c r="Q330" i="47"/>
  <c r="L330" i="47"/>
  <c r="H330" i="47"/>
  <c r="D330" i="47"/>
  <c r="A331" i="47"/>
  <c r="AL330" i="47"/>
  <c r="AH330" i="47"/>
  <c r="AC330" i="47"/>
  <c r="Y330" i="47"/>
  <c r="T330" i="47"/>
  <c r="P330" i="47"/>
  <c r="K330" i="47"/>
  <c r="G330" i="47"/>
  <c r="C330" i="47"/>
  <c r="AA112" i="47"/>
  <c r="Q113" i="47"/>
  <c r="D109" i="48" l="1"/>
  <c r="N109" i="48"/>
  <c r="AJ66" i="48"/>
  <c r="Z67" i="48"/>
  <c r="F110" i="48"/>
  <c r="G110" i="48"/>
  <c r="E110" i="48"/>
  <c r="AN330" i="48"/>
  <c r="AJ330" i="48"/>
  <c r="AE330" i="48"/>
  <c r="AA330" i="48"/>
  <c r="V330" i="48"/>
  <c r="R330" i="48"/>
  <c r="M330" i="48"/>
  <c r="I330" i="48"/>
  <c r="E330" i="48"/>
  <c r="AL330" i="48"/>
  <c r="AF330" i="48"/>
  <c r="Z330" i="48"/>
  <c r="T330" i="48"/>
  <c r="N330" i="48"/>
  <c r="H330" i="48"/>
  <c r="C330" i="48"/>
  <c r="A331" i="48"/>
  <c r="AK330" i="48"/>
  <c r="AD330" i="48"/>
  <c r="Y330" i="48"/>
  <c r="S330" i="48"/>
  <c r="L330" i="48"/>
  <c r="G330" i="48"/>
  <c r="B330" i="48"/>
  <c r="AI330" i="48"/>
  <c r="W330" i="48"/>
  <c r="K330" i="48"/>
  <c r="AH330" i="48"/>
  <c r="U330" i="48"/>
  <c r="J330" i="48"/>
  <c r="AO330" i="48"/>
  <c r="Q330" i="48"/>
  <c r="AM330" i="48"/>
  <c r="P330" i="48"/>
  <c r="AC330" i="48"/>
  <c r="F330" i="48"/>
  <c r="AB330" i="48"/>
  <c r="D330" i="48"/>
  <c r="AM331" i="47"/>
  <c r="AI331" i="47"/>
  <c r="AD331" i="47"/>
  <c r="Z331" i="47"/>
  <c r="U331" i="47"/>
  <c r="Q331" i="47"/>
  <c r="L331" i="47"/>
  <c r="H331" i="47"/>
  <c r="D331" i="47"/>
  <c r="A332" i="47"/>
  <c r="AL331" i="47"/>
  <c r="AH331" i="47"/>
  <c r="AC331" i="47"/>
  <c r="Y331" i="47"/>
  <c r="T331" i="47"/>
  <c r="P331" i="47"/>
  <c r="K331" i="47"/>
  <c r="G331" i="47"/>
  <c r="C331" i="47"/>
  <c r="AO331" i="47"/>
  <c r="AK331" i="47"/>
  <c r="AF331" i="47"/>
  <c r="AB331" i="47"/>
  <c r="W331" i="47"/>
  <c r="S331" i="47"/>
  <c r="N331" i="47"/>
  <c r="J331" i="47"/>
  <c r="F331" i="47"/>
  <c r="B331" i="47"/>
  <c r="AN331" i="47"/>
  <c r="AJ331" i="47"/>
  <c r="AE331" i="47"/>
  <c r="AA331" i="47"/>
  <c r="V331" i="47"/>
  <c r="R331" i="47"/>
  <c r="M331" i="47"/>
  <c r="I331" i="47"/>
  <c r="E331" i="47"/>
  <c r="Y112" i="47"/>
  <c r="AB112" i="47"/>
  <c r="AC112" i="47" s="1"/>
  <c r="I113" i="47"/>
  <c r="H110" i="48" l="1"/>
  <c r="I110" i="48"/>
  <c r="A332" i="48"/>
  <c r="AL331" i="48"/>
  <c r="AH331" i="48"/>
  <c r="AC331" i="48"/>
  <c r="Y331" i="48"/>
  <c r="T331" i="48"/>
  <c r="P331" i="48"/>
  <c r="K331" i="48"/>
  <c r="G331" i="48"/>
  <c r="C331" i="48"/>
  <c r="AK331" i="48"/>
  <c r="AE331" i="48"/>
  <c r="Z331" i="48"/>
  <c r="S331" i="48"/>
  <c r="M331" i="48"/>
  <c r="H331" i="48"/>
  <c r="B331" i="48"/>
  <c r="AO331" i="48"/>
  <c r="AJ331" i="48"/>
  <c r="AD331" i="48"/>
  <c r="W331" i="48"/>
  <c r="R331" i="48"/>
  <c r="L331" i="48"/>
  <c r="F331" i="48"/>
  <c r="AN331" i="48"/>
  <c r="AB331" i="48"/>
  <c r="Q331" i="48"/>
  <c r="E331" i="48"/>
  <c r="AM331" i="48"/>
  <c r="AA331" i="48"/>
  <c r="N331" i="48"/>
  <c r="D331" i="48"/>
  <c r="V331" i="48"/>
  <c r="U331" i="48"/>
  <c r="AI331" i="48"/>
  <c r="J331" i="48"/>
  <c r="AF331" i="48"/>
  <c r="I331" i="48"/>
  <c r="AH66" i="48"/>
  <c r="AK66" i="48"/>
  <c r="AL66" i="48" s="1"/>
  <c r="AJ112" i="47"/>
  <c r="Z113" i="47"/>
  <c r="L113" i="47"/>
  <c r="M113" i="47" s="1"/>
  <c r="A333" i="47"/>
  <c r="AL332" i="47"/>
  <c r="AH332" i="47"/>
  <c r="AO332" i="47"/>
  <c r="AN332" i="47"/>
  <c r="AJ332" i="47"/>
  <c r="AF332" i="47"/>
  <c r="AB332" i="47"/>
  <c r="W332" i="47"/>
  <c r="S332" i="47"/>
  <c r="N332" i="47"/>
  <c r="J332" i="47"/>
  <c r="F332" i="47"/>
  <c r="B332" i="47"/>
  <c r="AM332" i="47"/>
  <c r="AE332" i="47"/>
  <c r="AA332" i="47"/>
  <c r="V332" i="47"/>
  <c r="R332" i="47"/>
  <c r="M332" i="47"/>
  <c r="I332" i="47"/>
  <c r="E332" i="47"/>
  <c r="AK332" i="47"/>
  <c r="AD332" i="47"/>
  <c r="Z332" i="47"/>
  <c r="U332" i="47"/>
  <c r="Q332" i="47"/>
  <c r="L332" i="47"/>
  <c r="H332" i="47"/>
  <c r="D332" i="47"/>
  <c r="AI332" i="47"/>
  <c r="AC332" i="47"/>
  <c r="Y332" i="47"/>
  <c r="T332" i="47"/>
  <c r="P332" i="47"/>
  <c r="K332" i="47"/>
  <c r="G332" i="47"/>
  <c r="C332" i="47"/>
  <c r="N113" i="47" l="1"/>
  <c r="R113" i="47" s="1"/>
  <c r="S113" i="47" s="1"/>
  <c r="T113" i="47" s="1"/>
  <c r="AN332" i="48"/>
  <c r="AJ332" i="48"/>
  <c r="AE332" i="48"/>
  <c r="AA332" i="48"/>
  <c r="V332" i="48"/>
  <c r="R332" i="48"/>
  <c r="M332" i="48"/>
  <c r="I332" i="48"/>
  <c r="E332" i="48"/>
  <c r="A333" i="48"/>
  <c r="AK332" i="48"/>
  <c r="AD332" i="48"/>
  <c r="Y332" i="48"/>
  <c r="S332" i="48"/>
  <c r="L332" i="48"/>
  <c r="G332" i="48"/>
  <c r="B332" i="48"/>
  <c r="AO332" i="48"/>
  <c r="AI332" i="48"/>
  <c r="AC332" i="48"/>
  <c r="W332" i="48"/>
  <c r="Q332" i="48"/>
  <c r="K332" i="48"/>
  <c r="F332" i="48"/>
  <c r="AH332" i="48"/>
  <c r="U332" i="48"/>
  <c r="J332" i="48"/>
  <c r="AF332" i="48"/>
  <c r="T332" i="48"/>
  <c r="H332" i="48"/>
  <c r="AB332" i="48"/>
  <c r="D332" i="48"/>
  <c r="Z332" i="48"/>
  <c r="C332" i="48"/>
  <c r="AM332" i="48"/>
  <c r="P332" i="48"/>
  <c r="AL332" i="48"/>
  <c r="N332" i="48"/>
  <c r="AI67" i="48"/>
  <c r="L110" i="48"/>
  <c r="M110" i="48" s="1"/>
  <c r="P113" i="47"/>
  <c r="AN333" i="47"/>
  <c r="AJ333" i="47"/>
  <c r="AE333" i="47"/>
  <c r="AA333" i="47"/>
  <c r="V333" i="47"/>
  <c r="R333" i="47"/>
  <c r="M333" i="47"/>
  <c r="I333" i="47"/>
  <c r="E333" i="47"/>
  <c r="AM333" i="47"/>
  <c r="AI333" i="47"/>
  <c r="AD333" i="47"/>
  <c r="Z333" i="47"/>
  <c r="U333" i="47"/>
  <c r="Q333" i="47"/>
  <c r="L333" i="47"/>
  <c r="H333" i="47"/>
  <c r="D333" i="47"/>
  <c r="A334" i="47"/>
  <c r="AL333" i="47"/>
  <c r="AH333" i="47"/>
  <c r="AC333" i="47"/>
  <c r="Y333" i="47"/>
  <c r="T333" i="47"/>
  <c r="P333" i="47"/>
  <c r="K333" i="47"/>
  <c r="G333" i="47"/>
  <c r="C333" i="47"/>
  <c r="AK333" i="47"/>
  <c r="S333" i="47"/>
  <c r="B333" i="47"/>
  <c r="AF333" i="47"/>
  <c r="N333" i="47"/>
  <c r="AB333" i="47"/>
  <c r="J333" i="47"/>
  <c r="AO333" i="47"/>
  <c r="W333" i="47"/>
  <c r="F333" i="47"/>
  <c r="D113" i="47"/>
  <c r="AH112" i="47"/>
  <c r="AK112" i="47"/>
  <c r="AL112" i="47" s="1"/>
  <c r="D110" i="48" l="1"/>
  <c r="R67" i="48"/>
  <c r="A334" i="48"/>
  <c r="AL333" i="48"/>
  <c r="AH333" i="48"/>
  <c r="AC333" i="48"/>
  <c r="Y333" i="48"/>
  <c r="T333" i="48"/>
  <c r="P333" i="48"/>
  <c r="K333" i="48"/>
  <c r="G333" i="48"/>
  <c r="C333" i="48"/>
  <c r="AO333" i="48"/>
  <c r="AJ333" i="48"/>
  <c r="AD333" i="48"/>
  <c r="W333" i="48"/>
  <c r="R333" i="48"/>
  <c r="L333" i="48"/>
  <c r="F333" i="48"/>
  <c r="AN333" i="48"/>
  <c r="AI333" i="48"/>
  <c r="AB333" i="48"/>
  <c r="V333" i="48"/>
  <c r="Q333" i="48"/>
  <c r="J333" i="48"/>
  <c r="E333" i="48"/>
  <c r="AM333" i="48"/>
  <c r="AA333" i="48"/>
  <c r="N333" i="48"/>
  <c r="D333" i="48"/>
  <c r="AK333" i="48"/>
  <c r="Z333" i="48"/>
  <c r="M333" i="48"/>
  <c r="B333" i="48"/>
  <c r="AF333" i="48"/>
  <c r="I333" i="48"/>
  <c r="AE333" i="48"/>
  <c r="H333" i="48"/>
  <c r="U333" i="48"/>
  <c r="S333" i="48"/>
  <c r="N110" i="48"/>
  <c r="AI113" i="47"/>
  <c r="F114" i="47"/>
  <c r="G114" i="47"/>
  <c r="E114" i="47"/>
  <c r="A335" i="47"/>
  <c r="AL334" i="47"/>
  <c r="AH334" i="47"/>
  <c r="AC334" i="47"/>
  <c r="Y334" i="47"/>
  <c r="T334" i="47"/>
  <c r="P334" i="47"/>
  <c r="K334" i="47"/>
  <c r="G334" i="47"/>
  <c r="C334" i="47"/>
  <c r="AO334" i="47"/>
  <c r="AK334" i="47"/>
  <c r="AF334" i="47"/>
  <c r="AB334" i="47"/>
  <c r="W334" i="47"/>
  <c r="S334" i="47"/>
  <c r="N334" i="47"/>
  <c r="J334" i="47"/>
  <c r="F334" i="47"/>
  <c r="B334" i="47"/>
  <c r="AN334" i="47"/>
  <c r="AJ334" i="47"/>
  <c r="AE334" i="47"/>
  <c r="AA334" i="47"/>
  <c r="V334" i="47"/>
  <c r="R334" i="47"/>
  <c r="M334" i="47"/>
  <c r="I334" i="47"/>
  <c r="E334" i="47"/>
  <c r="AD334" i="47"/>
  <c r="L334" i="47"/>
  <c r="Z334" i="47"/>
  <c r="H334" i="47"/>
  <c r="AM334" i="47"/>
  <c r="U334" i="47"/>
  <c r="D334" i="47"/>
  <c r="AI334" i="47"/>
  <c r="Q334" i="47"/>
  <c r="AA113" i="47"/>
  <c r="Q114" i="47"/>
  <c r="H114" i="47" l="1"/>
  <c r="AN334" i="48"/>
  <c r="AJ334" i="48"/>
  <c r="AE334" i="48"/>
  <c r="AA334" i="48"/>
  <c r="V334" i="48"/>
  <c r="R334" i="48"/>
  <c r="M334" i="48"/>
  <c r="I334" i="48"/>
  <c r="E334" i="48"/>
  <c r="AO334" i="48"/>
  <c r="AI334" i="48"/>
  <c r="AC334" i="48"/>
  <c r="W334" i="48"/>
  <c r="Q334" i="48"/>
  <c r="K334" i="48"/>
  <c r="F334" i="48"/>
  <c r="AM334" i="48"/>
  <c r="AH334" i="48"/>
  <c r="AB334" i="48"/>
  <c r="U334" i="48"/>
  <c r="P334" i="48"/>
  <c r="J334" i="48"/>
  <c r="D334" i="48"/>
  <c r="AF334" i="48"/>
  <c r="T334" i="48"/>
  <c r="H334" i="48"/>
  <c r="A335" i="48"/>
  <c r="AD334" i="48"/>
  <c r="S334" i="48"/>
  <c r="G334" i="48"/>
  <c r="AL334" i="48"/>
  <c r="N334" i="48"/>
  <c r="AK334" i="48"/>
  <c r="L334" i="48"/>
  <c r="Z334" i="48"/>
  <c r="C334" i="48"/>
  <c r="Y334" i="48"/>
  <c r="B334" i="48"/>
  <c r="P67" i="48"/>
  <c r="S67" i="48"/>
  <c r="T67" i="48" s="1"/>
  <c r="G111" i="48"/>
  <c r="F111" i="48"/>
  <c r="E111" i="48"/>
  <c r="Y113" i="47"/>
  <c r="AB113" i="47"/>
  <c r="AC113" i="47" s="1"/>
  <c r="I114" i="47"/>
  <c r="AN335" i="47"/>
  <c r="AJ335" i="47"/>
  <c r="AE335" i="47"/>
  <c r="AA335" i="47"/>
  <c r="V335" i="47"/>
  <c r="R335" i="47"/>
  <c r="M335" i="47"/>
  <c r="I335" i="47"/>
  <c r="E335" i="47"/>
  <c r="AM335" i="47"/>
  <c r="AI335" i="47"/>
  <c r="AD335" i="47"/>
  <c r="Z335" i="47"/>
  <c r="U335" i="47"/>
  <c r="Q335" i="47"/>
  <c r="L335" i="47"/>
  <c r="H335" i="47"/>
  <c r="D335" i="47"/>
  <c r="A336" i="47"/>
  <c r="AL335" i="47"/>
  <c r="AH335" i="47"/>
  <c r="AC335" i="47"/>
  <c r="Y335" i="47"/>
  <c r="T335" i="47"/>
  <c r="P335" i="47"/>
  <c r="K335" i="47"/>
  <c r="G335" i="47"/>
  <c r="C335" i="47"/>
  <c r="AO335" i="47"/>
  <c r="W335" i="47"/>
  <c r="F335" i="47"/>
  <c r="AK335" i="47"/>
  <c r="S335" i="47"/>
  <c r="B335" i="47"/>
  <c r="AF335" i="47"/>
  <c r="N335" i="47"/>
  <c r="AB335" i="47"/>
  <c r="J335" i="47"/>
  <c r="AA67" i="48" l="1"/>
  <c r="Q68" i="48"/>
  <c r="A336" i="48"/>
  <c r="AL335" i="48"/>
  <c r="AH335" i="48"/>
  <c r="AC335" i="48"/>
  <c r="Y335" i="48"/>
  <c r="T335" i="48"/>
  <c r="P335" i="48"/>
  <c r="K335" i="48"/>
  <c r="G335" i="48"/>
  <c r="C335" i="48"/>
  <c r="AN335" i="48"/>
  <c r="AI335" i="48"/>
  <c r="AB335" i="48"/>
  <c r="V335" i="48"/>
  <c r="Q335" i="48"/>
  <c r="J335" i="48"/>
  <c r="E335" i="48"/>
  <c r="AM335" i="48"/>
  <c r="AF335" i="48"/>
  <c r="AA335" i="48"/>
  <c r="U335" i="48"/>
  <c r="N335" i="48"/>
  <c r="I335" i="48"/>
  <c r="D335" i="48"/>
  <c r="AK335" i="48"/>
  <c r="Z335" i="48"/>
  <c r="M335" i="48"/>
  <c r="B335" i="48"/>
  <c r="AJ335" i="48"/>
  <c r="W335" i="48"/>
  <c r="L335" i="48"/>
  <c r="S335" i="48"/>
  <c r="AO335" i="48"/>
  <c r="R335" i="48"/>
  <c r="AE335" i="48"/>
  <c r="H335" i="48"/>
  <c r="F335" i="48"/>
  <c r="AD335" i="48"/>
  <c r="I111" i="48"/>
  <c r="H111" i="48"/>
  <c r="L114" i="47"/>
  <c r="N114" i="47" s="1"/>
  <c r="R114" i="47" s="1"/>
  <c r="A337" i="47"/>
  <c r="AL336" i="47"/>
  <c r="AH336" i="47"/>
  <c r="AC336" i="47"/>
  <c r="Y336" i="47"/>
  <c r="T336" i="47"/>
  <c r="P336" i="47"/>
  <c r="K336" i="47"/>
  <c r="G336" i="47"/>
  <c r="C336" i="47"/>
  <c r="AO336" i="47"/>
  <c r="AK336" i="47"/>
  <c r="AF336" i="47"/>
  <c r="AB336" i="47"/>
  <c r="W336" i="47"/>
  <c r="S336" i="47"/>
  <c r="N336" i="47"/>
  <c r="J336" i="47"/>
  <c r="F336" i="47"/>
  <c r="B336" i="47"/>
  <c r="AN336" i="47"/>
  <c r="AJ336" i="47"/>
  <c r="AE336" i="47"/>
  <c r="AA336" i="47"/>
  <c r="V336" i="47"/>
  <c r="R336" i="47"/>
  <c r="M336" i="47"/>
  <c r="I336" i="47"/>
  <c r="E336" i="47"/>
  <c r="AI336" i="47"/>
  <c r="Q336" i="47"/>
  <c r="AD336" i="47"/>
  <c r="L336" i="47"/>
  <c r="Z336" i="47"/>
  <c r="H336" i="47"/>
  <c r="AM336" i="47"/>
  <c r="U336" i="47"/>
  <c r="D336" i="47"/>
  <c r="M114" i="47"/>
  <c r="AJ113" i="47"/>
  <c r="Z114" i="47"/>
  <c r="L111" i="48" l="1"/>
  <c r="N111" i="48" s="1"/>
  <c r="Y67" i="48"/>
  <c r="AB67" i="48"/>
  <c r="AC67" i="48" s="1"/>
  <c r="AN336" i="48"/>
  <c r="AJ336" i="48"/>
  <c r="AE336" i="48"/>
  <c r="AA336" i="48"/>
  <c r="V336" i="48"/>
  <c r="R336" i="48"/>
  <c r="M336" i="48"/>
  <c r="I336" i="48"/>
  <c r="E336" i="48"/>
  <c r="AM336" i="48"/>
  <c r="AH336" i="48"/>
  <c r="AB336" i="48"/>
  <c r="U336" i="48"/>
  <c r="P336" i="48"/>
  <c r="J336" i="48"/>
  <c r="D336" i="48"/>
  <c r="AL336" i="48"/>
  <c r="AF336" i="48"/>
  <c r="Z336" i="48"/>
  <c r="T336" i="48"/>
  <c r="N336" i="48"/>
  <c r="H336" i="48"/>
  <c r="C336" i="48"/>
  <c r="A337" i="48"/>
  <c r="AD336" i="48"/>
  <c r="S336" i="48"/>
  <c r="G336" i="48"/>
  <c r="AO336" i="48"/>
  <c r="AC336" i="48"/>
  <c r="Q336" i="48"/>
  <c r="F336" i="48"/>
  <c r="Y336" i="48"/>
  <c r="B336" i="48"/>
  <c r="W336" i="48"/>
  <c r="AK336" i="48"/>
  <c r="L336" i="48"/>
  <c r="AI336" i="48"/>
  <c r="K336" i="48"/>
  <c r="M111" i="48"/>
  <c r="P114" i="47"/>
  <c r="S114" i="47"/>
  <c r="T114" i="47" s="1"/>
  <c r="AH113" i="47"/>
  <c r="AK113" i="47"/>
  <c r="AL113" i="47" s="1"/>
  <c r="D114" i="47"/>
  <c r="AN337" i="47"/>
  <c r="AJ337" i="47"/>
  <c r="AE337" i="47"/>
  <c r="AA337" i="47"/>
  <c r="V337" i="47"/>
  <c r="R337" i="47"/>
  <c r="M337" i="47"/>
  <c r="I337" i="47"/>
  <c r="E337" i="47"/>
  <c r="AM337" i="47"/>
  <c r="AI337" i="47"/>
  <c r="AD337" i="47"/>
  <c r="Z337" i="47"/>
  <c r="U337" i="47"/>
  <c r="Q337" i="47"/>
  <c r="L337" i="47"/>
  <c r="H337" i="47"/>
  <c r="D337" i="47"/>
  <c r="A338" i="47"/>
  <c r="AL337" i="47"/>
  <c r="AH337" i="47"/>
  <c r="AC337" i="47"/>
  <c r="Y337" i="47"/>
  <c r="T337" i="47"/>
  <c r="P337" i="47"/>
  <c r="K337" i="47"/>
  <c r="G337" i="47"/>
  <c r="C337" i="47"/>
  <c r="AB337" i="47"/>
  <c r="J337" i="47"/>
  <c r="AO337" i="47"/>
  <c r="W337" i="47"/>
  <c r="F337" i="47"/>
  <c r="AK337" i="47"/>
  <c r="S337" i="47"/>
  <c r="B337" i="47"/>
  <c r="AF337" i="47"/>
  <c r="N337" i="47"/>
  <c r="D111" i="48" l="1"/>
  <c r="F112" i="48" s="1"/>
  <c r="AJ67" i="48"/>
  <c r="Z68" i="48"/>
  <c r="A338" i="48"/>
  <c r="AL337" i="48"/>
  <c r="AH337" i="48"/>
  <c r="AC337" i="48"/>
  <c r="Y337" i="48"/>
  <c r="T337" i="48"/>
  <c r="P337" i="48"/>
  <c r="K337" i="48"/>
  <c r="G337" i="48"/>
  <c r="C337" i="48"/>
  <c r="AM337" i="48"/>
  <c r="AF337" i="48"/>
  <c r="AA337" i="48"/>
  <c r="U337" i="48"/>
  <c r="N337" i="48"/>
  <c r="I337" i="48"/>
  <c r="D337" i="48"/>
  <c r="AK337" i="48"/>
  <c r="AE337" i="48"/>
  <c r="Z337" i="48"/>
  <c r="S337" i="48"/>
  <c r="M337" i="48"/>
  <c r="H337" i="48"/>
  <c r="B337" i="48"/>
  <c r="AJ337" i="48"/>
  <c r="W337" i="48"/>
  <c r="L337" i="48"/>
  <c r="AI337" i="48"/>
  <c r="V337" i="48"/>
  <c r="J337" i="48"/>
  <c r="AD337" i="48"/>
  <c r="F337" i="48"/>
  <c r="AB337" i="48"/>
  <c r="E337" i="48"/>
  <c r="AO337" i="48"/>
  <c r="R337" i="48"/>
  <c r="Q337" i="48"/>
  <c r="AN337" i="48"/>
  <c r="AI114" i="47"/>
  <c r="A339" i="47"/>
  <c r="AL338" i="47"/>
  <c r="AH338" i="47"/>
  <c r="AC338" i="47"/>
  <c r="Y338" i="47"/>
  <c r="T338" i="47"/>
  <c r="P338" i="47"/>
  <c r="K338" i="47"/>
  <c r="G338" i="47"/>
  <c r="C338" i="47"/>
  <c r="AO338" i="47"/>
  <c r="AK338" i="47"/>
  <c r="AF338" i="47"/>
  <c r="AB338" i="47"/>
  <c r="W338" i="47"/>
  <c r="S338" i="47"/>
  <c r="N338" i="47"/>
  <c r="J338" i="47"/>
  <c r="F338" i="47"/>
  <c r="B338" i="47"/>
  <c r="AN338" i="47"/>
  <c r="AJ338" i="47"/>
  <c r="AE338" i="47"/>
  <c r="AA338" i="47"/>
  <c r="V338" i="47"/>
  <c r="R338" i="47"/>
  <c r="M338" i="47"/>
  <c r="I338" i="47"/>
  <c r="E338" i="47"/>
  <c r="AM338" i="47"/>
  <c r="U338" i="47"/>
  <c r="D338" i="47"/>
  <c r="AI338" i="47"/>
  <c r="Q338" i="47"/>
  <c r="AD338" i="47"/>
  <c r="L338" i="47"/>
  <c r="Z338" i="47"/>
  <c r="H338" i="47"/>
  <c r="G115" i="47"/>
  <c r="F115" i="47"/>
  <c r="E115" i="47"/>
  <c r="AA114" i="47"/>
  <c r="Q115" i="47"/>
  <c r="E112" i="48" l="1"/>
  <c r="I112" i="48" s="1"/>
  <c r="G112" i="48"/>
  <c r="H112" i="48" s="1"/>
  <c r="AN338" i="48"/>
  <c r="AJ338" i="48"/>
  <c r="AE338" i="48"/>
  <c r="AA338" i="48"/>
  <c r="V338" i="48"/>
  <c r="R338" i="48"/>
  <c r="M338" i="48"/>
  <c r="I338" i="48"/>
  <c r="E338" i="48"/>
  <c r="AL338" i="48"/>
  <c r="AF338" i="48"/>
  <c r="Z338" i="48"/>
  <c r="T338" i="48"/>
  <c r="N338" i="48"/>
  <c r="H338" i="48"/>
  <c r="C338" i="48"/>
  <c r="A339" i="48"/>
  <c r="AK338" i="48"/>
  <c r="AD338" i="48"/>
  <c r="Y338" i="48"/>
  <c r="S338" i="48"/>
  <c r="L338" i="48"/>
  <c r="G338" i="48"/>
  <c r="B338" i="48"/>
  <c r="AO338" i="48"/>
  <c r="AC338" i="48"/>
  <c r="Q338" i="48"/>
  <c r="F338" i="48"/>
  <c r="AM338" i="48"/>
  <c r="AB338" i="48"/>
  <c r="P338" i="48"/>
  <c r="D338" i="48"/>
  <c r="AI338" i="48"/>
  <c r="K338" i="48"/>
  <c r="AH338" i="48"/>
  <c r="J338" i="48"/>
  <c r="W338" i="48"/>
  <c r="U338" i="48"/>
  <c r="AH67" i="48"/>
  <c r="AK67" i="48"/>
  <c r="AL67" i="48" s="1"/>
  <c r="I115" i="47"/>
  <c r="Y114" i="47"/>
  <c r="AB114" i="47"/>
  <c r="AC114" i="47" s="1"/>
  <c r="H115" i="47"/>
  <c r="AN339" i="47"/>
  <c r="AJ339" i="47"/>
  <c r="AE339" i="47"/>
  <c r="AA339" i="47"/>
  <c r="V339" i="47"/>
  <c r="R339" i="47"/>
  <c r="M339" i="47"/>
  <c r="I339" i="47"/>
  <c r="E339" i="47"/>
  <c r="AM339" i="47"/>
  <c r="AI339" i="47"/>
  <c r="AD339" i="47"/>
  <c r="Z339" i="47"/>
  <c r="U339" i="47"/>
  <c r="Q339" i="47"/>
  <c r="L339" i="47"/>
  <c r="H339" i="47"/>
  <c r="D339" i="47"/>
  <c r="A340" i="47"/>
  <c r="AL339" i="47"/>
  <c r="AH339" i="47"/>
  <c r="AC339" i="47"/>
  <c r="Y339" i="47"/>
  <c r="T339" i="47"/>
  <c r="P339" i="47"/>
  <c r="K339" i="47"/>
  <c r="G339" i="47"/>
  <c r="C339" i="47"/>
  <c r="AF339" i="47"/>
  <c r="N339" i="47"/>
  <c r="AB339" i="47"/>
  <c r="J339" i="47"/>
  <c r="AO339" i="47"/>
  <c r="W339" i="47"/>
  <c r="F339" i="47"/>
  <c r="AK339" i="47"/>
  <c r="S339" i="47"/>
  <c r="B339" i="47"/>
  <c r="L112" i="48" l="1"/>
  <c r="N112" i="48" s="1"/>
  <c r="D112" i="48"/>
  <c r="AM339" i="48"/>
  <c r="AI339" i="48"/>
  <c r="AD339" i="48"/>
  <c r="Z339" i="48"/>
  <c r="U339" i="48"/>
  <c r="Q339" i="48"/>
  <c r="L339" i="48"/>
  <c r="H339" i="48"/>
  <c r="A340" i="48"/>
  <c r="AK339" i="48"/>
  <c r="AE339" i="48"/>
  <c r="Y339" i="48"/>
  <c r="S339" i="48"/>
  <c r="M339" i="48"/>
  <c r="G339" i="48"/>
  <c r="C339" i="48"/>
  <c r="AN339" i="48"/>
  <c r="AF339" i="48"/>
  <c r="W339" i="48"/>
  <c r="P339" i="48"/>
  <c r="I339" i="48"/>
  <c r="B339" i="48"/>
  <c r="AL339" i="48"/>
  <c r="AC339" i="48"/>
  <c r="V339" i="48"/>
  <c r="N339" i="48"/>
  <c r="F339" i="48"/>
  <c r="AB339" i="48"/>
  <c r="K339" i="48"/>
  <c r="AO339" i="48"/>
  <c r="AA339" i="48"/>
  <c r="J339" i="48"/>
  <c r="T339" i="48"/>
  <c r="R339" i="48"/>
  <c r="AJ339" i="48"/>
  <c r="E339" i="48"/>
  <c r="AH339" i="48"/>
  <c r="D339" i="48"/>
  <c r="M112" i="48"/>
  <c r="AI68" i="48"/>
  <c r="A341" i="47"/>
  <c r="AL340" i="47"/>
  <c r="AH340" i="47"/>
  <c r="AC340" i="47"/>
  <c r="Y340" i="47"/>
  <c r="T340" i="47"/>
  <c r="P340" i="47"/>
  <c r="K340" i="47"/>
  <c r="G340" i="47"/>
  <c r="C340" i="47"/>
  <c r="AO340" i="47"/>
  <c r="AK340" i="47"/>
  <c r="AF340" i="47"/>
  <c r="AB340" i="47"/>
  <c r="W340" i="47"/>
  <c r="S340" i="47"/>
  <c r="N340" i="47"/>
  <c r="J340" i="47"/>
  <c r="F340" i="47"/>
  <c r="B340" i="47"/>
  <c r="AN340" i="47"/>
  <c r="AJ340" i="47"/>
  <c r="AE340" i="47"/>
  <c r="AA340" i="47"/>
  <c r="V340" i="47"/>
  <c r="R340" i="47"/>
  <c r="M340" i="47"/>
  <c r="I340" i="47"/>
  <c r="E340" i="47"/>
  <c r="Z340" i="47"/>
  <c r="H340" i="47"/>
  <c r="AM340" i="47"/>
  <c r="U340" i="47"/>
  <c r="D340" i="47"/>
  <c r="AI340" i="47"/>
  <c r="Q340" i="47"/>
  <c r="AD340" i="47"/>
  <c r="L340" i="47"/>
  <c r="L115" i="47"/>
  <c r="M115" i="47" s="1"/>
  <c r="AJ114" i="47"/>
  <c r="Z115" i="47"/>
  <c r="D115" i="47" l="1"/>
  <c r="N115" i="47"/>
  <c r="R115" i="47" s="1"/>
  <c r="AO340" i="48"/>
  <c r="AK340" i="48"/>
  <c r="AF340" i="48"/>
  <c r="AB340" i="48"/>
  <c r="W340" i="48"/>
  <c r="S340" i="48"/>
  <c r="N340" i="48"/>
  <c r="J340" i="48"/>
  <c r="F340" i="48"/>
  <c r="B340" i="48"/>
  <c r="A341" i="48"/>
  <c r="AJ340" i="48"/>
  <c r="AD340" i="48"/>
  <c r="Y340" i="48"/>
  <c r="R340" i="48"/>
  <c r="L340" i="48"/>
  <c r="G340" i="48"/>
  <c r="AL340" i="48"/>
  <c r="AC340" i="48"/>
  <c r="U340" i="48"/>
  <c r="M340" i="48"/>
  <c r="E340" i="48"/>
  <c r="AI340" i="48"/>
  <c r="AA340" i="48"/>
  <c r="T340" i="48"/>
  <c r="K340" i="48"/>
  <c r="D340" i="48"/>
  <c r="AH340" i="48"/>
  <c r="Q340" i="48"/>
  <c r="C340" i="48"/>
  <c r="AE340" i="48"/>
  <c r="P340" i="48"/>
  <c r="AN340" i="48"/>
  <c r="I340" i="48"/>
  <c r="AM340" i="48"/>
  <c r="H340" i="48"/>
  <c r="Z340" i="48"/>
  <c r="V340" i="48"/>
  <c r="G113" i="48"/>
  <c r="F113" i="48"/>
  <c r="E113" i="48"/>
  <c r="R68" i="48"/>
  <c r="P115" i="47"/>
  <c r="S115" i="47"/>
  <c r="T115" i="47" s="1"/>
  <c r="G116" i="47"/>
  <c r="F116" i="47"/>
  <c r="H116" i="47" s="1"/>
  <c r="E116" i="47"/>
  <c r="AH114" i="47"/>
  <c r="AK114" i="47"/>
  <c r="AL114" i="47" s="1"/>
  <c r="AM341" i="47"/>
  <c r="AO341" i="47"/>
  <c r="AJ341" i="47"/>
  <c r="AE341" i="47"/>
  <c r="AA341" i="47"/>
  <c r="V341" i="47"/>
  <c r="R341" i="47"/>
  <c r="M341" i="47"/>
  <c r="I341" i="47"/>
  <c r="E341" i="47"/>
  <c r="AN341" i="47"/>
  <c r="AI341" i="47"/>
  <c r="AD341" i="47"/>
  <c r="Z341" i="47"/>
  <c r="U341" i="47"/>
  <c r="Q341" i="47"/>
  <c r="L341" i="47"/>
  <c r="H341" i="47"/>
  <c r="D341" i="47"/>
  <c r="AL341" i="47"/>
  <c r="AH341" i="47"/>
  <c r="AC341" i="47"/>
  <c r="Y341" i="47"/>
  <c r="T341" i="47"/>
  <c r="P341" i="47"/>
  <c r="K341" i="47"/>
  <c r="G341" i="47"/>
  <c r="C341" i="47"/>
  <c r="AK341" i="47"/>
  <c r="S341" i="47"/>
  <c r="B341" i="47"/>
  <c r="AF341" i="47"/>
  <c r="N341" i="47"/>
  <c r="AB341" i="47"/>
  <c r="J341" i="47"/>
  <c r="A342" i="47"/>
  <c r="W341" i="47"/>
  <c r="F341" i="47"/>
  <c r="AM341" i="48" l="1"/>
  <c r="AI341" i="48"/>
  <c r="AD341" i="48"/>
  <c r="Z341" i="48"/>
  <c r="U341" i="48"/>
  <c r="Q341" i="48"/>
  <c r="L341" i="48"/>
  <c r="H341" i="48"/>
  <c r="D341" i="48"/>
  <c r="AO341" i="48"/>
  <c r="AJ341" i="48"/>
  <c r="AC341" i="48"/>
  <c r="W341" i="48"/>
  <c r="R341" i="48"/>
  <c r="K341" i="48"/>
  <c r="F341" i="48"/>
  <c r="A342" i="48"/>
  <c r="AH341" i="48"/>
  <c r="AA341" i="48"/>
  <c r="S341" i="48"/>
  <c r="J341" i="48"/>
  <c r="C341" i="48"/>
  <c r="AN341" i="48"/>
  <c r="AF341" i="48"/>
  <c r="Y341" i="48"/>
  <c r="P341" i="48"/>
  <c r="I341" i="48"/>
  <c r="B341" i="48"/>
  <c r="AL341" i="48"/>
  <c r="V341" i="48"/>
  <c r="G341" i="48"/>
  <c r="AK341" i="48"/>
  <c r="T341" i="48"/>
  <c r="E341" i="48"/>
  <c r="AE341" i="48"/>
  <c r="AB341" i="48"/>
  <c r="N341" i="48"/>
  <c r="M341" i="48"/>
  <c r="I113" i="48"/>
  <c r="P68" i="48"/>
  <c r="S68" i="48"/>
  <c r="T68" i="48" s="1"/>
  <c r="H113" i="48"/>
  <c r="I116" i="47"/>
  <c r="AO342" i="47"/>
  <c r="AK342" i="47"/>
  <c r="AF342" i="47"/>
  <c r="AB342" i="47"/>
  <c r="W342" i="47"/>
  <c r="S342" i="47"/>
  <c r="N342" i="47"/>
  <c r="J342" i="47"/>
  <c r="F342" i="47"/>
  <c r="B342" i="47"/>
  <c r="AN342" i="47"/>
  <c r="AI342" i="47"/>
  <c r="AC342" i="47"/>
  <c r="V342" i="47"/>
  <c r="Q342" i="47"/>
  <c r="K342" i="47"/>
  <c r="E342" i="47"/>
  <c r="AM342" i="47"/>
  <c r="AH342" i="47"/>
  <c r="AA342" i="47"/>
  <c r="U342" i="47"/>
  <c r="P342" i="47"/>
  <c r="I342" i="47"/>
  <c r="D342" i="47"/>
  <c r="AL342" i="47"/>
  <c r="AE342" i="47"/>
  <c r="Z342" i="47"/>
  <c r="T342" i="47"/>
  <c r="M342" i="47"/>
  <c r="H342" i="47"/>
  <c r="C342" i="47"/>
  <c r="A343" i="47"/>
  <c r="R342" i="47"/>
  <c r="AJ342" i="47"/>
  <c r="L342" i="47"/>
  <c r="AD342" i="47"/>
  <c r="G342" i="47"/>
  <c r="Y342" i="47"/>
  <c r="AI115" i="47"/>
  <c r="AA115" i="47"/>
  <c r="Q116" i="47"/>
  <c r="L113" i="48" l="1"/>
  <c r="N113" i="48" s="1"/>
  <c r="AA68" i="48"/>
  <c r="Q69" i="48"/>
  <c r="AO342" i="48"/>
  <c r="AK342" i="48"/>
  <c r="AF342" i="48"/>
  <c r="AB342" i="48"/>
  <c r="W342" i="48"/>
  <c r="S342" i="48"/>
  <c r="N342" i="48"/>
  <c r="J342" i="48"/>
  <c r="F342" i="48"/>
  <c r="B342" i="48"/>
  <c r="AN342" i="48"/>
  <c r="AI342" i="48"/>
  <c r="AC342" i="48"/>
  <c r="V342" i="48"/>
  <c r="Q342" i="48"/>
  <c r="K342" i="48"/>
  <c r="E342" i="48"/>
  <c r="AM342" i="48"/>
  <c r="AE342" i="48"/>
  <c r="Y342" i="48"/>
  <c r="P342" i="48"/>
  <c r="H342" i="48"/>
  <c r="AL342" i="48"/>
  <c r="AD342" i="48"/>
  <c r="U342" i="48"/>
  <c r="M342" i="48"/>
  <c r="G342" i="48"/>
  <c r="AA342" i="48"/>
  <c r="L342" i="48"/>
  <c r="A343" i="48"/>
  <c r="Z342" i="48"/>
  <c r="I342" i="48"/>
  <c r="T342" i="48"/>
  <c r="R342" i="48"/>
  <c r="AJ342" i="48"/>
  <c r="D342" i="48"/>
  <c r="AH342" i="48"/>
  <c r="C342" i="48"/>
  <c r="M113" i="48"/>
  <c r="AM343" i="47"/>
  <c r="AI343" i="47"/>
  <c r="AD343" i="47"/>
  <c r="Z343" i="47"/>
  <c r="U343" i="47"/>
  <c r="Q343" i="47"/>
  <c r="L343" i="47"/>
  <c r="H343" i="47"/>
  <c r="D343" i="47"/>
  <c r="AN343" i="47"/>
  <c r="AH343" i="47"/>
  <c r="AB343" i="47"/>
  <c r="V343" i="47"/>
  <c r="P343" i="47"/>
  <c r="J343" i="47"/>
  <c r="E343" i="47"/>
  <c r="AL343" i="47"/>
  <c r="AF343" i="47"/>
  <c r="AA343" i="47"/>
  <c r="T343" i="47"/>
  <c r="N343" i="47"/>
  <c r="I343" i="47"/>
  <c r="C343" i="47"/>
  <c r="A344" i="47"/>
  <c r="AK343" i="47"/>
  <c r="AE343" i="47"/>
  <c r="Y343" i="47"/>
  <c r="S343" i="47"/>
  <c r="M343" i="47"/>
  <c r="G343" i="47"/>
  <c r="B343" i="47"/>
  <c r="W343" i="47"/>
  <c r="AO343" i="47"/>
  <c r="R343" i="47"/>
  <c r="AJ343" i="47"/>
  <c r="K343" i="47"/>
  <c r="AC343" i="47"/>
  <c r="F343" i="47"/>
  <c r="Y115" i="47"/>
  <c r="AB115" i="47"/>
  <c r="AC115" i="47" s="1"/>
  <c r="L116" i="47"/>
  <c r="M116" i="47" s="1"/>
  <c r="D113" i="48" l="1"/>
  <c r="AN343" i="48"/>
  <c r="AJ343" i="48"/>
  <c r="AE343" i="48"/>
  <c r="AA343" i="48"/>
  <c r="AM343" i="48"/>
  <c r="AI343" i="48"/>
  <c r="AD343" i="48"/>
  <c r="Z343" i="48"/>
  <c r="U343" i="48"/>
  <c r="Q343" i="48"/>
  <c r="L343" i="48"/>
  <c r="H343" i="48"/>
  <c r="D343" i="48"/>
  <c r="AL343" i="48"/>
  <c r="AC343" i="48"/>
  <c r="V343" i="48"/>
  <c r="P343" i="48"/>
  <c r="J343" i="48"/>
  <c r="E343" i="48"/>
  <c r="A344" i="48"/>
  <c r="AF343" i="48"/>
  <c r="T343" i="48"/>
  <c r="M343" i="48"/>
  <c r="F343" i="48"/>
  <c r="AO343" i="48"/>
  <c r="AB343" i="48"/>
  <c r="S343" i="48"/>
  <c r="K343" i="48"/>
  <c r="C343" i="48"/>
  <c r="AK343" i="48"/>
  <c r="R343" i="48"/>
  <c r="B343" i="48"/>
  <c r="AH343" i="48"/>
  <c r="N343" i="48"/>
  <c r="I343" i="48"/>
  <c r="G343" i="48"/>
  <c r="Y343" i="48"/>
  <c r="W343" i="48"/>
  <c r="Y68" i="48"/>
  <c r="AB68" i="48"/>
  <c r="AC68" i="48" s="1"/>
  <c r="N116" i="47"/>
  <c r="R116" i="47" s="1"/>
  <c r="AO344" i="47"/>
  <c r="AK344" i="47"/>
  <c r="AF344" i="47"/>
  <c r="AB344" i="47"/>
  <c r="W344" i="47"/>
  <c r="S344" i="47"/>
  <c r="N344" i="47"/>
  <c r="J344" i="47"/>
  <c r="F344" i="47"/>
  <c r="B344" i="47"/>
  <c r="AM344" i="47"/>
  <c r="AH344" i="47"/>
  <c r="AA344" i="47"/>
  <c r="U344" i="47"/>
  <c r="P344" i="47"/>
  <c r="I344" i="47"/>
  <c r="D344" i="47"/>
  <c r="AL344" i="47"/>
  <c r="AE344" i="47"/>
  <c r="Z344" i="47"/>
  <c r="T344" i="47"/>
  <c r="M344" i="47"/>
  <c r="H344" i="47"/>
  <c r="C344" i="47"/>
  <c r="A345" i="47"/>
  <c r="AJ344" i="47"/>
  <c r="AD344" i="47"/>
  <c r="Y344" i="47"/>
  <c r="R344" i="47"/>
  <c r="L344" i="47"/>
  <c r="G344" i="47"/>
  <c r="AC344" i="47"/>
  <c r="E344" i="47"/>
  <c r="V344" i="47"/>
  <c r="AN344" i="47"/>
  <c r="Q344" i="47"/>
  <c r="AI344" i="47"/>
  <c r="K344" i="47"/>
  <c r="D116" i="47"/>
  <c r="AJ115" i="47"/>
  <c r="Z116" i="47"/>
  <c r="A345" i="48" l="1"/>
  <c r="AL344" i="48"/>
  <c r="AH344" i="48"/>
  <c r="AC344" i="48"/>
  <c r="Y344" i="48"/>
  <c r="T344" i="48"/>
  <c r="P344" i="48"/>
  <c r="K344" i="48"/>
  <c r="G344" i="48"/>
  <c r="C344" i="48"/>
  <c r="AO344" i="48"/>
  <c r="AK344" i="48"/>
  <c r="AF344" i="48"/>
  <c r="AB344" i="48"/>
  <c r="W344" i="48"/>
  <c r="S344" i="48"/>
  <c r="N344" i="48"/>
  <c r="J344" i="48"/>
  <c r="F344" i="48"/>
  <c r="B344" i="48"/>
  <c r="AN344" i="48"/>
  <c r="AE344" i="48"/>
  <c r="V344" i="48"/>
  <c r="M344" i="48"/>
  <c r="E344" i="48"/>
  <c r="AJ344" i="48"/>
  <c r="Z344" i="48"/>
  <c r="L344" i="48"/>
  <c r="AI344" i="48"/>
  <c r="U344" i="48"/>
  <c r="I344" i="48"/>
  <c r="R344" i="48"/>
  <c r="AM344" i="48"/>
  <c r="Q344" i="48"/>
  <c r="H344" i="48"/>
  <c r="D344" i="48"/>
  <c r="AD344" i="48"/>
  <c r="AA344" i="48"/>
  <c r="F114" i="48"/>
  <c r="G114" i="48"/>
  <c r="E114" i="48"/>
  <c r="AJ68" i="48"/>
  <c r="Z69" i="48"/>
  <c r="A346" i="47"/>
  <c r="AL345" i="47"/>
  <c r="AH345" i="47"/>
  <c r="AC345" i="47"/>
  <c r="Y345" i="47"/>
  <c r="T345" i="47"/>
  <c r="P345" i="47"/>
  <c r="AO345" i="47"/>
  <c r="AJ345" i="47"/>
  <c r="AD345" i="47"/>
  <c r="W345" i="47"/>
  <c r="R345" i="47"/>
  <c r="L345" i="47"/>
  <c r="H345" i="47"/>
  <c r="D345" i="47"/>
  <c r="AM345" i="47"/>
  <c r="AE345" i="47"/>
  <c r="V345" i="47"/>
  <c r="N345" i="47"/>
  <c r="I345" i="47"/>
  <c r="C345" i="47"/>
  <c r="AK345" i="47"/>
  <c r="AB345" i="47"/>
  <c r="U345" i="47"/>
  <c r="M345" i="47"/>
  <c r="G345" i="47"/>
  <c r="B345" i="47"/>
  <c r="AI345" i="47"/>
  <c r="AA345" i="47"/>
  <c r="S345" i="47"/>
  <c r="K345" i="47"/>
  <c r="F345" i="47"/>
  <c r="AN345" i="47"/>
  <c r="J345" i="47"/>
  <c r="AF345" i="47"/>
  <c r="E345" i="47"/>
  <c r="Z345" i="47"/>
  <c r="Q345" i="47"/>
  <c r="AH115" i="47"/>
  <c r="AK115" i="47"/>
  <c r="AL115" i="47" s="1"/>
  <c r="G117" i="47"/>
  <c r="F117" i="47"/>
  <c r="E117" i="47"/>
  <c r="P116" i="47"/>
  <c r="S116" i="47"/>
  <c r="T116" i="47" s="1"/>
  <c r="H117" i="47" l="1"/>
  <c r="I114" i="48"/>
  <c r="H114" i="48"/>
  <c r="AN345" i="48"/>
  <c r="AJ345" i="48"/>
  <c r="AE345" i="48"/>
  <c r="AA345" i="48"/>
  <c r="V345" i="48"/>
  <c r="R345" i="48"/>
  <c r="M345" i="48"/>
  <c r="I345" i="48"/>
  <c r="E345" i="48"/>
  <c r="AM345" i="48"/>
  <c r="AI345" i="48"/>
  <c r="AD345" i="48"/>
  <c r="Z345" i="48"/>
  <c r="U345" i="48"/>
  <c r="Q345" i="48"/>
  <c r="L345" i="48"/>
  <c r="H345" i="48"/>
  <c r="D345" i="48"/>
  <c r="A346" i="48"/>
  <c r="AH345" i="48"/>
  <c r="Y345" i="48"/>
  <c r="P345" i="48"/>
  <c r="G345" i="48"/>
  <c r="AO345" i="48"/>
  <c r="AC345" i="48"/>
  <c r="S345" i="48"/>
  <c r="F345" i="48"/>
  <c r="AL345" i="48"/>
  <c r="AB345" i="48"/>
  <c r="N345" i="48"/>
  <c r="C345" i="48"/>
  <c r="W345" i="48"/>
  <c r="B345" i="48"/>
  <c r="T345" i="48"/>
  <c r="K345" i="48"/>
  <c r="J345" i="48"/>
  <c r="AK345" i="48"/>
  <c r="AF345" i="48"/>
  <c r="AH68" i="48"/>
  <c r="AK68" i="48"/>
  <c r="AL68" i="48" s="1"/>
  <c r="AI116" i="47"/>
  <c r="AA116" i="47"/>
  <c r="Q117" i="47"/>
  <c r="I117" i="47"/>
  <c r="AN346" i="47"/>
  <c r="AJ346" i="47"/>
  <c r="AE346" i="47"/>
  <c r="AA346" i="47"/>
  <c r="V346" i="47"/>
  <c r="R346" i="47"/>
  <c r="M346" i="47"/>
  <c r="I346" i="47"/>
  <c r="E346" i="47"/>
  <c r="AO346" i="47"/>
  <c r="AI346" i="47"/>
  <c r="AC346" i="47"/>
  <c r="W346" i="47"/>
  <c r="Q346" i="47"/>
  <c r="K346" i="47"/>
  <c r="F346" i="47"/>
  <c r="AK346" i="47"/>
  <c r="AB346" i="47"/>
  <c r="T346" i="47"/>
  <c r="L346" i="47"/>
  <c r="D346" i="47"/>
  <c r="A347" i="47"/>
  <c r="AH346" i="47"/>
  <c r="Z346" i="47"/>
  <c r="S346" i="47"/>
  <c r="J346" i="47"/>
  <c r="C346" i="47"/>
  <c r="AM346" i="47"/>
  <c r="AF346" i="47"/>
  <c r="Y346" i="47"/>
  <c r="P346" i="47"/>
  <c r="H346" i="47"/>
  <c r="B346" i="47"/>
  <c r="AD346" i="47"/>
  <c r="U346" i="47"/>
  <c r="N346" i="47"/>
  <c r="AL346" i="47"/>
  <c r="G346" i="47"/>
  <c r="AI69" i="48" l="1"/>
  <c r="AN346" i="48"/>
  <c r="AL346" i="48"/>
  <c r="AH346" i="48"/>
  <c r="AC346" i="48"/>
  <c r="Y346" i="48"/>
  <c r="T346" i="48"/>
  <c r="P346" i="48"/>
  <c r="K346" i="48"/>
  <c r="G346" i="48"/>
  <c r="C346" i="48"/>
  <c r="A347" i="48"/>
  <c r="AK346" i="48"/>
  <c r="AF346" i="48"/>
  <c r="AB346" i="48"/>
  <c r="W346" i="48"/>
  <c r="S346" i="48"/>
  <c r="N346" i="48"/>
  <c r="J346" i="48"/>
  <c r="F346" i="48"/>
  <c r="B346" i="48"/>
  <c r="AJ346" i="48"/>
  <c r="AA346" i="48"/>
  <c r="R346" i="48"/>
  <c r="I346" i="48"/>
  <c r="AI346" i="48"/>
  <c r="V346" i="48"/>
  <c r="L346" i="48"/>
  <c r="AE346" i="48"/>
  <c r="U346" i="48"/>
  <c r="H346" i="48"/>
  <c r="AD346" i="48"/>
  <c r="E346" i="48"/>
  <c r="Z346" i="48"/>
  <c r="D346" i="48"/>
  <c r="Q346" i="48"/>
  <c r="M346" i="48"/>
  <c r="AO346" i="48"/>
  <c r="AM346" i="48"/>
  <c r="L114" i="48"/>
  <c r="M114" i="48" s="1"/>
  <c r="A348" i="47"/>
  <c r="AL347" i="47"/>
  <c r="AH347" i="47"/>
  <c r="AC347" i="47"/>
  <c r="Y347" i="47"/>
  <c r="T347" i="47"/>
  <c r="P347" i="47"/>
  <c r="K347" i="47"/>
  <c r="G347" i="47"/>
  <c r="C347" i="47"/>
  <c r="AN347" i="47"/>
  <c r="AI347" i="47"/>
  <c r="AB347" i="47"/>
  <c r="V347" i="47"/>
  <c r="Q347" i="47"/>
  <c r="J347" i="47"/>
  <c r="E347" i="47"/>
  <c r="AO347" i="47"/>
  <c r="AF347" i="47"/>
  <c r="Z347" i="47"/>
  <c r="R347" i="47"/>
  <c r="I347" i="47"/>
  <c r="B347" i="47"/>
  <c r="AM347" i="47"/>
  <c r="AE347" i="47"/>
  <c r="W347" i="47"/>
  <c r="N347" i="47"/>
  <c r="H347" i="47"/>
  <c r="AK347" i="47"/>
  <c r="AD347" i="47"/>
  <c r="U347" i="47"/>
  <c r="M347" i="47"/>
  <c r="F347" i="47"/>
  <c r="S347" i="47"/>
  <c r="L347" i="47"/>
  <c r="AJ347" i="47"/>
  <c r="D347" i="47"/>
  <c r="AA347" i="47"/>
  <c r="L117" i="47"/>
  <c r="D117" i="47" s="1"/>
  <c r="Y116" i="47"/>
  <c r="AB116" i="47"/>
  <c r="AC116" i="47" s="1"/>
  <c r="M117" i="47"/>
  <c r="N117" i="47" l="1"/>
  <c r="R117" i="47" s="1"/>
  <c r="P117" i="47" s="1"/>
  <c r="D114" i="48"/>
  <c r="N114" i="48"/>
  <c r="A348" i="48"/>
  <c r="AL347" i="48"/>
  <c r="AH347" i="48"/>
  <c r="AC347" i="48"/>
  <c r="Y347" i="48"/>
  <c r="T347" i="48"/>
  <c r="P347" i="48"/>
  <c r="K347" i="48"/>
  <c r="G347" i="48"/>
  <c r="C347" i="48"/>
  <c r="AK347" i="48"/>
  <c r="AE347" i="48"/>
  <c r="Z347" i="48"/>
  <c r="S347" i="48"/>
  <c r="M347" i="48"/>
  <c r="H347" i="48"/>
  <c r="B347" i="48"/>
  <c r="AO347" i="48"/>
  <c r="AJ347" i="48"/>
  <c r="AD347" i="48"/>
  <c r="W347" i="48"/>
  <c r="R347" i="48"/>
  <c r="L347" i="48"/>
  <c r="F347" i="48"/>
  <c r="AN347" i="48"/>
  <c r="AB347" i="48"/>
  <c r="Q347" i="48"/>
  <c r="E347" i="48"/>
  <c r="AM347" i="48"/>
  <c r="V347" i="48"/>
  <c r="I347" i="48"/>
  <c r="AI347" i="48"/>
  <c r="U347" i="48"/>
  <c r="D347" i="48"/>
  <c r="N347" i="48"/>
  <c r="J347" i="48"/>
  <c r="AF347" i="48"/>
  <c r="AA347" i="48"/>
  <c r="R69" i="48"/>
  <c r="F118" i="47"/>
  <c r="G118" i="47"/>
  <c r="E118" i="47"/>
  <c r="AA117" i="47"/>
  <c r="Y117" i="47" s="1"/>
  <c r="Q118" i="47"/>
  <c r="S117" i="47"/>
  <c r="T117" i="47" s="1"/>
  <c r="AJ116" i="47"/>
  <c r="Z117" i="47"/>
  <c r="AN348" i="47"/>
  <c r="AJ348" i="47"/>
  <c r="AE348" i="47"/>
  <c r="AA348" i="47"/>
  <c r="V348" i="47"/>
  <c r="R348" i="47"/>
  <c r="M348" i="47"/>
  <c r="I348" i="47"/>
  <c r="E348" i="47"/>
  <c r="AM348" i="47"/>
  <c r="AH348" i="47"/>
  <c r="AB348" i="47"/>
  <c r="U348" i="47"/>
  <c r="P348" i="47"/>
  <c r="J348" i="47"/>
  <c r="D348" i="47"/>
  <c r="AL348" i="47"/>
  <c r="AF348" i="47"/>
  <c r="A349" i="47"/>
  <c r="AD348" i="47"/>
  <c r="W348" i="47"/>
  <c r="N348" i="47"/>
  <c r="G348" i="47"/>
  <c r="AO348" i="47"/>
  <c r="AC348" i="47"/>
  <c r="T348" i="47"/>
  <c r="L348" i="47"/>
  <c r="F348" i="47"/>
  <c r="AK348" i="47"/>
  <c r="Z348" i="47"/>
  <c r="S348" i="47"/>
  <c r="K348" i="47"/>
  <c r="C348" i="47"/>
  <c r="H348" i="47"/>
  <c r="AI348" i="47"/>
  <c r="B348" i="47"/>
  <c r="Y348" i="47"/>
  <c r="Q348" i="47"/>
  <c r="AB117" i="47" l="1"/>
  <c r="AC117" i="47" s="1"/>
  <c r="AN348" i="48"/>
  <c r="AJ348" i="48"/>
  <c r="AE348" i="48"/>
  <c r="AA348" i="48"/>
  <c r="V348" i="48"/>
  <c r="R348" i="48"/>
  <c r="M348" i="48"/>
  <c r="I348" i="48"/>
  <c r="E348" i="48"/>
  <c r="A349" i="48"/>
  <c r="AK348" i="48"/>
  <c r="AD348" i="48"/>
  <c r="Y348" i="48"/>
  <c r="S348" i="48"/>
  <c r="L348" i="48"/>
  <c r="G348" i="48"/>
  <c r="B348" i="48"/>
  <c r="AO348" i="48"/>
  <c r="AI348" i="48"/>
  <c r="AC348" i="48"/>
  <c r="W348" i="48"/>
  <c r="Q348" i="48"/>
  <c r="K348" i="48"/>
  <c r="F348" i="48"/>
  <c r="AH348" i="48"/>
  <c r="U348" i="48"/>
  <c r="J348" i="48"/>
  <c r="AB348" i="48"/>
  <c r="N348" i="48"/>
  <c r="AM348" i="48"/>
  <c r="Z348" i="48"/>
  <c r="H348" i="48"/>
  <c r="AL348" i="48"/>
  <c r="D348" i="48"/>
  <c r="AF348" i="48"/>
  <c r="C348" i="48"/>
  <c r="T348" i="48"/>
  <c r="P348" i="48"/>
  <c r="P69" i="48"/>
  <c r="S69" i="48"/>
  <c r="T69" i="48" s="1"/>
  <c r="G115" i="48"/>
  <c r="F115" i="48"/>
  <c r="H115" i="48" s="1"/>
  <c r="E115" i="48"/>
  <c r="AJ117" i="47"/>
  <c r="Z118" i="47"/>
  <c r="AH116" i="47"/>
  <c r="AK116" i="47"/>
  <c r="AL116" i="47" s="1"/>
  <c r="H118" i="47"/>
  <c r="A350" i="47"/>
  <c r="AL349" i="47"/>
  <c r="AH349" i="47"/>
  <c r="AC349" i="47"/>
  <c r="Y349" i="47"/>
  <c r="T349" i="47"/>
  <c r="P349" i="47"/>
  <c r="K349" i="47"/>
  <c r="G349" i="47"/>
  <c r="C349" i="47"/>
  <c r="AM349" i="47"/>
  <c r="AF349" i="47"/>
  <c r="AA349" i="47"/>
  <c r="U349" i="47"/>
  <c r="N349" i="47"/>
  <c r="I349" i="47"/>
  <c r="D349" i="47"/>
  <c r="AK349" i="47"/>
  <c r="AE349" i="47"/>
  <c r="Z349" i="47"/>
  <c r="S349" i="47"/>
  <c r="M349" i="47"/>
  <c r="H349" i="47"/>
  <c r="B349" i="47"/>
  <c r="AJ349" i="47"/>
  <c r="W349" i="47"/>
  <c r="L349" i="47"/>
  <c r="AI349" i="47"/>
  <c r="V349" i="47"/>
  <c r="J349" i="47"/>
  <c r="AO349" i="47"/>
  <c r="AD349" i="47"/>
  <c r="R349" i="47"/>
  <c r="F349" i="47"/>
  <c r="E349" i="47"/>
  <c r="AN349" i="47"/>
  <c r="AB349" i="47"/>
  <c r="Q349" i="47"/>
  <c r="I118" i="47"/>
  <c r="AA69" i="48" l="1"/>
  <c r="Q70" i="48"/>
  <c r="I115" i="48"/>
  <c r="A350" i="48"/>
  <c r="AL349" i="48"/>
  <c r="AH349" i="48"/>
  <c r="AC349" i="48"/>
  <c r="Y349" i="48"/>
  <c r="T349" i="48"/>
  <c r="P349" i="48"/>
  <c r="K349" i="48"/>
  <c r="G349" i="48"/>
  <c r="C349" i="48"/>
  <c r="AO349" i="48"/>
  <c r="AJ349" i="48"/>
  <c r="AD349" i="48"/>
  <c r="W349" i="48"/>
  <c r="R349" i="48"/>
  <c r="L349" i="48"/>
  <c r="F349" i="48"/>
  <c r="AN349" i="48"/>
  <c r="AI349" i="48"/>
  <c r="AB349" i="48"/>
  <c r="V349" i="48"/>
  <c r="Q349" i="48"/>
  <c r="J349" i="48"/>
  <c r="E349" i="48"/>
  <c r="AM349" i="48"/>
  <c r="AA349" i="48"/>
  <c r="N349" i="48"/>
  <c r="D349" i="48"/>
  <c r="AF349" i="48"/>
  <c r="S349" i="48"/>
  <c r="B349" i="48"/>
  <c r="AE349" i="48"/>
  <c r="M349" i="48"/>
  <c r="Z349" i="48"/>
  <c r="U349" i="48"/>
  <c r="I349" i="48"/>
  <c r="H349" i="48"/>
  <c r="AK349" i="48"/>
  <c r="AI117" i="47"/>
  <c r="AK117" i="47" s="1"/>
  <c r="AL117" i="47" s="1"/>
  <c r="AH117" i="47"/>
  <c r="AN350" i="47"/>
  <c r="AJ350" i="47"/>
  <c r="AE350" i="47"/>
  <c r="AA350" i="47"/>
  <c r="V350" i="47"/>
  <c r="R350" i="47"/>
  <c r="M350" i="47"/>
  <c r="I350" i="47"/>
  <c r="E350" i="47"/>
  <c r="AL350" i="47"/>
  <c r="AF350" i="47"/>
  <c r="Z350" i="47"/>
  <c r="T350" i="47"/>
  <c r="N350" i="47"/>
  <c r="H350" i="47"/>
  <c r="C350" i="47"/>
  <c r="A351" i="47"/>
  <c r="AK350" i="47"/>
  <c r="AD350" i="47"/>
  <c r="Y350" i="47"/>
  <c r="S350" i="47"/>
  <c r="L350" i="47"/>
  <c r="G350" i="47"/>
  <c r="B350" i="47"/>
  <c r="AO350" i="47"/>
  <c r="AC350" i="47"/>
  <c r="Q350" i="47"/>
  <c r="F350" i="47"/>
  <c r="AM350" i="47"/>
  <c r="AB350" i="47"/>
  <c r="P350" i="47"/>
  <c r="D350" i="47"/>
  <c r="AI350" i="47"/>
  <c r="W350" i="47"/>
  <c r="K350" i="47"/>
  <c r="J350" i="47"/>
  <c r="AH350" i="47"/>
  <c r="U350" i="47"/>
  <c r="L118" i="47"/>
  <c r="M118" i="47" s="1"/>
  <c r="AN350" i="48" l="1"/>
  <c r="AJ350" i="48"/>
  <c r="AE350" i="48"/>
  <c r="AA350" i="48"/>
  <c r="V350" i="48"/>
  <c r="R350" i="48"/>
  <c r="M350" i="48"/>
  <c r="I350" i="48"/>
  <c r="E350" i="48"/>
  <c r="AO350" i="48"/>
  <c r="AI350" i="48"/>
  <c r="AC350" i="48"/>
  <c r="W350" i="48"/>
  <c r="Q350" i="48"/>
  <c r="K350" i="48"/>
  <c r="F350" i="48"/>
  <c r="AM350" i="48"/>
  <c r="AH350" i="48"/>
  <c r="AB350" i="48"/>
  <c r="U350" i="48"/>
  <c r="P350" i="48"/>
  <c r="J350" i="48"/>
  <c r="D350" i="48"/>
  <c r="AF350" i="48"/>
  <c r="T350" i="48"/>
  <c r="H350" i="48"/>
  <c r="AL350" i="48"/>
  <c r="Y350" i="48"/>
  <c r="G350" i="48"/>
  <c r="AK350" i="48"/>
  <c r="S350" i="48"/>
  <c r="C350" i="48"/>
  <c r="N350" i="48"/>
  <c r="A351" i="48"/>
  <c r="L350" i="48"/>
  <c r="AD350" i="48"/>
  <c r="Z350" i="48"/>
  <c r="B350" i="48"/>
  <c r="Y69" i="48"/>
  <c r="AB69" i="48"/>
  <c r="AC69" i="48" s="1"/>
  <c r="L115" i="48"/>
  <c r="M115" i="48" s="1"/>
  <c r="A352" i="47"/>
  <c r="AL351" i="47"/>
  <c r="AH351" i="47"/>
  <c r="AC351" i="47"/>
  <c r="Y351" i="47"/>
  <c r="T351" i="47"/>
  <c r="P351" i="47"/>
  <c r="K351" i="47"/>
  <c r="G351" i="47"/>
  <c r="C351" i="47"/>
  <c r="AK351" i="47"/>
  <c r="AE351" i="47"/>
  <c r="Z351" i="47"/>
  <c r="S351" i="47"/>
  <c r="M351" i="47"/>
  <c r="H351" i="47"/>
  <c r="B351" i="47"/>
  <c r="AO351" i="47"/>
  <c r="AJ351" i="47"/>
  <c r="AD351" i="47"/>
  <c r="W351" i="47"/>
  <c r="R351" i="47"/>
  <c r="L351" i="47"/>
  <c r="F351" i="47"/>
  <c r="AI351" i="47"/>
  <c r="V351" i="47"/>
  <c r="J351" i="47"/>
  <c r="AF351" i="47"/>
  <c r="U351" i="47"/>
  <c r="I351" i="47"/>
  <c r="AN351" i="47"/>
  <c r="AB351" i="47"/>
  <c r="Q351" i="47"/>
  <c r="E351" i="47"/>
  <c r="N351" i="47"/>
  <c r="D351" i="47"/>
  <c r="AM351" i="47"/>
  <c r="AA351" i="47"/>
  <c r="D118" i="47"/>
  <c r="AI118" i="47"/>
  <c r="N118" i="47"/>
  <c r="R118" i="47" s="1"/>
  <c r="AJ69" i="48" l="1"/>
  <c r="Z70" i="48"/>
  <c r="D115" i="48"/>
  <c r="N115" i="48"/>
  <c r="A352" i="48"/>
  <c r="AL351" i="48"/>
  <c r="AH351" i="48"/>
  <c r="AC351" i="48"/>
  <c r="Y351" i="48"/>
  <c r="T351" i="48"/>
  <c r="P351" i="48"/>
  <c r="K351" i="48"/>
  <c r="G351" i="48"/>
  <c r="C351" i="48"/>
  <c r="AN351" i="48"/>
  <c r="AI351" i="48"/>
  <c r="AB351" i="48"/>
  <c r="V351" i="48"/>
  <c r="Q351" i="48"/>
  <c r="J351" i="48"/>
  <c r="E351" i="48"/>
  <c r="AM351" i="48"/>
  <c r="AF351" i="48"/>
  <c r="AA351" i="48"/>
  <c r="U351" i="48"/>
  <c r="N351" i="48"/>
  <c r="I351" i="48"/>
  <c r="D351" i="48"/>
  <c r="AK351" i="48"/>
  <c r="Z351" i="48"/>
  <c r="M351" i="48"/>
  <c r="B351" i="48"/>
  <c r="AD351" i="48"/>
  <c r="L351" i="48"/>
  <c r="AO351" i="48"/>
  <c r="W351" i="48"/>
  <c r="H351" i="48"/>
  <c r="AJ351" i="48"/>
  <c r="F351" i="48"/>
  <c r="AE351" i="48"/>
  <c r="S351" i="48"/>
  <c r="R351" i="48"/>
  <c r="F119" i="47"/>
  <c r="G119" i="47"/>
  <c r="E119" i="47"/>
  <c r="P118" i="47"/>
  <c r="S118" i="47"/>
  <c r="T118" i="47" s="1"/>
  <c r="AN352" i="47"/>
  <c r="AJ352" i="47"/>
  <c r="AE352" i="47"/>
  <c r="AA352" i="47"/>
  <c r="V352" i="47"/>
  <c r="R352" i="47"/>
  <c r="M352" i="47"/>
  <c r="I352" i="47"/>
  <c r="E352" i="47"/>
  <c r="A353" i="47"/>
  <c r="AK352" i="47"/>
  <c r="AD352" i="47"/>
  <c r="Y352" i="47"/>
  <c r="S352" i="47"/>
  <c r="L352" i="47"/>
  <c r="G352" i="47"/>
  <c r="B352" i="47"/>
  <c r="AO352" i="47"/>
  <c r="AI352" i="47"/>
  <c r="AC352" i="47"/>
  <c r="W352" i="47"/>
  <c r="Q352" i="47"/>
  <c r="K352" i="47"/>
  <c r="F352" i="47"/>
  <c r="AM352" i="47"/>
  <c r="AB352" i="47"/>
  <c r="P352" i="47"/>
  <c r="D352" i="47"/>
  <c r="AL352" i="47"/>
  <c r="Z352" i="47"/>
  <c r="N352" i="47"/>
  <c r="C352" i="47"/>
  <c r="AH352" i="47"/>
  <c r="U352" i="47"/>
  <c r="J352" i="47"/>
  <c r="T352" i="47"/>
  <c r="H352" i="47"/>
  <c r="AF352" i="47"/>
  <c r="F116" i="48" l="1"/>
  <c r="G116" i="48"/>
  <c r="E116" i="48"/>
  <c r="AN352" i="48"/>
  <c r="AJ352" i="48"/>
  <c r="AE352" i="48"/>
  <c r="AA352" i="48"/>
  <c r="V352" i="48"/>
  <c r="R352" i="48"/>
  <c r="M352" i="48"/>
  <c r="I352" i="48"/>
  <c r="E352" i="48"/>
  <c r="AM352" i="48"/>
  <c r="AH352" i="48"/>
  <c r="AB352" i="48"/>
  <c r="U352" i="48"/>
  <c r="P352" i="48"/>
  <c r="J352" i="48"/>
  <c r="D352" i="48"/>
  <c r="AL352" i="48"/>
  <c r="AF352" i="48"/>
  <c r="Z352" i="48"/>
  <c r="T352" i="48"/>
  <c r="N352" i="48"/>
  <c r="H352" i="48"/>
  <c r="C352" i="48"/>
  <c r="A353" i="48"/>
  <c r="AD352" i="48"/>
  <c r="S352" i="48"/>
  <c r="G352" i="48"/>
  <c r="AI352" i="48"/>
  <c r="Q352" i="48"/>
  <c r="B352" i="48"/>
  <c r="AC352" i="48"/>
  <c r="L352" i="48"/>
  <c r="Y352" i="48"/>
  <c r="W352" i="48"/>
  <c r="K352" i="48"/>
  <c r="F352" i="48"/>
  <c r="AO352" i="48"/>
  <c r="AK352" i="48"/>
  <c r="AH69" i="48"/>
  <c r="AK69" i="48"/>
  <c r="AL69" i="48" s="1"/>
  <c r="AA118" i="47"/>
  <c r="Q119" i="47"/>
  <c r="AN353" i="47"/>
  <c r="AJ353" i="47"/>
  <c r="AM353" i="47"/>
  <c r="AH353" i="47"/>
  <c r="AC353" i="47"/>
  <c r="Y353" i="47"/>
  <c r="T353" i="47"/>
  <c r="P353" i="47"/>
  <c r="K353" i="47"/>
  <c r="G353" i="47"/>
  <c r="C353" i="47"/>
  <c r="AK353" i="47"/>
  <c r="AD353" i="47"/>
  <c r="W353" i="47"/>
  <c r="R353" i="47"/>
  <c r="L353" i="47"/>
  <c r="F353" i="47"/>
  <c r="A354" i="47"/>
  <c r="AI353" i="47"/>
  <c r="AB353" i="47"/>
  <c r="V353" i="47"/>
  <c r="Q353" i="47"/>
  <c r="J353" i="47"/>
  <c r="E353" i="47"/>
  <c r="AF353" i="47"/>
  <c r="U353" i="47"/>
  <c r="I353" i="47"/>
  <c r="AE353" i="47"/>
  <c r="S353" i="47"/>
  <c r="H353" i="47"/>
  <c r="AO353" i="47"/>
  <c r="AA353" i="47"/>
  <c r="N353" i="47"/>
  <c r="D353" i="47"/>
  <c r="Z353" i="47"/>
  <c r="M353" i="47"/>
  <c r="B353" i="47"/>
  <c r="AL353" i="47"/>
  <c r="I119" i="47"/>
  <c r="H119" i="47"/>
  <c r="AI70" i="48" l="1"/>
  <c r="A354" i="48"/>
  <c r="AL353" i="48"/>
  <c r="AH353" i="48"/>
  <c r="AC353" i="48"/>
  <c r="Y353" i="48"/>
  <c r="T353" i="48"/>
  <c r="P353" i="48"/>
  <c r="K353" i="48"/>
  <c r="G353" i="48"/>
  <c r="C353" i="48"/>
  <c r="AM353" i="48"/>
  <c r="AF353" i="48"/>
  <c r="AA353" i="48"/>
  <c r="U353" i="48"/>
  <c r="N353" i="48"/>
  <c r="I353" i="48"/>
  <c r="D353" i="48"/>
  <c r="AK353" i="48"/>
  <c r="AE353" i="48"/>
  <c r="Z353" i="48"/>
  <c r="S353" i="48"/>
  <c r="M353" i="48"/>
  <c r="H353" i="48"/>
  <c r="B353" i="48"/>
  <c r="AJ353" i="48"/>
  <c r="W353" i="48"/>
  <c r="L353" i="48"/>
  <c r="AN353" i="48"/>
  <c r="V353" i="48"/>
  <c r="F353" i="48"/>
  <c r="AI353" i="48"/>
  <c r="R353" i="48"/>
  <c r="E353" i="48"/>
  <c r="Q353" i="48"/>
  <c r="AO353" i="48"/>
  <c r="J353" i="48"/>
  <c r="AD353" i="48"/>
  <c r="AB353" i="48"/>
  <c r="I116" i="48"/>
  <c r="H116" i="48"/>
  <c r="A355" i="47"/>
  <c r="AL354" i="47"/>
  <c r="AH354" i="47"/>
  <c r="AC354" i="47"/>
  <c r="Y354" i="47"/>
  <c r="T354" i="47"/>
  <c r="P354" i="47"/>
  <c r="K354" i="47"/>
  <c r="G354" i="47"/>
  <c r="C354" i="47"/>
  <c r="AM354" i="47"/>
  <c r="AF354" i="47"/>
  <c r="AA354" i="47"/>
  <c r="U354" i="47"/>
  <c r="N354" i="47"/>
  <c r="I354" i="47"/>
  <c r="D354" i="47"/>
  <c r="AO354" i="47"/>
  <c r="AI354" i="47"/>
  <c r="Z354" i="47"/>
  <c r="R354" i="47"/>
  <c r="J354" i="47"/>
  <c r="B354" i="47"/>
  <c r="AN354" i="47"/>
  <c r="AE354" i="47"/>
  <c r="W354" i="47"/>
  <c r="Q354" i="47"/>
  <c r="H354" i="47"/>
  <c r="AK354" i="47"/>
  <c r="V354" i="47"/>
  <c r="F354" i="47"/>
  <c r="AJ354" i="47"/>
  <c r="S354" i="47"/>
  <c r="E354" i="47"/>
  <c r="AD354" i="47"/>
  <c r="M354" i="47"/>
  <c r="AB354" i="47"/>
  <c r="L354" i="47"/>
  <c r="L119" i="47"/>
  <c r="D119" i="47" s="1"/>
  <c r="Y118" i="47"/>
  <c r="AB118" i="47"/>
  <c r="AC118" i="47" s="1"/>
  <c r="M119" i="47" l="1"/>
  <c r="N119" i="47"/>
  <c r="R119" i="47" s="1"/>
  <c r="P119" i="47" s="1"/>
  <c r="AA119" i="47" s="1"/>
  <c r="Y119" i="47" s="1"/>
  <c r="R70" i="48"/>
  <c r="L116" i="48"/>
  <c r="M116" i="48" s="1"/>
  <c r="AN354" i="48"/>
  <c r="AJ354" i="48"/>
  <c r="AE354" i="48"/>
  <c r="AA354" i="48"/>
  <c r="V354" i="48"/>
  <c r="R354" i="48"/>
  <c r="M354" i="48"/>
  <c r="I354" i="48"/>
  <c r="E354" i="48"/>
  <c r="AL354" i="48"/>
  <c r="AF354" i="48"/>
  <c r="Z354" i="48"/>
  <c r="T354" i="48"/>
  <c r="N354" i="48"/>
  <c r="H354" i="48"/>
  <c r="C354" i="48"/>
  <c r="A355" i="48"/>
  <c r="AK354" i="48"/>
  <c r="AD354" i="48"/>
  <c r="Y354" i="48"/>
  <c r="S354" i="48"/>
  <c r="L354" i="48"/>
  <c r="G354" i="48"/>
  <c r="B354" i="48"/>
  <c r="AO354" i="48"/>
  <c r="AC354" i="48"/>
  <c r="Q354" i="48"/>
  <c r="F354" i="48"/>
  <c r="AB354" i="48"/>
  <c r="K354" i="48"/>
  <c r="AM354" i="48"/>
  <c r="W354" i="48"/>
  <c r="J354" i="48"/>
  <c r="AI354" i="48"/>
  <c r="D354" i="48"/>
  <c r="AH354" i="48"/>
  <c r="U354" i="48"/>
  <c r="P354" i="48"/>
  <c r="F120" i="47"/>
  <c r="G120" i="47"/>
  <c r="E120" i="47"/>
  <c r="S119" i="47"/>
  <c r="T119" i="47" s="1"/>
  <c r="AJ118" i="47"/>
  <c r="Z119" i="47"/>
  <c r="AN355" i="47"/>
  <c r="AJ355" i="47"/>
  <c r="AE355" i="47"/>
  <c r="AA355" i="47"/>
  <c r="V355" i="47"/>
  <c r="R355" i="47"/>
  <c r="M355" i="47"/>
  <c r="I355" i="47"/>
  <c r="E355" i="47"/>
  <c r="A356" i="47"/>
  <c r="AL355" i="47"/>
  <c r="AM355" i="47"/>
  <c r="AF355" i="47"/>
  <c r="Z355" i="47"/>
  <c r="T355" i="47"/>
  <c r="N355" i="47"/>
  <c r="H355" i="47"/>
  <c r="C355" i="47"/>
  <c r="AO355" i="47"/>
  <c r="AD355" i="47"/>
  <c r="W355" i="47"/>
  <c r="P355" i="47"/>
  <c r="G355" i="47"/>
  <c r="AK355" i="47"/>
  <c r="AC355" i="47"/>
  <c r="U355" i="47"/>
  <c r="L355" i="47"/>
  <c r="F355" i="47"/>
  <c r="AB355" i="47"/>
  <c r="K355" i="47"/>
  <c r="Y355" i="47"/>
  <c r="J355" i="47"/>
  <c r="AI355" i="47"/>
  <c r="S355" i="47"/>
  <c r="D355" i="47"/>
  <c r="B355" i="47"/>
  <c r="AH355" i="47"/>
  <c r="Q355" i="47"/>
  <c r="Q120" i="47" l="1"/>
  <c r="AB119" i="47"/>
  <c r="AC119" i="47" s="1"/>
  <c r="D116" i="48"/>
  <c r="N116" i="48"/>
  <c r="G117" i="48"/>
  <c r="F117" i="48"/>
  <c r="H117" i="48" s="1"/>
  <c r="E117" i="48"/>
  <c r="A356" i="48"/>
  <c r="AL355" i="48"/>
  <c r="AH355" i="48"/>
  <c r="AC355" i="48"/>
  <c r="Y355" i="48"/>
  <c r="T355" i="48"/>
  <c r="P355" i="48"/>
  <c r="K355" i="48"/>
  <c r="G355" i="48"/>
  <c r="C355" i="48"/>
  <c r="AK355" i="48"/>
  <c r="AE355" i="48"/>
  <c r="Z355" i="48"/>
  <c r="S355" i="48"/>
  <c r="M355" i="48"/>
  <c r="H355" i="48"/>
  <c r="B355" i="48"/>
  <c r="AO355" i="48"/>
  <c r="AJ355" i="48"/>
  <c r="AD355" i="48"/>
  <c r="W355" i="48"/>
  <c r="R355" i="48"/>
  <c r="L355" i="48"/>
  <c r="F355" i="48"/>
  <c r="AI355" i="48"/>
  <c r="V355" i="48"/>
  <c r="J355" i="48"/>
  <c r="AF355" i="48"/>
  <c r="Q355" i="48"/>
  <c r="D355" i="48"/>
  <c r="AB355" i="48"/>
  <c r="N355" i="48"/>
  <c r="AA355" i="48"/>
  <c r="U355" i="48"/>
  <c r="I355" i="48"/>
  <c r="E355" i="48"/>
  <c r="AN355" i="48"/>
  <c r="AM355" i="48"/>
  <c r="P70" i="48"/>
  <c r="S70" i="48"/>
  <c r="T70" i="48" s="1"/>
  <c r="AH118" i="47"/>
  <c r="AK118" i="47"/>
  <c r="AL118" i="47" s="1"/>
  <c r="A357" i="47"/>
  <c r="AL356" i="47"/>
  <c r="AH356" i="47"/>
  <c r="AC356" i="47"/>
  <c r="Y356" i="47"/>
  <c r="T356" i="47"/>
  <c r="P356" i="47"/>
  <c r="K356" i="47"/>
  <c r="G356" i="47"/>
  <c r="C356" i="47"/>
  <c r="AN356" i="47"/>
  <c r="AJ356" i="47"/>
  <c r="AE356" i="47"/>
  <c r="AA356" i="47"/>
  <c r="V356" i="47"/>
  <c r="R356" i="47"/>
  <c r="M356" i="47"/>
  <c r="I356" i="47"/>
  <c r="E356" i="47"/>
  <c r="AK356" i="47"/>
  <c r="AB356" i="47"/>
  <c r="S356" i="47"/>
  <c r="J356" i="47"/>
  <c r="B356" i="47"/>
  <c r="AO356" i="47"/>
  <c r="AF356" i="47"/>
  <c r="W356" i="47"/>
  <c r="N356" i="47"/>
  <c r="F356" i="47"/>
  <c r="AI356" i="47"/>
  <c r="Q356" i="47"/>
  <c r="AD356" i="47"/>
  <c r="L356" i="47"/>
  <c r="H356" i="47"/>
  <c r="AM356" i="47"/>
  <c r="D356" i="47"/>
  <c r="Z356" i="47"/>
  <c r="U356" i="47"/>
  <c r="AJ119" i="47"/>
  <c r="Z120" i="47"/>
  <c r="I120" i="47"/>
  <c r="H120" i="47"/>
  <c r="AN356" i="48" l="1"/>
  <c r="AJ356" i="48"/>
  <c r="AE356" i="48"/>
  <c r="AA356" i="48"/>
  <c r="V356" i="48"/>
  <c r="R356" i="48"/>
  <c r="M356" i="48"/>
  <c r="I356" i="48"/>
  <c r="E356" i="48"/>
  <c r="A357" i="48"/>
  <c r="AK356" i="48"/>
  <c r="AD356" i="48"/>
  <c r="Y356" i="48"/>
  <c r="S356" i="48"/>
  <c r="L356" i="48"/>
  <c r="G356" i="48"/>
  <c r="B356" i="48"/>
  <c r="AO356" i="48"/>
  <c r="AI356" i="48"/>
  <c r="AC356" i="48"/>
  <c r="W356" i="48"/>
  <c r="Q356" i="48"/>
  <c r="K356" i="48"/>
  <c r="F356" i="48"/>
  <c r="AM356" i="48"/>
  <c r="AB356" i="48"/>
  <c r="P356" i="48"/>
  <c r="D356" i="48"/>
  <c r="AL356" i="48"/>
  <c r="U356" i="48"/>
  <c r="H356" i="48"/>
  <c r="AH356" i="48"/>
  <c r="T356" i="48"/>
  <c r="C356" i="48"/>
  <c r="N356" i="48"/>
  <c r="J356" i="48"/>
  <c r="AF356" i="48"/>
  <c r="Z356" i="48"/>
  <c r="AA70" i="48"/>
  <c r="Q71" i="48"/>
  <c r="I117" i="48"/>
  <c r="AH119" i="47"/>
  <c r="AI119" i="47"/>
  <c r="AK119" i="47" s="1"/>
  <c r="AL119" i="47" s="1"/>
  <c r="L120" i="47"/>
  <c r="M120" i="47" s="1"/>
  <c r="AN357" i="47"/>
  <c r="AJ357" i="47"/>
  <c r="AE357" i="47"/>
  <c r="AA357" i="47"/>
  <c r="V357" i="47"/>
  <c r="R357" i="47"/>
  <c r="M357" i="47"/>
  <c r="I357" i="47"/>
  <c r="E357" i="47"/>
  <c r="A358" i="47"/>
  <c r="AL357" i="47"/>
  <c r="AH357" i="47"/>
  <c r="AC357" i="47"/>
  <c r="Y357" i="47"/>
  <c r="T357" i="47"/>
  <c r="P357" i="47"/>
  <c r="K357" i="47"/>
  <c r="G357" i="47"/>
  <c r="C357" i="47"/>
  <c r="AM357" i="47"/>
  <c r="AD357" i="47"/>
  <c r="U357" i="47"/>
  <c r="L357" i="47"/>
  <c r="D357" i="47"/>
  <c r="AI357" i="47"/>
  <c r="Z357" i="47"/>
  <c r="Q357" i="47"/>
  <c r="H357" i="47"/>
  <c r="AB357" i="47"/>
  <c r="J357" i="47"/>
  <c r="AO357" i="47"/>
  <c r="W357" i="47"/>
  <c r="F357" i="47"/>
  <c r="AK357" i="47"/>
  <c r="B357" i="47"/>
  <c r="AF357" i="47"/>
  <c r="S357" i="47"/>
  <c r="N357" i="47"/>
  <c r="L117" i="48" l="1"/>
  <c r="N117" i="48" s="1"/>
  <c r="Y70" i="48"/>
  <c r="AB70" i="48"/>
  <c r="AC70" i="48" s="1"/>
  <c r="AM357" i="48"/>
  <c r="AI357" i="48"/>
  <c r="AD357" i="48"/>
  <c r="A358" i="48"/>
  <c r="AL357" i="48"/>
  <c r="AH357" i="48"/>
  <c r="AC357" i="48"/>
  <c r="Y357" i="48"/>
  <c r="T357" i="48"/>
  <c r="P357" i="48"/>
  <c r="K357" i="48"/>
  <c r="G357" i="48"/>
  <c r="C357" i="48"/>
  <c r="AN357" i="48"/>
  <c r="AE357" i="48"/>
  <c r="W357" i="48"/>
  <c r="R357" i="48"/>
  <c r="L357" i="48"/>
  <c r="F357" i="48"/>
  <c r="AK357" i="48"/>
  <c r="AB357" i="48"/>
  <c r="V357" i="48"/>
  <c r="Q357" i="48"/>
  <c r="J357" i="48"/>
  <c r="E357" i="48"/>
  <c r="AJ357" i="48"/>
  <c r="U357" i="48"/>
  <c r="I357" i="48"/>
  <c r="AA357" i="48"/>
  <c r="M357" i="48"/>
  <c r="Z357" i="48"/>
  <c r="H357" i="48"/>
  <c r="AO357" i="48"/>
  <c r="D357" i="48"/>
  <c r="AF357" i="48"/>
  <c r="B357" i="48"/>
  <c r="S357" i="48"/>
  <c r="N357" i="48"/>
  <c r="D120" i="47"/>
  <c r="AI120" i="47"/>
  <c r="A359" i="47"/>
  <c r="AL358" i="47"/>
  <c r="AH358" i="47"/>
  <c r="AC358" i="47"/>
  <c r="Y358" i="47"/>
  <c r="T358" i="47"/>
  <c r="P358" i="47"/>
  <c r="K358" i="47"/>
  <c r="G358" i="47"/>
  <c r="C358" i="47"/>
  <c r="AN358" i="47"/>
  <c r="AJ358" i="47"/>
  <c r="AE358" i="47"/>
  <c r="AA358" i="47"/>
  <c r="V358" i="47"/>
  <c r="R358" i="47"/>
  <c r="M358" i="47"/>
  <c r="I358" i="47"/>
  <c r="E358" i="47"/>
  <c r="AO358" i="47"/>
  <c r="AF358" i="47"/>
  <c r="W358" i="47"/>
  <c r="N358" i="47"/>
  <c r="F358" i="47"/>
  <c r="AK358" i="47"/>
  <c r="AB358" i="47"/>
  <c r="S358" i="47"/>
  <c r="J358" i="47"/>
  <c r="B358" i="47"/>
  <c r="AM358" i="47"/>
  <c r="U358" i="47"/>
  <c r="D358" i="47"/>
  <c r="AI358" i="47"/>
  <c r="Q358" i="47"/>
  <c r="AD358" i="47"/>
  <c r="Z358" i="47"/>
  <c r="L358" i="47"/>
  <c r="H358" i="47"/>
  <c r="N120" i="47"/>
  <c r="R120" i="47" s="1"/>
  <c r="M117" i="48" l="1"/>
  <c r="AJ70" i="48"/>
  <c r="Z71" i="48"/>
  <c r="D117" i="48"/>
  <c r="A359" i="48"/>
  <c r="AL358" i="48"/>
  <c r="AH358" i="48"/>
  <c r="AC358" i="48"/>
  <c r="Y358" i="48"/>
  <c r="T358" i="48"/>
  <c r="AM358" i="48"/>
  <c r="AK358" i="48"/>
  <c r="AE358" i="48"/>
  <c r="Z358" i="48"/>
  <c r="S358" i="48"/>
  <c r="N358" i="48"/>
  <c r="J358" i="48"/>
  <c r="F358" i="48"/>
  <c r="B358" i="48"/>
  <c r="AO358" i="48"/>
  <c r="AJ358" i="48"/>
  <c r="AD358" i="48"/>
  <c r="W358" i="48"/>
  <c r="R358" i="48"/>
  <c r="M358" i="48"/>
  <c r="I358" i="48"/>
  <c r="E358" i="48"/>
  <c r="AN358" i="48"/>
  <c r="AA358" i="48"/>
  <c r="P358" i="48"/>
  <c r="G358" i="48"/>
  <c r="AI358" i="48"/>
  <c r="V358" i="48"/>
  <c r="L358" i="48"/>
  <c r="D358" i="48"/>
  <c r="AF358" i="48"/>
  <c r="K358" i="48"/>
  <c r="H358" i="48"/>
  <c r="AB358" i="48"/>
  <c r="C358" i="48"/>
  <c r="U358" i="48"/>
  <c r="Q358" i="48"/>
  <c r="AN359" i="47"/>
  <c r="AJ359" i="47"/>
  <c r="AE359" i="47"/>
  <c r="AA359" i="47"/>
  <c r="V359" i="47"/>
  <c r="R359" i="47"/>
  <c r="M359" i="47"/>
  <c r="I359" i="47"/>
  <c r="E359" i="47"/>
  <c r="A360" i="47"/>
  <c r="AL359" i="47"/>
  <c r="AH359" i="47"/>
  <c r="AC359" i="47"/>
  <c r="Y359" i="47"/>
  <c r="T359" i="47"/>
  <c r="P359" i="47"/>
  <c r="K359" i="47"/>
  <c r="G359" i="47"/>
  <c r="C359" i="47"/>
  <c r="AI359" i="47"/>
  <c r="Z359" i="47"/>
  <c r="Q359" i="47"/>
  <c r="H359" i="47"/>
  <c r="AM359" i="47"/>
  <c r="AD359" i="47"/>
  <c r="U359" i="47"/>
  <c r="L359" i="47"/>
  <c r="D359" i="47"/>
  <c r="AF359" i="47"/>
  <c r="N359" i="47"/>
  <c r="AB359" i="47"/>
  <c r="J359" i="47"/>
  <c r="W359" i="47"/>
  <c r="S359" i="47"/>
  <c r="AO359" i="47"/>
  <c r="F359" i="47"/>
  <c r="AK359" i="47"/>
  <c r="B359" i="47"/>
  <c r="P120" i="47"/>
  <c r="S120" i="47"/>
  <c r="T120" i="47" s="1"/>
  <c r="G121" i="47"/>
  <c r="F121" i="47"/>
  <c r="E121" i="47"/>
  <c r="AN359" i="48" l="1"/>
  <c r="AJ359" i="48"/>
  <c r="AE359" i="48"/>
  <c r="AA359" i="48"/>
  <c r="V359" i="48"/>
  <c r="R359" i="48"/>
  <c r="M359" i="48"/>
  <c r="I359" i="48"/>
  <c r="E359" i="48"/>
  <c r="AL359" i="48"/>
  <c r="AF359" i="48"/>
  <c r="Z359" i="48"/>
  <c r="T359" i="48"/>
  <c r="N359" i="48"/>
  <c r="H359" i="48"/>
  <c r="C359" i="48"/>
  <c r="A360" i="48"/>
  <c r="AK359" i="48"/>
  <c r="AD359" i="48"/>
  <c r="Y359" i="48"/>
  <c r="S359" i="48"/>
  <c r="L359" i="48"/>
  <c r="G359" i="48"/>
  <c r="B359" i="48"/>
  <c r="AO359" i="48"/>
  <c r="AI359" i="48"/>
  <c r="AC359" i="48"/>
  <c r="W359" i="48"/>
  <c r="Q359" i="48"/>
  <c r="K359" i="48"/>
  <c r="F359" i="48"/>
  <c r="U359" i="48"/>
  <c r="AM359" i="48"/>
  <c r="P359" i="48"/>
  <c r="AH359" i="48"/>
  <c r="D359" i="48"/>
  <c r="AB359" i="48"/>
  <c r="J359" i="48"/>
  <c r="AH70" i="48"/>
  <c r="AK70" i="48"/>
  <c r="AL70" i="48" s="1"/>
  <c r="G118" i="48"/>
  <c r="F118" i="48"/>
  <c r="E118" i="48"/>
  <c r="AA120" i="47"/>
  <c r="Q121" i="47"/>
  <c r="I121" i="47"/>
  <c r="A361" i="47"/>
  <c r="AL360" i="47"/>
  <c r="AH360" i="47"/>
  <c r="AC360" i="47"/>
  <c r="Y360" i="47"/>
  <c r="T360" i="47"/>
  <c r="P360" i="47"/>
  <c r="K360" i="47"/>
  <c r="G360" i="47"/>
  <c r="C360" i="47"/>
  <c r="AN360" i="47"/>
  <c r="AJ360" i="47"/>
  <c r="AE360" i="47"/>
  <c r="AA360" i="47"/>
  <c r="V360" i="47"/>
  <c r="R360" i="47"/>
  <c r="M360" i="47"/>
  <c r="I360" i="47"/>
  <c r="E360" i="47"/>
  <c r="AK360" i="47"/>
  <c r="AB360" i="47"/>
  <c r="S360" i="47"/>
  <c r="J360" i="47"/>
  <c r="B360" i="47"/>
  <c r="AO360" i="47"/>
  <c r="AF360" i="47"/>
  <c r="W360" i="47"/>
  <c r="N360" i="47"/>
  <c r="F360" i="47"/>
  <c r="Z360" i="47"/>
  <c r="H360" i="47"/>
  <c r="AM360" i="47"/>
  <c r="U360" i="47"/>
  <c r="D360" i="47"/>
  <c r="Q360" i="47"/>
  <c r="L360" i="47"/>
  <c r="AI360" i="47"/>
  <c r="AD360" i="47"/>
  <c r="H121" i="47"/>
  <c r="AI71" i="48" l="1"/>
  <c r="H118" i="48"/>
  <c r="I118" i="48"/>
  <c r="A361" i="48"/>
  <c r="AL360" i="48"/>
  <c r="AH360" i="48"/>
  <c r="AC360" i="48"/>
  <c r="Y360" i="48"/>
  <c r="T360" i="48"/>
  <c r="P360" i="48"/>
  <c r="K360" i="48"/>
  <c r="G360" i="48"/>
  <c r="C360" i="48"/>
  <c r="AK360" i="48"/>
  <c r="AE360" i="48"/>
  <c r="Z360" i="48"/>
  <c r="S360" i="48"/>
  <c r="M360" i="48"/>
  <c r="H360" i="48"/>
  <c r="B360" i="48"/>
  <c r="AO360" i="48"/>
  <c r="AJ360" i="48"/>
  <c r="AD360" i="48"/>
  <c r="W360" i="48"/>
  <c r="R360" i="48"/>
  <c r="L360" i="48"/>
  <c r="F360" i="48"/>
  <c r="AN360" i="48"/>
  <c r="AI360" i="48"/>
  <c r="AB360" i="48"/>
  <c r="V360" i="48"/>
  <c r="Q360" i="48"/>
  <c r="J360" i="48"/>
  <c r="E360" i="48"/>
  <c r="AA360" i="48"/>
  <c r="D360" i="48"/>
  <c r="U360" i="48"/>
  <c r="AM360" i="48"/>
  <c r="N360" i="48"/>
  <c r="I360" i="48"/>
  <c r="AF360" i="48"/>
  <c r="AN361" i="47"/>
  <c r="AJ361" i="47"/>
  <c r="AE361" i="47"/>
  <c r="AA361" i="47"/>
  <c r="V361" i="47"/>
  <c r="R361" i="47"/>
  <c r="M361" i="47"/>
  <c r="I361" i="47"/>
  <c r="E361" i="47"/>
  <c r="A362" i="47"/>
  <c r="AL361" i="47"/>
  <c r="AH361" i="47"/>
  <c r="AC361" i="47"/>
  <c r="Y361" i="47"/>
  <c r="T361" i="47"/>
  <c r="P361" i="47"/>
  <c r="K361" i="47"/>
  <c r="G361" i="47"/>
  <c r="C361" i="47"/>
  <c r="AM361" i="47"/>
  <c r="AD361" i="47"/>
  <c r="U361" i="47"/>
  <c r="L361" i="47"/>
  <c r="D361" i="47"/>
  <c r="AI361" i="47"/>
  <c r="Z361" i="47"/>
  <c r="Q361" i="47"/>
  <c r="H361" i="47"/>
  <c r="AK361" i="47"/>
  <c r="S361" i="47"/>
  <c r="B361" i="47"/>
  <c r="AF361" i="47"/>
  <c r="N361" i="47"/>
  <c r="J361" i="47"/>
  <c r="AO361" i="47"/>
  <c r="F361" i="47"/>
  <c r="AB361" i="47"/>
  <c r="W361" i="47"/>
  <c r="L121" i="47"/>
  <c r="D121" i="47" s="1"/>
  <c r="Y120" i="47"/>
  <c r="AB120" i="47"/>
  <c r="AC120" i="47" s="1"/>
  <c r="L118" i="48" l="1"/>
  <c r="M118" i="48" s="1"/>
  <c r="AN361" i="48"/>
  <c r="AJ361" i="48"/>
  <c r="AE361" i="48"/>
  <c r="AA361" i="48"/>
  <c r="V361" i="48"/>
  <c r="R361" i="48"/>
  <c r="M361" i="48"/>
  <c r="I361" i="48"/>
  <c r="E361" i="48"/>
  <c r="A362" i="48"/>
  <c r="AK361" i="48"/>
  <c r="AD361" i="48"/>
  <c r="Y361" i="48"/>
  <c r="S361" i="48"/>
  <c r="L361" i="48"/>
  <c r="G361" i="48"/>
  <c r="B361" i="48"/>
  <c r="AO361" i="48"/>
  <c r="AI361" i="48"/>
  <c r="AC361" i="48"/>
  <c r="W361" i="48"/>
  <c r="Q361" i="48"/>
  <c r="K361" i="48"/>
  <c r="F361" i="48"/>
  <c r="AM361" i="48"/>
  <c r="AH361" i="48"/>
  <c r="AB361" i="48"/>
  <c r="U361" i="48"/>
  <c r="P361" i="48"/>
  <c r="J361" i="48"/>
  <c r="D361" i="48"/>
  <c r="AF361" i="48"/>
  <c r="H361" i="48"/>
  <c r="Z361" i="48"/>
  <c r="C361" i="48"/>
  <c r="AL361" i="48"/>
  <c r="T361" i="48"/>
  <c r="N361" i="48"/>
  <c r="R71" i="48"/>
  <c r="F122" i="47"/>
  <c r="G122" i="47"/>
  <c r="E122" i="47"/>
  <c r="AJ120" i="47"/>
  <c r="Z121" i="47"/>
  <c r="A363" i="47"/>
  <c r="AL362" i="47"/>
  <c r="AH362" i="47"/>
  <c r="AC362" i="47"/>
  <c r="Y362" i="47"/>
  <c r="T362" i="47"/>
  <c r="P362" i="47"/>
  <c r="K362" i="47"/>
  <c r="G362" i="47"/>
  <c r="C362" i="47"/>
  <c r="AN362" i="47"/>
  <c r="AJ362" i="47"/>
  <c r="AE362" i="47"/>
  <c r="AA362" i="47"/>
  <c r="V362" i="47"/>
  <c r="R362" i="47"/>
  <c r="M362" i="47"/>
  <c r="I362" i="47"/>
  <c r="E362" i="47"/>
  <c r="AO362" i="47"/>
  <c r="AF362" i="47"/>
  <c r="W362" i="47"/>
  <c r="N362" i="47"/>
  <c r="F362" i="47"/>
  <c r="AK362" i="47"/>
  <c r="AB362" i="47"/>
  <c r="S362" i="47"/>
  <c r="J362" i="47"/>
  <c r="B362" i="47"/>
  <c r="AD362" i="47"/>
  <c r="L362" i="47"/>
  <c r="Z362" i="47"/>
  <c r="H362" i="47"/>
  <c r="AM362" i="47"/>
  <c r="D362" i="47"/>
  <c r="AI362" i="47"/>
  <c r="U362" i="47"/>
  <c r="Q362" i="47"/>
  <c r="N121" i="47"/>
  <c r="R121" i="47" s="1"/>
  <c r="M121" i="47"/>
  <c r="P71" i="48" l="1"/>
  <c r="S71" i="48"/>
  <c r="T71" i="48" s="1"/>
  <c r="D118" i="48"/>
  <c r="A363" i="48"/>
  <c r="AL362" i="48"/>
  <c r="AH362" i="48"/>
  <c r="AC362" i="48"/>
  <c r="Y362" i="48"/>
  <c r="T362" i="48"/>
  <c r="P362" i="48"/>
  <c r="K362" i="48"/>
  <c r="G362" i="48"/>
  <c r="C362" i="48"/>
  <c r="AO362" i="48"/>
  <c r="AK362" i="48"/>
  <c r="AF362" i="48"/>
  <c r="AB362" i="48"/>
  <c r="W362" i="48"/>
  <c r="S362" i="48"/>
  <c r="N362" i="48"/>
  <c r="J362" i="48"/>
  <c r="F362" i="48"/>
  <c r="AN362" i="48"/>
  <c r="AJ362" i="48"/>
  <c r="AE362" i="48"/>
  <c r="AA362" i="48"/>
  <c r="V362" i="48"/>
  <c r="AD362" i="48"/>
  <c r="Q362" i="48"/>
  <c r="H362" i="48"/>
  <c r="Z362" i="48"/>
  <c r="M362" i="48"/>
  <c r="E362" i="48"/>
  <c r="AM362" i="48"/>
  <c r="U362" i="48"/>
  <c r="L362" i="48"/>
  <c r="D362" i="48"/>
  <c r="R362" i="48"/>
  <c r="I362" i="48"/>
  <c r="B362" i="48"/>
  <c r="AI362" i="48"/>
  <c r="N118" i="48"/>
  <c r="P121" i="47"/>
  <c r="S121" i="47"/>
  <c r="T121" i="47" s="1"/>
  <c r="AH120" i="47"/>
  <c r="AK120" i="47"/>
  <c r="AL120" i="47" s="1"/>
  <c r="H122" i="47"/>
  <c r="AN363" i="47"/>
  <c r="AJ363" i="47"/>
  <c r="AE363" i="47"/>
  <c r="AA363" i="47"/>
  <c r="V363" i="47"/>
  <c r="R363" i="47"/>
  <c r="M363" i="47"/>
  <c r="I363" i="47"/>
  <c r="E363" i="47"/>
  <c r="A364" i="47"/>
  <c r="AL363" i="47"/>
  <c r="AH363" i="47"/>
  <c r="AC363" i="47"/>
  <c r="Y363" i="47"/>
  <c r="T363" i="47"/>
  <c r="P363" i="47"/>
  <c r="K363" i="47"/>
  <c r="G363" i="47"/>
  <c r="C363" i="47"/>
  <c r="AI363" i="47"/>
  <c r="Z363" i="47"/>
  <c r="Q363" i="47"/>
  <c r="H363" i="47"/>
  <c r="AM363" i="47"/>
  <c r="AD363" i="47"/>
  <c r="U363" i="47"/>
  <c r="L363" i="47"/>
  <c r="D363" i="47"/>
  <c r="AO363" i="47"/>
  <c r="W363" i="47"/>
  <c r="F363" i="47"/>
  <c r="AK363" i="47"/>
  <c r="S363" i="47"/>
  <c r="B363" i="47"/>
  <c r="AF363" i="47"/>
  <c r="AB363" i="47"/>
  <c r="N363" i="47"/>
  <c r="J363" i="47"/>
  <c r="I122" i="47"/>
  <c r="AN363" i="48" l="1"/>
  <c r="AJ363" i="48"/>
  <c r="AE363" i="48"/>
  <c r="AA363" i="48"/>
  <c r="V363" i="48"/>
  <c r="R363" i="48"/>
  <c r="M363" i="48"/>
  <c r="I363" i="48"/>
  <c r="E363" i="48"/>
  <c r="AM363" i="48"/>
  <c r="AI363" i="48"/>
  <c r="AD363" i="48"/>
  <c r="Z363" i="48"/>
  <c r="U363" i="48"/>
  <c r="Q363" i="48"/>
  <c r="L363" i="48"/>
  <c r="H363" i="48"/>
  <c r="D363" i="48"/>
  <c r="A364" i="48"/>
  <c r="AL363" i="48"/>
  <c r="AH363" i="48"/>
  <c r="AC363" i="48"/>
  <c r="Y363" i="48"/>
  <c r="T363" i="48"/>
  <c r="P363" i="48"/>
  <c r="K363" i="48"/>
  <c r="G363" i="48"/>
  <c r="C363" i="48"/>
  <c r="AO363" i="48"/>
  <c r="W363" i="48"/>
  <c r="F363" i="48"/>
  <c r="AK363" i="48"/>
  <c r="S363" i="48"/>
  <c r="B363" i="48"/>
  <c r="AF363" i="48"/>
  <c r="N363" i="48"/>
  <c r="AB363" i="48"/>
  <c r="J363" i="48"/>
  <c r="F119" i="48"/>
  <c r="G119" i="48"/>
  <c r="E119" i="48"/>
  <c r="AA71" i="48"/>
  <c r="Q72" i="48"/>
  <c r="L122" i="47"/>
  <c r="M122" i="47" s="1"/>
  <c r="AN364" i="47"/>
  <c r="AJ364" i="47"/>
  <c r="AM364" i="47"/>
  <c r="AH364" i="47"/>
  <c r="AC364" i="47"/>
  <c r="Y364" i="47"/>
  <c r="T364" i="47"/>
  <c r="P364" i="47"/>
  <c r="K364" i="47"/>
  <c r="G364" i="47"/>
  <c r="C364" i="47"/>
  <c r="A365" i="47"/>
  <c r="AK364" i="47"/>
  <c r="AE364" i="47"/>
  <c r="AA364" i="47"/>
  <c r="V364" i="47"/>
  <c r="R364" i="47"/>
  <c r="M364" i="47"/>
  <c r="I364" i="47"/>
  <c r="E364" i="47"/>
  <c r="AL364" i="47"/>
  <c r="AB364" i="47"/>
  <c r="S364" i="47"/>
  <c r="J364" i="47"/>
  <c r="B364" i="47"/>
  <c r="AF364" i="47"/>
  <c r="W364" i="47"/>
  <c r="N364" i="47"/>
  <c r="F364" i="47"/>
  <c r="AI364" i="47"/>
  <c r="Q364" i="47"/>
  <c r="AD364" i="47"/>
  <c r="L364" i="47"/>
  <c r="Z364" i="47"/>
  <c r="U364" i="47"/>
  <c r="H364" i="47"/>
  <c r="D364" i="47"/>
  <c r="AO364" i="47"/>
  <c r="AI121" i="47"/>
  <c r="AA121" i="47"/>
  <c r="Q122" i="47"/>
  <c r="N122" i="47" l="1"/>
  <c r="R122" i="47" s="1"/>
  <c r="P122" i="47" s="1"/>
  <c r="I119" i="48"/>
  <c r="H119" i="48"/>
  <c r="A365" i="48"/>
  <c r="AL364" i="48"/>
  <c r="AH364" i="48"/>
  <c r="AC364" i="48"/>
  <c r="Y364" i="48"/>
  <c r="T364" i="48"/>
  <c r="P364" i="48"/>
  <c r="K364" i="48"/>
  <c r="G364" i="48"/>
  <c r="C364" i="48"/>
  <c r="AO364" i="48"/>
  <c r="AK364" i="48"/>
  <c r="AF364" i="48"/>
  <c r="AB364" i="48"/>
  <c r="W364" i="48"/>
  <c r="S364" i="48"/>
  <c r="N364" i="48"/>
  <c r="J364" i="48"/>
  <c r="F364" i="48"/>
  <c r="B364" i="48"/>
  <c r="AN364" i="48"/>
  <c r="AJ364" i="48"/>
  <c r="AE364" i="48"/>
  <c r="AA364" i="48"/>
  <c r="V364" i="48"/>
  <c r="R364" i="48"/>
  <c r="M364" i="48"/>
  <c r="I364" i="48"/>
  <c r="E364" i="48"/>
  <c r="AI364" i="48"/>
  <c r="Q364" i="48"/>
  <c r="AD364" i="48"/>
  <c r="L364" i="48"/>
  <c r="Z364" i="48"/>
  <c r="H364" i="48"/>
  <c r="D364" i="48"/>
  <c r="AM364" i="48"/>
  <c r="U364" i="48"/>
  <c r="Y71" i="48"/>
  <c r="AB71" i="48"/>
  <c r="AC71" i="48" s="1"/>
  <c r="Q123" i="47"/>
  <c r="Y121" i="47"/>
  <c r="AB121" i="47"/>
  <c r="AC121" i="47" s="1"/>
  <c r="A366" i="47"/>
  <c r="AL365" i="47"/>
  <c r="AH365" i="47"/>
  <c r="AC365" i="47"/>
  <c r="Y365" i="47"/>
  <c r="T365" i="47"/>
  <c r="P365" i="47"/>
  <c r="K365" i="47"/>
  <c r="G365" i="47"/>
  <c r="C365" i="47"/>
  <c r="AM365" i="47"/>
  <c r="AF365" i="47"/>
  <c r="AA365" i="47"/>
  <c r="U365" i="47"/>
  <c r="N365" i="47"/>
  <c r="I365" i="47"/>
  <c r="D365" i="47"/>
  <c r="AO365" i="47"/>
  <c r="AJ365" i="47"/>
  <c r="AD365" i="47"/>
  <c r="W365" i="47"/>
  <c r="R365" i="47"/>
  <c r="L365" i="47"/>
  <c r="F365" i="47"/>
  <c r="AE365" i="47"/>
  <c r="S365" i="47"/>
  <c r="H365" i="47"/>
  <c r="AK365" i="47"/>
  <c r="Z365" i="47"/>
  <c r="M365" i="47"/>
  <c r="B365" i="47"/>
  <c r="AN365" i="47"/>
  <c r="Q365" i="47"/>
  <c r="AI365" i="47"/>
  <c r="J365" i="47"/>
  <c r="AB365" i="47"/>
  <c r="V365" i="47"/>
  <c r="E365" i="47"/>
  <c r="S122" i="47"/>
  <c r="T122" i="47" s="1"/>
  <c r="D122" i="47"/>
  <c r="AJ71" i="48" l="1"/>
  <c r="Z72" i="48"/>
  <c r="L119" i="48"/>
  <c r="N119" i="48" s="1"/>
  <c r="AN365" i="48"/>
  <c r="AJ365" i="48"/>
  <c r="AE365" i="48"/>
  <c r="AA365" i="48"/>
  <c r="V365" i="48"/>
  <c r="R365" i="48"/>
  <c r="M365" i="48"/>
  <c r="I365" i="48"/>
  <c r="E365" i="48"/>
  <c r="AM365" i="48"/>
  <c r="AI365" i="48"/>
  <c r="AD365" i="48"/>
  <c r="Z365" i="48"/>
  <c r="U365" i="48"/>
  <c r="Q365" i="48"/>
  <c r="L365" i="48"/>
  <c r="H365" i="48"/>
  <c r="D365" i="48"/>
  <c r="A366" i="48"/>
  <c r="AL365" i="48"/>
  <c r="AH365" i="48"/>
  <c r="AC365" i="48"/>
  <c r="Y365" i="48"/>
  <c r="T365" i="48"/>
  <c r="P365" i="48"/>
  <c r="K365" i="48"/>
  <c r="G365" i="48"/>
  <c r="C365" i="48"/>
  <c r="AB365" i="48"/>
  <c r="J365" i="48"/>
  <c r="AO365" i="48"/>
  <c r="W365" i="48"/>
  <c r="F365" i="48"/>
  <c r="AK365" i="48"/>
  <c r="S365" i="48"/>
  <c r="B365" i="48"/>
  <c r="AF365" i="48"/>
  <c r="N365" i="48"/>
  <c r="M119" i="48"/>
  <c r="AN366" i="47"/>
  <c r="AJ366" i="47"/>
  <c r="AE366" i="47"/>
  <c r="AA366" i="47"/>
  <c r="V366" i="47"/>
  <c r="R366" i="47"/>
  <c r="M366" i="47"/>
  <c r="I366" i="47"/>
  <c r="E366" i="47"/>
  <c r="AL366" i="47"/>
  <c r="AF366" i="47"/>
  <c r="Z366" i="47"/>
  <c r="T366" i="47"/>
  <c r="N366" i="47"/>
  <c r="H366" i="47"/>
  <c r="C366" i="47"/>
  <c r="AO366" i="47"/>
  <c r="AI366" i="47"/>
  <c r="AC366" i="47"/>
  <c r="W366" i="47"/>
  <c r="Q366" i="47"/>
  <c r="K366" i="47"/>
  <c r="F366" i="47"/>
  <c r="AK366" i="47"/>
  <c r="Y366" i="47"/>
  <c r="L366" i="47"/>
  <c r="B366" i="47"/>
  <c r="A367" i="47"/>
  <c r="AD366" i="47"/>
  <c r="S366" i="47"/>
  <c r="G366" i="47"/>
  <c r="U366" i="47"/>
  <c r="AM366" i="47"/>
  <c r="P366" i="47"/>
  <c r="AH366" i="47"/>
  <c r="AB366" i="47"/>
  <c r="J366" i="47"/>
  <c r="D366" i="47"/>
  <c r="F123" i="47"/>
  <c r="G123" i="47"/>
  <c r="E123" i="47"/>
  <c r="AJ121" i="47"/>
  <c r="Z122" i="47"/>
  <c r="AA122" i="47"/>
  <c r="Y122" i="47" s="1"/>
  <c r="D119" i="48" l="1"/>
  <c r="A367" i="48"/>
  <c r="AL366" i="48"/>
  <c r="AH366" i="48"/>
  <c r="AC366" i="48"/>
  <c r="Y366" i="48"/>
  <c r="T366" i="48"/>
  <c r="P366" i="48"/>
  <c r="K366" i="48"/>
  <c r="G366" i="48"/>
  <c r="C366" i="48"/>
  <c r="AO366" i="48"/>
  <c r="AK366" i="48"/>
  <c r="AF366" i="48"/>
  <c r="AB366" i="48"/>
  <c r="W366" i="48"/>
  <c r="S366" i="48"/>
  <c r="N366" i="48"/>
  <c r="J366" i="48"/>
  <c r="F366" i="48"/>
  <c r="B366" i="48"/>
  <c r="AN366" i="48"/>
  <c r="AJ366" i="48"/>
  <c r="AE366" i="48"/>
  <c r="AA366" i="48"/>
  <c r="V366" i="48"/>
  <c r="R366" i="48"/>
  <c r="M366" i="48"/>
  <c r="I366" i="48"/>
  <c r="E366" i="48"/>
  <c r="AM366" i="48"/>
  <c r="U366" i="48"/>
  <c r="D366" i="48"/>
  <c r="AI366" i="48"/>
  <c r="Q366" i="48"/>
  <c r="AD366" i="48"/>
  <c r="L366" i="48"/>
  <c r="H366" i="48"/>
  <c r="Z366" i="48"/>
  <c r="AH71" i="48"/>
  <c r="AK71" i="48"/>
  <c r="AL71" i="48" s="1"/>
  <c r="AJ122" i="47"/>
  <c r="Z123" i="47"/>
  <c r="I123" i="47"/>
  <c r="A368" i="47"/>
  <c r="AL367" i="47"/>
  <c r="AH367" i="47"/>
  <c r="AC367" i="47"/>
  <c r="Y367" i="47"/>
  <c r="T367" i="47"/>
  <c r="P367" i="47"/>
  <c r="K367" i="47"/>
  <c r="G367" i="47"/>
  <c r="C367" i="47"/>
  <c r="AK367" i="47"/>
  <c r="AE367" i="47"/>
  <c r="Z367" i="47"/>
  <c r="S367" i="47"/>
  <c r="M367" i="47"/>
  <c r="H367" i="47"/>
  <c r="B367" i="47"/>
  <c r="AN367" i="47"/>
  <c r="AI367" i="47"/>
  <c r="AB367" i="47"/>
  <c r="V367" i="47"/>
  <c r="Q367" i="47"/>
  <c r="J367" i="47"/>
  <c r="E367" i="47"/>
  <c r="AO367" i="47"/>
  <c r="AD367" i="47"/>
  <c r="R367" i="47"/>
  <c r="F367" i="47"/>
  <c r="AJ367" i="47"/>
  <c r="W367" i="47"/>
  <c r="L367" i="47"/>
  <c r="AA367" i="47"/>
  <c r="D367" i="47"/>
  <c r="U367" i="47"/>
  <c r="AM367" i="47"/>
  <c r="AF367" i="47"/>
  <c r="N367" i="47"/>
  <c r="I367" i="47"/>
  <c r="AB122" i="47"/>
  <c r="AC122" i="47" s="1"/>
  <c r="AH121" i="47"/>
  <c r="AK121" i="47"/>
  <c r="AL121" i="47" s="1"/>
  <c r="H123" i="47"/>
  <c r="AN367" i="48" l="1"/>
  <c r="AJ367" i="48"/>
  <c r="AE367" i="48"/>
  <c r="AA367" i="48"/>
  <c r="V367" i="48"/>
  <c r="R367" i="48"/>
  <c r="M367" i="48"/>
  <c r="I367" i="48"/>
  <c r="E367" i="48"/>
  <c r="AM367" i="48"/>
  <c r="AI367" i="48"/>
  <c r="AD367" i="48"/>
  <c r="Z367" i="48"/>
  <c r="U367" i="48"/>
  <c r="Q367" i="48"/>
  <c r="L367" i="48"/>
  <c r="H367" i="48"/>
  <c r="D367" i="48"/>
  <c r="A368" i="48"/>
  <c r="AL367" i="48"/>
  <c r="AH367" i="48"/>
  <c r="AC367" i="48"/>
  <c r="Y367" i="48"/>
  <c r="T367" i="48"/>
  <c r="P367" i="48"/>
  <c r="K367" i="48"/>
  <c r="G367" i="48"/>
  <c r="C367" i="48"/>
  <c r="AF367" i="48"/>
  <c r="N367" i="48"/>
  <c r="AB367" i="48"/>
  <c r="J367" i="48"/>
  <c r="AO367" i="48"/>
  <c r="W367" i="48"/>
  <c r="F367" i="48"/>
  <c r="S367" i="48"/>
  <c r="B367" i="48"/>
  <c r="AK367" i="48"/>
  <c r="AI72" i="48"/>
  <c r="G120" i="48"/>
  <c r="F120" i="48"/>
  <c r="E120" i="48"/>
  <c r="L123" i="47"/>
  <c r="M123" i="47" s="1"/>
  <c r="D123" i="47"/>
  <c r="A369" i="47"/>
  <c r="AL368" i="47"/>
  <c r="AH368" i="47"/>
  <c r="AC368" i="47"/>
  <c r="Y368" i="47"/>
  <c r="T368" i="47"/>
  <c r="P368" i="47"/>
  <c r="K368" i="47"/>
  <c r="G368" i="47"/>
  <c r="AN368" i="47"/>
  <c r="AJ368" i="47"/>
  <c r="AE368" i="47"/>
  <c r="AA368" i="47"/>
  <c r="V368" i="47"/>
  <c r="R368" i="47"/>
  <c r="M368" i="47"/>
  <c r="I368" i="47"/>
  <c r="E368" i="47"/>
  <c r="AI368" i="47"/>
  <c r="Z368" i="47"/>
  <c r="Q368" i="47"/>
  <c r="H368" i="47"/>
  <c r="B368" i="47"/>
  <c r="AM368" i="47"/>
  <c r="AD368" i="47"/>
  <c r="U368" i="47"/>
  <c r="L368" i="47"/>
  <c r="D368" i="47"/>
  <c r="AF368" i="47"/>
  <c r="N368" i="47"/>
  <c r="AO368" i="47"/>
  <c r="W368" i="47"/>
  <c r="F368" i="47"/>
  <c r="J368" i="47"/>
  <c r="AK368" i="47"/>
  <c r="C368" i="47"/>
  <c r="AB368" i="47"/>
  <c r="S368" i="47"/>
  <c r="AH122" i="47"/>
  <c r="AI122" i="47"/>
  <c r="AK122" i="47" s="1"/>
  <c r="AL122" i="47" s="1"/>
  <c r="R72" i="48" l="1"/>
  <c r="A369" i="48"/>
  <c r="AL368" i="48"/>
  <c r="AH368" i="48"/>
  <c r="AC368" i="48"/>
  <c r="Y368" i="48"/>
  <c r="T368" i="48"/>
  <c r="P368" i="48"/>
  <c r="K368" i="48"/>
  <c r="G368" i="48"/>
  <c r="C368" i="48"/>
  <c r="AO368" i="48"/>
  <c r="AK368" i="48"/>
  <c r="AF368" i="48"/>
  <c r="AB368" i="48"/>
  <c r="W368" i="48"/>
  <c r="S368" i="48"/>
  <c r="N368" i="48"/>
  <c r="J368" i="48"/>
  <c r="F368" i="48"/>
  <c r="B368" i="48"/>
  <c r="AN368" i="48"/>
  <c r="AJ368" i="48"/>
  <c r="AE368" i="48"/>
  <c r="AA368" i="48"/>
  <c r="V368" i="48"/>
  <c r="R368" i="48"/>
  <c r="M368" i="48"/>
  <c r="I368" i="48"/>
  <c r="E368" i="48"/>
  <c r="Z368" i="48"/>
  <c r="H368" i="48"/>
  <c r="AM368" i="48"/>
  <c r="U368" i="48"/>
  <c r="D368" i="48"/>
  <c r="AI368" i="48"/>
  <c r="Q368" i="48"/>
  <c r="AD368" i="48"/>
  <c r="L368" i="48"/>
  <c r="I120" i="48"/>
  <c r="H120" i="48"/>
  <c r="F124" i="47"/>
  <c r="G124" i="47"/>
  <c r="E124" i="47"/>
  <c r="N123" i="47"/>
  <c r="R123" i="47" s="1"/>
  <c r="AI123" i="47"/>
  <c r="AN369" i="47"/>
  <c r="AJ369" i="47"/>
  <c r="AE369" i="47"/>
  <c r="AA369" i="47"/>
  <c r="V369" i="47"/>
  <c r="R369" i="47"/>
  <c r="M369" i="47"/>
  <c r="I369" i="47"/>
  <c r="E369" i="47"/>
  <c r="A370" i="47"/>
  <c r="AL369" i="47"/>
  <c r="AH369" i="47"/>
  <c r="AC369" i="47"/>
  <c r="Y369" i="47"/>
  <c r="T369" i="47"/>
  <c r="P369" i="47"/>
  <c r="K369" i="47"/>
  <c r="G369" i="47"/>
  <c r="C369" i="47"/>
  <c r="AK369" i="47"/>
  <c r="AB369" i="47"/>
  <c r="S369" i="47"/>
  <c r="J369" i="47"/>
  <c r="B369" i="47"/>
  <c r="AO369" i="47"/>
  <c r="AF369" i="47"/>
  <c r="W369" i="47"/>
  <c r="N369" i="47"/>
  <c r="F369" i="47"/>
  <c r="Z369" i="47"/>
  <c r="H369" i="47"/>
  <c r="AI369" i="47"/>
  <c r="Q369" i="47"/>
  <c r="AM369" i="47"/>
  <c r="D369" i="47"/>
  <c r="AD369" i="47"/>
  <c r="U369" i="47"/>
  <c r="L369" i="47"/>
  <c r="AN369" i="48" l="1"/>
  <c r="AJ369" i="48"/>
  <c r="AE369" i="48"/>
  <c r="AA369" i="48"/>
  <c r="V369" i="48"/>
  <c r="R369" i="48"/>
  <c r="M369" i="48"/>
  <c r="I369" i="48"/>
  <c r="E369" i="48"/>
  <c r="AM369" i="48"/>
  <c r="AI369" i="48"/>
  <c r="AD369" i="48"/>
  <c r="Z369" i="48"/>
  <c r="U369" i="48"/>
  <c r="Q369" i="48"/>
  <c r="L369" i="48"/>
  <c r="H369" i="48"/>
  <c r="D369" i="48"/>
  <c r="A370" i="48"/>
  <c r="AL369" i="48"/>
  <c r="AH369" i="48"/>
  <c r="AC369" i="48"/>
  <c r="Y369" i="48"/>
  <c r="T369" i="48"/>
  <c r="P369" i="48"/>
  <c r="K369" i="48"/>
  <c r="G369" i="48"/>
  <c r="C369" i="48"/>
  <c r="AK369" i="48"/>
  <c r="S369" i="48"/>
  <c r="B369" i="48"/>
  <c r="AF369" i="48"/>
  <c r="N369" i="48"/>
  <c r="AB369" i="48"/>
  <c r="J369" i="48"/>
  <c r="F369" i="48"/>
  <c r="AO369" i="48"/>
  <c r="W369" i="48"/>
  <c r="L120" i="48"/>
  <c r="M120" i="48" s="1"/>
  <c r="D120" i="48"/>
  <c r="P72" i="48"/>
  <c r="S72" i="48"/>
  <c r="T72" i="48" s="1"/>
  <c r="A371" i="47"/>
  <c r="AL370" i="47"/>
  <c r="AH370" i="47"/>
  <c r="AC370" i="47"/>
  <c r="Y370" i="47"/>
  <c r="T370" i="47"/>
  <c r="P370" i="47"/>
  <c r="K370" i="47"/>
  <c r="G370" i="47"/>
  <c r="C370" i="47"/>
  <c r="AN370" i="47"/>
  <c r="AJ370" i="47"/>
  <c r="AE370" i="47"/>
  <c r="AA370" i="47"/>
  <c r="V370" i="47"/>
  <c r="R370" i="47"/>
  <c r="M370" i="47"/>
  <c r="I370" i="47"/>
  <c r="E370" i="47"/>
  <c r="AM370" i="47"/>
  <c r="AD370" i="47"/>
  <c r="U370" i="47"/>
  <c r="L370" i="47"/>
  <c r="D370" i="47"/>
  <c r="AI370" i="47"/>
  <c r="Z370" i="47"/>
  <c r="Q370" i="47"/>
  <c r="H370" i="47"/>
  <c r="AK370" i="47"/>
  <c r="S370" i="47"/>
  <c r="B370" i="47"/>
  <c r="AB370" i="47"/>
  <c r="J370" i="47"/>
  <c r="AF370" i="47"/>
  <c r="W370" i="47"/>
  <c r="AO370" i="47"/>
  <c r="N370" i="47"/>
  <c r="F370" i="47"/>
  <c r="P123" i="47"/>
  <c r="S123" i="47"/>
  <c r="T123" i="47" s="1"/>
  <c r="I124" i="47"/>
  <c r="H124" i="47"/>
  <c r="N120" i="48" l="1"/>
  <c r="A371" i="48"/>
  <c r="AL370" i="48"/>
  <c r="AH370" i="48"/>
  <c r="AC370" i="48"/>
  <c r="Y370" i="48"/>
  <c r="T370" i="48"/>
  <c r="P370" i="48"/>
  <c r="K370" i="48"/>
  <c r="G370" i="48"/>
  <c r="C370" i="48"/>
  <c r="AO370" i="48"/>
  <c r="AK370" i="48"/>
  <c r="AF370" i="48"/>
  <c r="AB370" i="48"/>
  <c r="W370" i="48"/>
  <c r="S370" i="48"/>
  <c r="N370" i="48"/>
  <c r="J370" i="48"/>
  <c r="F370" i="48"/>
  <c r="B370" i="48"/>
  <c r="AN370" i="48"/>
  <c r="AJ370" i="48"/>
  <c r="AE370" i="48"/>
  <c r="AA370" i="48"/>
  <c r="V370" i="48"/>
  <c r="R370" i="48"/>
  <c r="M370" i="48"/>
  <c r="I370" i="48"/>
  <c r="E370" i="48"/>
  <c r="AD370" i="48"/>
  <c r="L370" i="48"/>
  <c r="Z370" i="48"/>
  <c r="H370" i="48"/>
  <c r="AM370" i="48"/>
  <c r="U370" i="48"/>
  <c r="D370" i="48"/>
  <c r="AI370" i="48"/>
  <c r="Q370" i="48"/>
  <c r="AA72" i="48"/>
  <c r="Q73" i="48"/>
  <c r="G121" i="48"/>
  <c r="F121" i="48"/>
  <c r="H121" i="48" s="1"/>
  <c r="E121" i="48"/>
  <c r="AA123" i="47"/>
  <c r="Q124" i="47"/>
  <c r="L124" i="47"/>
  <c r="N124" i="47" s="1"/>
  <c r="R124" i="47" s="1"/>
  <c r="P124" i="47" s="1"/>
  <c r="D124" i="47"/>
  <c r="AN371" i="47"/>
  <c r="AJ371" i="47"/>
  <c r="AE371" i="47"/>
  <c r="AA371" i="47"/>
  <c r="V371" i="47"/>
  <c r="R371" i="47"/>
  <c r="M371" i="47"/>
  <c r="I371" i="47"/>
  <c r="E371" i="47"/>
  <c r="A372" i="47"/>
  <c r="AL371" i="47"/>
  <c r="AH371" i="47"/>
  <c r="AC371" i="47"/>
  <c r="Y371" i="47"/>
  <c r="T371" i="47"/>
  <c r="P371" i="47"/>
  <c r="K371" i="47"/>
  <c r="G371" i="47"/>
  <c r="C371" i="47"/>
  <c r="AO371" i="47"/>
  <c r="AF371" i="47"/>
  <c r="W371" i="47"/>
  <c r="N371" i="47"/>
  <c r="F371" i="47"/>
  <c r="AK371" i="47"/>
  <c r="AB371" i="47"/>
  <c r="S371" i="47"/>
  <c r="J371" i="47"/>
  <c r="B371" i="47"/>
  <c r="AD371" i="47"/>
  <c r="L371" i="47"/>
  <c r="AM371" i="47"/>
  <c r="U371" i="47"/>
  <c r="D371" i="47"/>
  <c r="Z371" i="47"/>
  <c r="Q371" i="47"/>
  <c r="H371" i="47"/>
  <c r="AI371" i="47"/>
  <c r="M124" i="47" l="1"/>
  <c r="I121" i="48"/>
  <c r="AN371" i="48"/>
  <c r="AJ371" i="48"/>
  <c r="AE371" i="48"/>
  <c r="AA371" i="48"/>
  <c r="V371" i="48"/>
  <c r="R371" i="48"/>
  <c r="M371" i="48"/>
  <c r="I371" i="48"/>
  <c r="E371" i="48"/>
  <c r="AM371" i="48"/>
  <c r="AI371" i="48"/>
  <c r="AD371" i="48"/>
  <c r="Z371" i="48"/>
  <c r="U371" i="48"/>
  <c r="Q371" i="48"/>
  <c r="L371" i="48"/>
  <c r="H371" i="48"/>
  <c r="D371" i="48"/>
  <c r="A372" i="48"/>
  <c r="AL371" i="48"/>
  <c r="AH371" i="48"/>
  <c r="AC371" i="48"/>
  <c r="Y371" i="48"/>
  <c r="T371" i="48"/>
  <c r="P371" i="48"/>
  <c r="K371" i="48"/>
  <c r="G371" i="48"/>
  <c r="C371" i="48"/>
  <c r="AO371" i="48"/>
  <c r="W371" i="48"/>
  <c r="F371" i="48"/>
  <c r="AK371" i="48"/>
  <c r="S371" i="48"/>
  <c r="B371" i="48"/>
  <c r="AF371" i="48"/>
  <c r="N371" i="48"/>
  <c r="AB371" i="48"/>
  <c r="J371" i="48"/>
  <c r="Y72" i="48"/>
  <c r="AB72" i="48"/>
  <c r="AC72" i="48" s="1"/>
  <c r="Q125" i="47"/>
  <c r="G125" i="47"/>
  <c r="F125" i="47"/>
  <c r="H125" i="47" s="1"/>
  <c r="E125" i="47"/>
  <c r="S124" i="47"/>
  <c r="T124" i="47" s="1"/>
  <c r="A373" i="47"/>
  <c r="AL372" i="47"/>
  <c r="AH372" i="47"/>
  <c r="AC372" i="47"/>
  <c r="Y372" i="47"/>
  <c r="T372" i="47"/>
  <c r="P372" i="47"/>
  <c r="K372" i="47"/>
  <c r="G372" i="47"/>
  <c r="C372" i="47"/>
  <c r="AN372" i="47"/>
  <c r="AJ372" i="47"/>
  <c r="AE372" i="47"/>
  <c r="AA372" i="47"/>
  <c r="V372" i="47"/>
  <c r="R372" i="47"/>
  <c r="M372" i="47"/>
  <c r="I372" i="47"/>
  <c r="E372" i="47"/>
  <c r="AI372" i="47"/>
  <c r="Z372" i="47"/>
  <c r="Q372" i="47"/>
  <c r="H372" i="47"/>
  <c r="AM372" i="47"/>
  <c r="AD372" i="47"/>
  <c r="U372" i="47"/>
  <c r="L372" i="47"/>
  <c r="D372" i="47"/>
  <c r="AO372" i="47"/>
  <c r="W372" i="47"/>
  <c r="F372" i="47"/>
  <c r="AF372" i="47"/>
  <c r="N372" i="47"/>
  <c r="S372" i="47"/>
  <c r="J372" i="47"/>
  <c r="AK372" i="47"/>
  <c r="AB372" i="47"/>
  <c r="B372" i="47"/>
  <c r="Y123" i="47"/>
  <c r="AB123" i="47"/>
  <c r="AC123" i="47" s="1"/>
  <c r="AJ72" i="48" l="1"/>
  <c r="Z73" i="48"/>
  <c r="A373" i="48"/>
  <c r="AL372" i="48"/>
  <c r="AH372" i="48"/>
  <c r="AC372" i="48"/>
  <c r="Y372" i="48"/>
  <c r="T372" i="48"/>
  <c r="P372" i="48"/>
  <c r="K372" i="48"/>
  <c r="G372" i="48"/>
  <c r="C372" i="48"/>
  <c r="AO372" i="48"/>
  <c r="AK372" i="48"/>
  <c r="AF372" i="48"/>
  <c r="AB372" i="48"/>
  <c r="W372" i="48"/>
  <c r="S372" i="48"/>
  <c r="N372" i="48"/>
  <c r="J372" i="48"/>
  <c r="F372" i="48"/>
  <c r="B372" i="48"/>
  <c r="AN372" i="48"/>
  <c r="AJ372" i="48"/>
  <c r="AE372" i="48"/>
  <c r="AA372" i="48"/>
  <c r="V372" i="48"/>
  <c r="R372" i="48"/>
  <c r="M372" i="48"/>
  <c r="I372" i="48"/>
  <c r="E372" i="48"/>
  <c r="AI372" i="48"/>
  <c r="Q372" i="48"/>
  <c r="AD372" i="48"/>
  <c r="L372" i="48"/>
  <c r="Z372" i="48"/>
  <c r="H372" i="48"/>
  <c r="U372" i="48"/>
  <c r="D372" i="48"/>
  <c r="AM372" i="48"/>
  <c r="L121" i="48"/>
  <c r="M121" i="48" s="1"/>
  <c r="AM373" i="47"/>
  <c r="A374" i="47"/>
  <c r="AL373" i="47"/>
  <c r="AH373" i="47"/>
  <c r="AC373" i="47"/>
  <c r="AN373" i="47"/>
  <c r="AF373" i="47"/>
  <c r="AA373" i="47"/>
  <c r="V373" i="47"/>
  <c r="R373" i="47"/>
  <c r="M373" i="47"/>
  <c r="I373" i="47"/>
  <c r="E373" i="47"/>
  <c r="AJ373" i="47"/>
  <c r="AD373" i="47"/>
  <c r="Y373" i="47"/>
  <c r="T373" i="47"/>
  <c r="P373" i="47"/>
  <c r="K373" i="47"/>
  <c r="G373" i="47"/>
  <c r="C373" i="47"/>
  <c r="AO373" i="47"/>
  <c r="AB373" i="47"/>
  <c r="S373" i="47"/>
  <c r="J373" i="47"/>
  <c r="B373" i="47"/>
  <c r="AI373" i="47"/>
  <c r="W373" i="47"/>
  <c r="N373" i="47"/>
  <c r="F373" i="47"/>
  <c r="AK373" i="47"/>
  <c r="Q373" i="47"/>
  <c r="Z373" i="47"/>
  <c r="H373" i="47"/>
  <c r="L373" i="47"/>
  <c r="D373" i="47"/>
  <c r="AE373" i="47"/>
  <c r="U373" i="47"/>
  <c r="AJ123" i="47"/>
  <c r="Z124" i="47"/>
  <c r="I125" i="47"/>
  <c r="AA124" i="47"/>
  <c r="Y124" i="47" s="1"/>
  <c r="N121" i="48" l="1"/>
  <c r="AH72" i="48"/>
  <c r="AK72" i="48"/>
  <c r="AL72" i="48" s="1"/>
  <c r="D121" i="48"/>
  <c r="AN373" i="48"/>
  <c r="AJ373" i="48"/>
  <c r="AE373" i="48"/>
  <c r="AA373" i="48"/>
  <c r="V373" i="48"/>
  <c r="R373" i="48"/>
  <c r="M373" i="48"/>
  <c r="I373" i="48"/>
  <c r="E373" i="48"/>
  <c r="AM373" i="48"/>
  <c r="AI373" i="48"/>
  <c r="AD373" i="48"/>
  <c r="Z373" i="48"/>
  <c r="U373" i="48"/>
  <c r="Q373" i="48"/>
  <c r="L373" i="48"/>
  <c r="H373" i="48"/>
  <c r="D373" i="48"/>
  <c r="A374" i="48"/>
  <c r="AL373" i="48"/>
  <c r="AH373" i="48"/>
  <c r="AC373" i="48"/>
  <c r="Y373" i="48"/>
  <c r="T373" i="48"/>
  <c r="P373" i="48"/>
  <c r="K373" i="48"/>
  <c r="G373" i="48"/>
  <c r="C373" i="48"/>
  <c r="AB373" i="48"/>
  <c r="J373" i="48"/>
  <c r="AO373" i="48"/>
  <c r="W373" i="48"/>
  <c r="F373" i="48"/>
  <c r="AK373" i="48"/>
  <c r="S373" i="48"/>
  <c r="B373" i="48"/>
  <c r="AF373" i="48"/>
  <c r="N373" i="48"/>
  <c r="AJ124" i="47"/>
  <c r="Z125" i="47"/>
  <c r="AB124" i="47"/>
  <c r="AC124" i="47" s="1"/>
  <c r="AH123" i="47"/>
  <c r="AK123" i="47"/>
  <c r="AL123" i="47" s="1"/>
  <c r="N125" i="47"/>
  <c r="R125" i="47" s="1"/>
  <c r="L125" i="47"/>
  <c r="D125" i="47" s="1"/>
  <c r="M125" i="47"/>
  <c r="AO374" i="47"/>
  <c r="AK374" i="47"/>
  <c r="AF374" i="47"/>
  <c r="AB374" i="47"/>
  <c r="W374" i="47"/>
  <c r="S374" i="47"/>
  <c r="N374" i="47"/>
  <c r="J374" i="47"/>
  <c r="F374" i="47"/>
  <c r="B374" i="47"/>
  <c r="AN374" i="47"/>
  <c r="AJ374" i="47"/>
  <c r="AE374" i="47"/>
  <c r="AA374" i="47"/>
  <c r="V374" i="47"/>
  <c r="R374" i="47"/>
  <c r="M374" i="47"/>
  <c r="I374" i="47"/>
  <c r="E374" i="47"/>
  <c r="A375" i="47"/>
  <c r="AH374" i="47"/>
  <c r="Y374" i="47"/>
  <c r="P374" i="47"/>
  <c r="G374" i="47"/>
  <c r="AL374" i="47"/>
  <c r="AC374" i="47"/>
  <c r="T374" i="47"/>
  <c r="K374" i="47"/>
  <c r="C374" i="47"/>
  <c r="AI374" i="47"/>
  <c r="Q374" i="47"/>
  <c r="Z374" i="47"/>
  <c r="H374" i="47"/>
  <c r="AD374" i="47"/>
  <c r="L374" i="47"/>
  <c r="U374" i="47"/>
  <c r="D374" i="47"/>
  <c r="AM374" i="47"/>
  <c r="AO374" i="48" l="1"/>
  <c r="AK374" i="48"/>
  <c r="AF374" i="48"/>
  <c r="AB374" i="48"/>
  <c r="W374" i="48"/>
  <c r="S374" i="48"/>
  <c r="N374" i="48"/>
  <c r="J374" i="48"/>
  <c r="F374" i="48"/>
  <c r="AN374" i="48"/>
  <c r="AJ374" i="48"/>
  <c r="AE374" i="48"/>
  <c r="AA374" i="48"/>
  <c r="V374" i="48"/>
  <c r="R374" i="48"/>
  <c r="M374" i="48"/>
  <c r="I374" i="48"/>
  <c r="E374" i="48"/>
  <c r="AM374" i="48"/>
  <c r="AI374" i="48"/>
  <c r="AD374" i="48"/>
  <c r="Z374" i="48"/>
  <c r="U374" i="48"/>
  <c r="Q374" i="48"/>
  <c r="L374" i="48"/>
  <c r="H374" i="48"/>
  <c r="D374" i="48"/>
  <c r="AL374" i="48"/>
  <c r="T374" i="48"/>
  <c r="C374" i="48"/>
  <c r="AH374" i="48"/>
  <c r="P374" i="48"/>
  <c r="B374" i="48"/>
  <c r="AC374" i="48"/>
  <c r="K374" i="48"/>
  <c r="G374" i="48"/>
  <c r="A375" i="48"/>
  <c r="Y374" i="48"/>
  <c r="AI73" i="48"/>
  <c r="G122" i="48"/>
  <c r="F122" i="48"/>
  <c r="E122" i="48"/>
  <c r="F126" i="47"/>
  <c r="G126" i="47"/>
  <c r="E126" i="47"/>
  <c r="P125" i="47"/>
  <c r="S125" i="47"/>
  <c r="T125" i="47" s="1"/>
  <c r="AM375" i="47"/>
  <c r="AI375" i="47"/>
  <c r="AD375" i="47"/>
  <c r="Z375" i="47"/>
  <c r="U375" i="47"/>
  <c r="Q375" i="47"/>
  <c r="L375" i="47"/>
  <c r="H375" i="47"/>
  <c r="D375" i="47"/>
  <c r="A376" i="47"/>
  <c r="AL375" i="47"/>
  <c r="AH375" i="47"/>
  <c r="AC375" i="47"/>
  <c r="Y375" i="47"/>
  <c r="T375" i="47"/>
  <c r="P375" i="47"/>
  <c r="K375" i="47"/>
  <c r="G375" i="47"/>
  <c r="C375" i="47"/>
  <c r="AJ375" i="47"/>
  <c r="AA375" i="47"/>
  <c r="R375" i="47"/>
  <c r="I375" i="47"/>
  <c r="AN375" i="47"/>
  <c r="AE375" i="47"/>
  <c r="V375" i="47"/>
  <c r="M375" i="47"/>
  <c r="E375" i="47"/>
  <c r="AB375" i="47"/>
  <c r="J375" i="47"/>
  <c r="AK375" i="47"/>
  <c r="S375" i="47"/>
  <c r="B375" i="47"/>
  <c r="W375" i="47"/>
  <c r="AO375" i="47"/>
  <c r="F375" i="47"/>
  <c r="AF375" i="47"/>
  <c r="N375" i="47"/>
  <c r="AH124" i="47"/>
  <c r="AI124" i="47"/>
  <c r="AK124" i="47" s="1"/>
  <c r="AL124" i="47" s="1"/>
  <c r="R73" i="48" l="1"/>
  <c r="I122" i="48"/>
  <c r="H122" i="48"/>
  <c r="AM375" i="48"/>
  <c r="AI375" i="48"/>
  <c r="AD375" i="48"/>
  <c r="Z375" i="48"/>
  <c r="U375" i="48"/>
  <c r="Q375" i="48"/>
  <c r="L375" i="48"/>
  <c r="H375" i="48"/>
  <c r="D375" i="48"/>
  <c r="A376" i="48"/>
  <c r="AL375" i="48"/>
  <c r="AH375" i="48"/>
  <c r="AC375" i="48"/>
  <c r="Y375" i="48"/>
  <c r="T375" i="48"/>
  <c r="P375" i="48"/>
  <c r="K375" i="48"/>
  <c r="G375" i="48"/>
  <c r="C375" i="48"/>
  <c r="AO375" i="48"/>
  <c r="AK375" i="48"/>
  <c r="AF375" i="48"/>
  <c r="AB375" i="48"/>
  <c r="W375" i="48"/>
  <c r="S375" i="48"/>
  <c r="N375" i="48"/>
  <c r="J375" i="48"/>
  <c r="F375" i="48"/>
  <c r="B375" i="48"/>
  <c r="AE375" i="48"/>
  <c r="M375" i="48"/>
  <c r="AA375" i="48"/>
  <c r="I375" i="48"/>
  <c r="AN375" i="48"/>
  <c r="V375" i="48"/>
  <c r="E375" i="48"/>
  <c r="AJ375" i="48"/>
  <c r="R375" i="48"/>
  <c r="AO376" i="47"/>
  <c r="AK376" i="47"/>
  <c r="AF376" i="47"/>
  <c r="AB376" i="47"/>
  <c r="W376" i="47"/>
  <c r="S376" i="47"/>
  <c r="N376" i="47"/>
  <c r="J376" i="47"/>
  <c r="F376" i="47"/>
  <c r="B376" i="47"/>
  <c r="AN376" i="47"/>
  <c r="AJ376" i="47"/>
  <c r="AE376" i="47"/>
  <c r="AA376" i="47"/>
  <c r="V376" i="47"/>
  <c r="R376" i="47"/>
  <c r="M376" i="47"/>
  <c r="I376" i="47"/>
  <c r="E376" i="47"/>
  <c r="AL376" i="47"/>
  <c r="AC376" i="47"/>
  <c r="T376" i="47"/>
  <c r="K376" i="47"/>
  <c r="C376" i="47"/>
  <c r="A377" i="47"/>
  <c r="AH376" i="47"/>
  <c r="Y376" i="47"/>
  <c r="P376" i="47"/>
  <c r="G376" i="47"/>
  <c r="AM376" i="47"/>
  <c r="U376" i="47"/>
  <c r="D376" i="47"/>
  <c r="AD376" i="47"/>
  <c r="L376" i="47"/>
  <c r="Q376" i="47"/>
  <c r="AI376" i="47"/>
  <c r="H376" i="47"/>
  <c r="Z376" i="47"/>
  <c r="AA125" i="47"/>
  <c r="Q126" i="47"/>
  <c r="H126" i="47"/>
  <c r="AI125" i="47"/>
  <c r="I126" i="47"/>
  <c r="AO376" i="48" l="1"/>
  <c r="AK376" i="48"/>
  <c r="AF376" i="48"/>
  <c r="AB376" i="48"/>
  <c r="W376" i="48"/>
  <c r="S376" i="48"/>
  <c r="N376" i="48"/>
  <c r="J376" i="48"/>
  <c r="F376" i="48"/>
  <c r="B376" i="48"/>
  <c r="AN376" i="48"/>
  <c r="AJ376" i="48"/>
  <c r="AE376" i="48"/>
  <c r="AA376" i="48"/>
  <c r="V376" i="48"/>
  <c r="R376" i="48"/>
  <c r="M376" i="48"/>
  <c r="I376" i="48"/>
  <c r="E376" i="48"/>
  <c r="AM376" i="48"/>
  <c r="AI376" i="48"/>
  <c r="AD376" i="48"/>
  <c r="Z376" i="48"/>
  <c r="U376" i="48"/>
  <c r="Q376" i="48"/>
  <c r="L376" i="48"/>
  <c r="H376" i="48"/>
  <c r="D376" i="48"/>
  <c r="A377" i="48"/>
  <c r="Y376" i="48"/>
  <c r="G376" i="48"/>
  <c r="AL376" i="48"/>
  <c r="T376" i="48"/>
  <c r="C376" i="48"/>
  <c r="AH376" i="48"/>
  <c r="P376" i="48"/>
  <c r="AC376" i="48"/>
  <c r="K376" i="48"/>
  <c r="L122" i="48"/>
  <c r="N122" i="48" s="1"/>
  <c r="P73" i="48"/>
  <c r="S73" i="48"/>
  <c r="T73" i="48" s="1"/>
  <c r="M122" i="48"/>
  <c r="AM377" i="47"/>
  <c r="AI377" i="47"/>
  <c r="AD377" i="47"/>
  <c r="Z377" i="47"/>
  <c r="U377" i="47"/>
  <c r="Q377" i="47"/>
  <c r="L377" i="47"/>
  <c r="H377" i="47"/>
  <c r="D377" i="47"/>
  <c r="A378" i="47"/>
  <c r="AL377" i="47"/>
  <c r="AH377" i="47"/>
  <c r="AC377" i="47"/>
  <c r="Y377" i="47"/>
  <c r="T377" i="47"/>
  <c r="P377" i="47"/>
  <c r="K377" i="47"/>
  <c r="G377" i="47"/>
  <c r="C377" i="47"/>
  <c r="AN377" i="47"/>
  <c r="AE377" i="47"/>
  <c r="V377" i="47"/>
  <c r="M377" i="47"/>
  <c r="E377" i="47"/>
  <c r="AJ377" i="47"/>
  <c r="AA377" i="47"/>
  <c r="R377" i="47"/>
  <c r="I377" i="47"/>
  <c r="AF377" i="47"/>
  <c r="N377" i="47"/>
  <c r="AO377" i="47"/>
  <c r="W377" i="47"/>
  <c r="F377" i="47"/>
  <c r="J377" i="47"/>
  <c r="AB377" i="47"/>
  <c r="AK377" i="47"/>
  <c r="S377" i="47"/>
  <c r="B377" i="47"/>
  <c r="L126" i="47"/>
  <c r="M126" i="47" s="1"/>
  <c r="Y125" i="47"/>
  <c r="AB125" i="47"/>
  <c r="AC125" i="47" s="1"/>
  <c r="D126" i="47" l="1"/>
  <c r="D122" i="48"/>
  <c r="AA73" i="48"/>
  <c r="Q74" i="48"/>
  <c r="F123" i="48"/>
  <c r="G123" i="48"/>
  <c r="E123" i="48"/>
  <c r="AM377" i="48"/>
  <c r="AI377" i="48"/>
  <c r="AD377" i="48"/>
  <c r="Z377" i="48"/>
  <c r="U377" i="48"/>
  <c r="Q377" i="48"/>
  <c r="L377" i="48"/>
  <c r="H377" i="48"/>
  <c r="D377" i="48"/>
  <c r="A378" i="48"/>
  <c r="AL377" i="48"/>
  <c r="AH377" i="48"/>
  <c r="AC377" i="48"/>
  <c r="Y377" i="48"/>
  <c r="T377" i="48"/>
  <c r="P377" i="48"/>
  <c r="K377" i="48"/>
  <c r="G377" i="48"/>
  <c r="C377" i="48"/>
  <c r="AO377" i="48"/>
  <c r="AK377" i="48"/>
  <c r="AF377" i="48"/>
  <c r="AB377" i="48"/>
  <c r="W377" i="48"/>
  <c r="S377" i="48"/>
  <c r="N377" i="48"/>
  <c r="J377" i="48"/>
  <c r="F377" i="48"/>
  <c r="B377" i="48"/>
  <c r="AJ377" i="48"/>
  <c r="R377" i="48"/>
  <c r="AE377" i="48"/>
  <c r="M377" i="48"/>
  <c r="AA377" i="48"/>
  <c r="I377" i="48"/>
  <c r="V377" i="48"/>
  <c r="E377" i="48"/>
  <c r="AN377" i="48"/>
  <c r="F127" i="47"/>
  <c r="G127" i="47"/>
  <c r="E127" i="47"/>
  <c r="N126" i="47"/>
  <c r="R126" i="47" s="1"/>
  <c r="AJ125" i="47"/>
  <c r="Z126" i="47"/>
  <c r="A379" i="47"/>
  <c r="AL378" i="47"/>
  <c r="AH378" i="47"/>
  <c r="AC378" i="47"/>
  <c r="Y378" i="47"/>
  <c r="T378" i="47"/>
  <c r="P378" i="47"/>
  <c r="K378" i="47"/>
  <c r="G378" i="47"/>
  <c r="C378" i="47"/>
  <c r="AO378" i="47"/>
  <c r="AK378" i="47"/>
  <c r="AF378" i="47"/>
  <c r="AB378" i="47"/>
  <c r="W378" i="47"/>
  <c r="S378" i="47"/>
  <c r="N378" i="47"/>
  <c r="J378" i="47"/>
  <c r="F378" i="47"/>
  <c r="B378" i="47"/>
  <c r="AN378" i="47"/>
  <c r="AJ378" i="47"/>
  <c r="AE378" i="47"/>
  <c r="AA378" i="47"/>
  <c r="V378" i="47"/>
  <c r="R378" i="47"/>
  <c r="M378" i="47"/>
  <c r="I378" i="47"/>
  <c r="E378" i="47"/>
  <c r="AD378" i="47"/>
  <c r="L378" i="47"/>
  <c r="AM378" i="47"/>
  <c r="U378" i="47"/>
  <c r="D378" i="47"/>
  <c r="Q378" i="47"/>
  <c r="AI378" i="47"/>
  <c r="H378" i="47"/>
  <c r="Z378" i="47"/>
  <c r="AO378" i="48" l="1"/>
  <c r="AK378" i="48"/>
  <c r="AF378" i="48"/>
  <c r="AB378" i="48"/>
  <c r="W378" i="48"/>
  <c r="S378" i="48"/>
  <c r="N378" i="48"/>
  <c r="J378" i="48"/>
  <c r="F378" i="48"/>
  <c r="B378" i="48"/>
  <c r="AN378" i="48"/>
  <c r="AJ378" i="48"/>
  <c r="AE378" i="48"/>
  <c r="AA378" i="48"/>
  <c r="V378" i="48"/>
  <c r="R378" i="48"/>
  <c r="M378" i="48"/>
  <c r="I378" i="48"/>
  <c r="E378" i="48"/>
  <c r="AM378" i="48"/>
  <c r="AI378" i="48"/>
  <c r="AD378" i="48"/>
  <c r="Z378" i="48"/>
  <c r="U378" i="48"/>
  <c r="Q378" i="48"/>
  <c r="L378" i="48"/>
  <c r="H378" i="48"/>
  <c r="D378" i="48"/>
  <c r="AC378" i="48"/>
  <c r="K378" i="48"/>
  <c r="A379" i="48"/>
  <c r="Y378" i="48"/>
  <c r="G378" i="48"/>
  <c r="AL378" i="48"/>
  <c r="T378" i="48"/>
  <c r="C378" i="48"/>
  <c r="AH378" i="48"/>
  <c r="P378" i="48"/>
  <c r="Y73" i="48"/>
  <c r="AB73" i="48"/>
  <c r="AC73" i="48" s="1"/>
  <c r="I123" i="48"/>
  <c r="H123" i="48"/>
  <c r="AH125" i="47"/>
  <c r="AK125" i="47"/>
  <c r="AL125" i="47" s="1"/>
  <c r="AN379" i="47"/>
  <c r="AJ379" i="47"/>
  <c r="AE379" i="47"/>
  <c r="AA379" i="47"/>
  <c r="V379" i="47"/>
  <c r="R379" i="47"/>
  <c r="M379" i="47"/>
  <c r="I379" i="47"/>
  <c r="E379" i="47"/>
  <c r="AM379" i="47"/>
  <c r="AI379" i="47"/>
  <c r="AD379" i="47"/>
  <c r="Z379" i="47"/>
  <c r="U379" i="47"/>
  <c r="Q379" i="47"/>
  <c r="L379" i="47"/>
  <c r="H379" i="47"/>
  <c r="D379" i="47"/>
  <c r="A380" i="47"/>
  <c r="AL379" i="47"/>
  <c r="AH379" i="47"/>
  <c r="AC379" i="47"/>
  <c r="Y379" i="47"/>
  <c r="T379" i="47"/>
  <c r="P379" i="47"/>
  <c r="K379" i="47"/>
  <c r="G379" i="47"/>
  <c r="C379" i="47"/>
  <c r="AO379" i="47"/>
  <c r="W379" i="47"/>
  <c r="F379" i="47"/>
  <c r="AF379" i="47"/>
  <c r="N379" i="47"/>
  <c r="J379" i="47"/>
  <c r="AB379" i="47"/>
  <c r="AK379" i="47"/>
  <c r="B379" i="47"/>
  <c r="S379" i="47"/>
  <c r="P126" i="47"/>
  <c r="S126" i="47"/>
  <c r="T126" i="47" s="1"/>
  <c r="I127" i="47"/>
  <c r="H127" i="47"/>
  <c r="L123" i="48" l="1"/>
  <c r="N123" i="48" s="1"/>
  <c r="AM379" i="48"/>
  <c r="AI379" i="48"/>
  <c r="AD379" i="48"/>
  <c r="Z379" i="48"/>
  <c r="U379" i="48"/>
  <c r="Q379" i="48"/>
  <c r="L379" i="48"/>
  <c r="H379" i="48"/>
  <c r="D379" i="48"/>
  <c r="A380" i="48"/>
  <c r="AL379" i="48"/>
  <c r="AH379" i="48"/>
  <c r="AC379" i="48"/>
  <c r="Y379" i="48"/>
  <c r="T379" i="48"/>
  <c r="P379" i="48"/>
  <c r="K379" i="48"/>
  <c r="G379" i="48"/>
  <c r="C379" i="48"/>
  <c r="AO379" i="48"/>
  <c r="AK379" i="48"/>
  <c r="AF379" i="48"/>
  <c r="AB379" i="48"/>
  <c r="W379" i="48"/>
  <c r="S379" i="48"/>
  <c r="N379" i="48"/>
  <c r="J379" i="48"/>
  <c r="F379" i="48"/>
  <c r="B379" i="48"/>
  <c r="AN379" i="48"/>
  <c r="V379" i="48"/>
  <c r="E379" i="48"/>
  <c r="AJ379" i="48"/>
  <c r="R379" i="48"/>
  <c r="AE379" i="48"/>
  <c r="M379" i="48"/>
  <c r="I379" i="48"/>
  <c r="AA379" i="48"/>
  <c r="AJ73" i="48"/>
  <c r="Z74" i="48"/>
  <c r="L127" i="47"/>
  <c r="M127" i="47" s="1"/>
  <c r="AA126" i="47"/>
  <c r="Q127" i="47"/>
  <c r="A381" i="47"/>
  <c r="AL380" i="47"/>
  <c r="AH380" i="47"/>
  <c r="AC380" i="47"/>
  <c r="Y380" i="47"/>
  <c r="T380" i="47"/>
  <c r="P380" i="47"/>
  <c r="K380" i="47"/>
  <c r="G380" i="47"/>
  <c r="C380" i="47"/>
  <c r="AO380" i="47"/>
  <c r="AK380" i="47"/>
  <c r="AF380" i="47"/>
  <c r="AB380" i="47"/>
  <c r="W380" i="47"/>
  <c r="S380" i="47"/>
  <c r="N380" i="47"/>
  <c r="J380" i="47"/>
  <c r="F380" i="47"/>
  <c r="B380" i="47"/>
  <c r="AN380" i="47"/>
  <c r="AJ380" i="47"/>
  <c r="AE380" i="47"/>
  <c r="AA380" i="47"/>
  <c r="V380" i="47"/>
  <c r="R380" i="47"/>
  <c r="M380" i="47"/>
  <c r="I380" i="47"/>
  <c r="E380" i="47"/>
  <c r="AI380" i="47"/>
  <c r="Q380" i="47"/>
  <c r="Z380" i="47"/>
  <c r="H380" i="47"/>
  <c r="AM380" i="47"/>
  <c r="D380" i="47"/>
  <c r="U380" i="47"/>
  <c r="AD380" i="47"/>
  <c r="L380" i="47"/>
  <c r="AI126" i="47"/>
  <c r="N127" i="47" l="1"/>
  <c r="R127" i="47" s="1"/>
  <c r="P127" i="47" s="1"/>
  <c r="D127" i="47"/>
  <c r="M123" i="48"/>
  <c r="AH73" i="48"/>
  <c r="AK73" i="48"/>
  <c r="AL73" i="48" s="1"/>
  <c r="D123" i="48"/>
  <c r="AO380" i="48"/>
  <c r="AK380" i="48"/>
  <c r="AF380" i="48"/>
  <c r="AB380" i="48"/>
  <c r="W380" i="48"/>
  <c r="S380" i="48"/>
  <c r="N380" i="48"/>
  <c r="J380" i="48"/>
  <c r="F380" i="48"/>
  <c r="B380" i="48"/>
  <c r="AN380" i="48"/>
  <c r="AJ380" i="48"/>
  <c r="AE380" i="48"/>
  <c r="AA380" i="48"/>
  <c r="V380" i="48"/>
  <c r="R380" i="48"/>
  <c r="M380" i="48"/>
  <c r="I380" i="48"/>
  <c r="E380" i="48"/>
  <c r="AM380" i="48"/>
  <c r="AI380" i="48"/>
  <c r="AD380" i="48"/>
  <c r="Z380" i="48"/>
  <c r="U380" i="48"/>
  <c r="Q380" i="48"/>
  <c r="L380" i="48"/>
  <c r="H380" i="48"/>
  <c r="D380" i="48"/>
  <c r="AH380" i="48"/>
  <c r="P380" i="48"/>
  <c r="AC380" i="48"/>
  <c r="K380" i="48"/>
  <c r="A381" i="48"/>
  <c r="Y380" i="48"/>
  <c r="G380" i="48"/>
  <c r="AL380" i="48"/>
  <c r="T380" i="48"/>
  <c r="C380" i="48"/>
  <c r="Q128" i="47"/>
  <c r="G128" i="47"/>
  <c r="F128" i="47"/>
  <c r="E128" i="47"/>
  <c r="AN381" i="47"/>
  <c r="AJ381" i="47"/>
  <c r="AE381" i="47"/>
  <c r="AA381" i="47"/>
  <c r="V381" i="47"/>
  <c r="R381" i="47"/>
  <c r="M381" i="47"/>
  <c r="I381" i="47"/>
  <c r="E381" i="47"/>
  <c r="AM381" i="47"/>
  <c r="AI381" i="47"/>
  <c r="AD381" i="47"/>
  <c r="Z381" i="47"/>
  <c r="U381" i="47"/>
  <c r="Q381" i="47"/>
  <c r="L381" i="47"/>
  <c r="H381" i="47"/>
  <c r="D381" i="47"/>
  <c r="A382" i="47"/>
  <c r="AL381" i="47"/>
  <c r="AH381" i="47"/>
  <c r="AC381" i="47"/>
  <c r="Y381" i="47"/>
  <c r="T381" i="47"/>
  <c r="P381" i="47"/>
  <c r="K381" i="47"/>
  <c r="G381" i="47"/>
  <c r="C381" i="47"/>
  <c r="AB381" i="47"/>
  <c r="J381" i="47"/>
  <c r="AO381" i="47"/>
  <c r="W381" i="47"/>
  <c r="AK381" i="47"/>
  <c r="S381" i="47"/>
  <c r="B381" i="47"/>
  <c r="N381" i="47"/>
  <c r="AF381" i="47"/>
  <c r="F381" i="47"/>
  <c r="Y126" i="47"/>
  <c r="AB126" i="47"/>
  <c r="AC126" i="47" s="1"/>
  <c r="S127" i="47"/>
  <c r="T127" i="47" s="1"/>
  <c r="F124" i="48" l="1"/>
  <c r="G124" i="48"/>
  <c r="E124" i="48"/>
  <c r="AM381" i="48"/>
  <c r="AI381" i="48"/>
  <c r="AD381" i="48"/>
  <c r="Z381" i="48"/>
  <c r="U381" i="48"/>
  <c r="Q381" i="48"/>
  <c r="L381" i="48"/>
  <c r="H381" i="48"/>
  <c r="D381" i="48"/>
  <c r="A382" i="48"/>
  <c r="AL381" i="48"/>
  <c r="AH381" i="48"/>
  <c r="AC381" i="48"/>
  <c r="Y381" i="48"/>
  <c r="T381" i="48"/>
  <c r="P381" i="48"/>
  <c r="K381" i="48"/>
  <c r="G381" i="48"/>
  <c r="C381" i="48"/>
  <c r="AO381" i="48"/>
  <c r="AK381" i="48"/>
  <c r="AF381" i="48"/>
  <c r="AB381" i="48"/>
  <c r="W381" i="48"/>
  <c r="S381" i="48"/>
  <c r="N381" i="48"/>
  <c r="J381" i="48"/>
  <c r="F381" i="48"/>
  <c r="B381" i="48"/>
  <c r="AA381" i="48"/>
  <c r="I381" i="48"/>
  <c r="AN381" i="48"/>
  <c r="V381" i="48"/>
  <c r="E381" i="48"/>
  <c r="AJ381" i="48"/>
  <c r="R381" i="48"/>
  <c r="AE381" i="48"/>
  <c r="M381" i="48"/>
  <c r="AI74" i="48"/>
  <c r="I128" i="47"/>
  <c r="AJ126" i="47"/>
  <c r="Z127" i="47"/>
  <c r="AJ382" i="47"/>
  <c r="Z382" i="47"/>
  <c r="P382" i="47"/>
  <c r="K382" i="47"/>
  <c r="G382" i="47"/>
  <c r="C382" i="47"/>
  <c r="AI382" i="47"/>
  <c r="Y382" i="47"/>
  <c r="N382" i="47"/>
  <c r="J382" i="47"/>
  <c r="F382" i="47"/>
  <c r="B382" i="47"/>
  <c r="AH382" i="47"/>
  <c r="R382" i="47"/>
  <c r="M382" i="47"/>
  <c r="I382" i="47"/>
  <c r="E382" i="47"/>
  <c r="AA382" i="47"/>
  <c r="D382" i="47"/>
  <c r="Q382" i="47"/>
  <c r="L382" i="47"/>
  <c r="H382" i="47"/>
  <c r="H128" i="47"/>
  <c r="AA127" i="47"/>
  <c r="Y127" i="47" s="1"/>
  <c r="H124" i="48" l="1"/>
  <c r="AO382" i="48"/>
  <c r="AK382" i="48"/>
  <c r="AF382" i="48"/>
  <c r="AB382" i="48"/>
  <c r="W382" i="48"/>
  <c r="S382" i="48"/>
  <c r="N382" i="48"/>
  <c r="J382" i="48"/>
  <c r="F382" i="48"/>
  <c r="B382" i="48"/>
  <c r="AN382" i="48"/>
  <c r="AJ382" i="48"/>
  <c r="AE382" i="48"/>
  <c r="AA382" i="48"/>
  <c r="V382" i="48"/>
  <c r="R382" i="48"/>
  <c r="M382" i="48"/>
  <c r="I382" i="48"/>
  <c r="E382" i="48"/>
  <c r="AM382" i="48"/>
  <c r="AI382" i="48"/>
  <c r="AD382" i="48"/>
  <c r="Z382" i="48"/>
  <c r="U382" i="48"/>
  <c r="Q382" i="48"/>
  <c r="L382" i="48"/>
  <c r="H382" i="48"/>
  <c r="D382" i="48"/>
  <c r="AL382" i="48"/>
  <c r="T382" i="48"/>
  <c r="C382" i="48"/>
  <c r="AH382" i="48"/>
  <c r="P382" i="48"/>
  <c r="AC382" i="48"/>
  <c r="K382" i="48"/>
  <c r="Y382" i="48"/>
  <c r="G382" i="48"/>
  <c r="R74" i="48"/>
  <c r="I124" i="48"/>
  <c r="AJ127" i="47"/>
  <c r="Z128" i="47"/>
  <c r="AB127" i="47"/>
  <c r="AC127" i="47" s="1"/>
  <c r="L128" i="47"/>
  <c r="N128" i="47" s="1"/>
  <c r="R128" i="47" s="1"/>
  <c r="AH126" i="47"/>
  <c r="AK126" i="47"/>
  <c r="AL126" i="47" s="1"/>
  <c r="P74" i="48" l="1"/>
  <c r="S74" i="48"/>
  <c r="T74" i="48" s="1"/>
  <c r="L124" i="48"/>
  <c r="M124" i="48" s="1"/>
  <c r="P128" i="47"/>
  <c r="S128" i="47"/>
  <c r="T128" i="47" s="1"/>
  <c r="AH127" i="47"/>
  <c r="AI127" i="47"/>
  <c r="AK127" i="47" s="1"/>
  <c r="AL127" i="47" s="1"/>
  <c r="M128" i="47"/>
  <c r="D128" i="47"/>
  <c r="D124" i="48" l="1"/>
  <c r="F125" i="48" s="1"/>
  <c r="N124" i="48"/>
  <c r="AA74" i="48"/>
  <c r="Q75" i="48"/>
  <c r="AI128" i="47"/>
  <c r="G129" i="47"/>
  <c r="F129" i="47"/>
  <c r="E129" i="47"/>
  <c r="AA128" i="47"/>
  <c r="Q129" i="47"/>
  <c r="E125" i="48" l="1"/>
  <c r="I125" i="48" s="1"/>
  <c r="G125" i="48"/>
  <c r="H125" i="48" s="1"/>
  <c r="Y74" i="48"/>
  <c r="AB74" i="48"/>
  <c r="AC74" i="48" s="1"/>
  <c r="Y128" i="47"/>
  <c r="AB128" i="47"/>
  <c r="AC128" i="47" s="1"/>
  <c r="I129" i="47"/>
  <c r="H129" i="47"/>
  <c r="AJ74" i="48" l="1"/>
  <c r="Z75" i="48"/>
  <c r="L125" i="48"/>
  <c r="N125" i="48" s="1"/>
  <c r="AJ128" i="47"/>
  <c r="Z129" i="47"/>
  <c r="L129" i="47"/>
  <c r="M129" i="47" s="1"/>
  <c r="D129" i="47"/>
  <c r="D125" i="48" l="1"/>
  <c r="F126" i="48" s="1"/>
  <c r="M125" i="48"/>
  <c r="AH74" i="48"/>
  <c r="AK74" i="48"/>
  <c r="AL74" i="48" s="1"/>
  <c r="AH128" i="47"/>
  <c r="AK128" i="47"/>
  <c r="AL128" i="47" s="1"/>
  <c r="G130" i="47"/>
  <c r="F130" i="47"/>
  <c r="H130" i="47" s="1"/>
  <c r="E130" i="47"/>
  <c r="N129" i="47"/>
  <c r="R129" i="47" s="1"/>
  <c r="E126" i="48" l="1"/>
  <c r="I126" i="48" s="1"/>
  <c r="G126" i="48"/>
  <c r="H126" i="48" s="1"/>
  <c r="AI75" i="48"/>
  <c r="I130" i="47"/>
  <c r="AI129" i="47"/>
  <c r="P129" i="47"/>
  <c r="S129" i="47"/>
  <c r="T129" i="47" s="1"/>
  <c r="R75" i="48" l="1"/>
  <c r="L126" i="48"/>
  <c r="D126" i="48" s="1"/>
  <c r="AA129" i="47"/>
  <c r="Q130" i="47"/>
  <c r="L130" i="47"/>
  <c r="M130" i="47" s="1"/>
  <c r="D130" i="47"/>
  <c r="N130" i="47" l="1"/>
  <c r="R130" i="47" s="1"/>
  <c r="P130" i="47" s="1"/>
  <c r="M126" i="48"/>
  <c r="N126" i="48"/>
  <c r="G127" i="48"/>
  <c r="F127" i="48"/>
  <c r="H127" i="48" s="1"/>
  <c r="E127" i="48"/>
  <c r="P75" i="48"/>
  <c r="S75" i="48"/>
  <c r="T75" i="48" s="1"/>
  <c r="Q131" i="47"/>
  <c r="Y129" i="47"/>
  <c r="AB129" i="47"/>
  <c r="AC129" i="47" s="1"/>
  <c r="S130" i="47"/>
  <c r="T130" i="47" s="1"/>
  <c r="F131" i="47"/>
  <c r="G131" i="47"/>
  <c r="E131" i="47"/>
  <c r="H131" i="47" l="1"/>
  <c r="AA75" i="48"/>
  <c r="Q76" i="48"/>
  <c r="I127" i="48"/>
  <c r="I131" i="47"/>
  <c r="AJ129" i="47"/>
  <c r="Z130" i="47"/>
  <c r="AA130" i="47"/>
  <c r="Y130" i="47" s="1"/>
  <c r="AB130" i="47" l="1"/>
  <c r="AC130" i="47" s="1"/>
  <c r="L127" i="48"/>
  <c r="N127" i="48" s="1"/>
  <c r="Y75" i="48"/>
  <c r="AB75" i="48"/>
  <c r="AC75" i="48" s="1"/>
  <c r="AJ130" i="47"/>
  <c r="Z131" i="47"/>
  <c r="AH129" i="47"/>
  <c r="AK129" i="47"/>
  <c r="AL129" i="47" s="1"/>
  <c r="L131" i="47"/>
  <c r="M131" i="47" s="1"/>
  <c r="M127" i="48" l="1"/>
  <c r="D127" i="48"/>
  <c r="AJ75" i="48"/>
  <c r="Z76" i="48"/>
  <c r="N131" i="47"/>
  <c r="R131" i="47" s="1"/>
  <c r="D131" i="47"/>
  <c r="AH130" i="47"/>
  <c r="AI130" i="47"/>
  <c r="AK130" i="47" s="1"/>
  <c r="AL130" i="47" s="1"/>
  <c r="G128" i="48" l="1"/>
  <c r="F128" i="48"/>
  <c r="E128" i="48"/>
  <c r="AH75" i="48"/>
  <c r="AK75" i="48"/>
  <c r="AL75" i="48" s="1"/>
  <c r="P131" i="47"/>
  <c r="S131" i="47"/>
  <c r="T131" i="47" s="1"/>
  <c r="AI131" i="47"/>
  <c r="G132" i="47"/>
  <c r="F132" i="47"/>
  <c r="H132" i="47" s="1"/>
  <c r="E132" i="47"/>
  <c r="H128" i="48" l="1"/>
  <c r="AI76" i="48"/>
  <c r="I128" i="48"/>
  <c r="I132" i="47"/>
  <c r="AA131" i="47"/>
  <c r="Q132" i="47"/>
  <c r="L128" i="48" l="1"/>
  <c r="M128" i="48" s="1"/>
  <c r="R76" i="48"/>
  <c r="L132" i="47"/>
  <c r="N132" i="47" s="1"/>
  <c r="R132" i="47" s="1"/>
  <c r="Y131" i="47"/>
  <c r="AB131" i="47"/>
  <c r="AC131" i="47" s="1"/>
  <c r="M132" i="47"/>
  <c r="D128" i="48" l="1"/>
  <c r="G129" i="48" s="1"/>
  <c r="P76" i="48"/>
  <c r="S76" i="48"/>
  <c r="T76" i="48" s="1"/>
  <c r="N128" i="48"/>
  <c r="P132" i="47"/>
  <c r="S132" i="47"/>
  <c r="T132" i="47" s="1"/>
  <c r="AJ131" i="47"/>
  <c r="Z132" i="47"/>
  <c r="D132" i="47"/>
  <c r="E129" i="48" l="1"/>
  <c r="F129" i="48"/>
  <c r="H129" i="48" s="1"/>
  <c r="AA76" i="48"/>
  <c r="Q77" i="48"/>
  <c r="AH131" i="47"/>
  <c r="AK131" i="47"/>
  <c r="AL131" i="47" s="1"/>
  <c r="G133" i="47"/>
  <c r="F133" i="47"/>
  <c r="H133" i="47" s="1"/>
  <c r="E133" i="47"/>
  <c r="AA132" i="47"/>
  <c r="Y132" i="47" s="1"/>
  <c r="Q133" i="47"/>
  <c r="I129" i="48" l="1"/>
  <c r="Y76" i="48"/>
  <c r="AB76" i="48"/>
  <c r="AC76" i="48" s="1"/>
  <c r="L129" i="48"/>
  <c r="D129" i="48" s="1"/>
  <c r="AJ132" i="47"/>
  <c r="Z133" i="47"/>
  <c r="AI132" i="47"/>
  <c r="AH132" i="47"/>
  <c r="I133" i="47"/>
  <c r="AB132" i="47"/>
  <c r="AC132" i="47" s="1"/>
  <c r="M129" i="48" l="1"/>
  <c r="N129" i="48"/>
  <c r="F130" i="48"/>
  <c r="G130" i="48"/>
  <c r="E130" i="48"/>
  <c r="AJ76" i="48"/>
  <c r="Z77" i="48"/>
  <c r="L133" i="47"/>
  <c r="M133" i="47" s="1"/>
  <c r="D133" i="47"/>
  <c r="AI133" i="47"/>
  <c r="AK132" i="47"/>
  <c r="AL132" i="47" s="1"/>
  <c r="N133" i="47" l="1"/>
  <c r="R133" i="47" s="1"/>
  <c r="AH76" i="48"/>
  <c r="AK76" i="48"/>
  <c r="AL76" i="48" s="1"/>
  <c r="I130" i="48"/>
  <c r="H130" i="48"/>
  <c r="P133" i="47"/>
  <c r="S133" i="47"/>
  <c r="T133" i="47" s="1"/>
  <c r="G134" i="47"/>
  <c r="F134" i="47"/>
  <c r="E134" i="47"/>
  <c r="AI77" i="48" l="1"/>
  <c r="L130" i="48"/>
  <c r="N130" i="48" s="1"/>
  <c r="M130" i="48"/>
  <c r="H134" i="47"/>
  <c r="I134" i="47"/>
  <c r="AA133" i="47"/>
  <c r="Q134" i="47"/>
  <c r="D130" i="48" l="1"/>
  <c r="R77" i="48"/>
  <c r="L134" i="47"/>
  <c r="N134" i="47" s="1"/>
  <c r="R134" i="47" s="1"/>
  <c r="Y133" i="47"/>
  <c r="AB133" i="47"/>
  <c r="AC133" i="47" s="1"/>
  <c r="M134" i="47"/>
  <c r="F131" i="48" l="1"/>
  <c r="G131" i="48"/>
  <c r="E131" i="48"/>
  <c r="P77" i="48"/>
  <c r="S77" i="48"/>
  <c r="T77" i="48" s="1"/>
  <c r="P134" i="47"/>
  <c r="S134" i="47"/>
  <c r="T134" i="47" s="1"/>
  <c r="D134" i="47"/>
  <c r="AJ133" i="47"/>
  <c r="Z134" i="47"/>
  <c r="AA77" i="48" l="1"/>
  <c r="Q78" i="48"/>
  <c r="H131" i="48"/>
  <c r="I131" i="48"/>
  <c r="F135" i="47"/>
  <c r="G135" i="47"/>
  <c r="E135" i="47"/>
  <c r="AH133" i="47"/>
  <c r="AK133" i="47"/>
  <c r="AL133" i="47" s="1"/>
  <c r="AA134" i="47"/>
  <c r="Y134" i="47" s="1"/>
  <c r="Q135" i="47"/>
  <c r="AB134" i="47" l="1"/>
  <c r="AC134" i="47" s="1"/>
  <c r="L131" i="48"/>
  <c r="N131" i="48" s="1"/>
  <c r="Y77" i="48"/>
  <c r="AB77" i="48"/>
  <c r="AC77" i="48" s="1"/>
  <c r="AI134" i="47"/>
  <c r="AJ134" i="47"/>
  <c r="AH134" i="47" s="1"/>
  <c r="Z135" i="47"/>
  <c r="I135" i="47"/>
  <c r="H135" i="47"/>
  <c r="AK134" i="47" l="1"/>
  <c r="AL134" i="47" s="1"/>
  <c r="AJ77" i="48"/>
  <c r="Z78" i="48"/>
  <c r="M131" i="48"/>
  <c r="D131" i="48"/>
  <c r="AI135" i="47"/>
  <c r="L135" i="47"/>
  <c r="M135" i="47" s="1"/>
  <c r="F132" i="48" l="1"/>
  <c r="G132" i="48"/>
  <c r="E132" i="48"/>
  <c r="AH77" i="48"/>
  <c r="AK77" i="48"/>
  <c r="AL77" i="48" s="1"/>
  <c r="D135" i="47"/>
  <c r="N135" i="47"/>
  <c r="R135" i="47" s="1"/>
  <c r="AI78" i="48" l="1"/>
  <c r="I132" i="48"/>
  <c r="H132" i="48"/>
  <c r="P135" i="47"/>
  <c r="S135" i="47"/>
  <c r="T135" i="47" s="1"/>
  <c r="F136" i="47"/>
  <c r="G136" i="47"/>
  <c r="E136" i="47"/>
  <c r="H136" i="47" l="1"/>
  <c r="R78" i="48"/>
  <c r="L132" i="48"/>
  <c r="M132" i="48" s="1"/>
  <c r="I136" i="47"/>
  <c r="AA135" i="47"/>
  <c r="Q136" i="47"/>
  <c r="N132" i="48" l="1"/>
  <c r="P78" i="48"/>
  <c r="S78" i="48"/>
  <c r="T78" i="48" s="1"/>
  <c r="D132" i="48"/>
  <c r="L136" i="47"/>
  <c r="M136" i="47" s="1"/>
  <c r="Y135" i="47"/>
  <c r="AB135" i="47"/>
  <c r="AC135" i="47" s="1"/>
  <c r="F133" i="48" l="1"/>
  <c r="G133" i="48"/>
  <c r="E133" i="48"/>
  <c r="AA78" i="48"/>
  <c r="Q79" i="48"/>
  <c r="D136" i="47"/>
  <c r="AJ135" i="47"/>
  <c r="Z136" i="47"/>
  <c r="N136" i="47"/>
  <c r="R136" i="47" s="1"/>
  <c r="Y78" i="48" l="1"/>
  <c r="AB78" i="48"/>
  <c r="AC78" i="48" s="1"/>
  <c r="H133" i="48"/>
  <c r="I133" i="48"/>
  <c r="AH135" i="47"/>
  <c r="AK135" i="47"/>
  <c r="AL135" i="47" s="1"/>
  <c r="P136" i="47"/>
  <c r="S136" i="47"/>
  <c r="T136" i="47" s="1"/>
  <c r="G137" i="47"/>
  <c r="F137" i="47"/>
  <c r="H137" i="47" s="1"/>
  <c r="E137" i="47"/>
  <c r="AJ78" i="48" l="1"/>
  <c r="Z79" i="48"/>
  <c r="L133" i="48"/>
  <c r="N133" i="48" s="1"/>
  <c r="AA136" i="47"/>
  <c r="Q137" i="47"/>
  <c r="I137" i="47"/>
  <c r="AI136" i="47"/>
  <c r="M133" i="48" l="1"/>
  <c r="D133" i="48"/>
  <c r="AH78" i="48"/>
  <c r="AK78" i="48"/>
  <c r="AL78" i="48" s="1"/>
  <c r="L137" i="47"/>
  <c r="N137" i="47" s="1"/>
  <c r="R137" i="47" s="1"/>
  <c r="M137" i="47"/>
  <c r="Y136" i="47"/>
  <c r="AB136" i="47"/>
  <c r="AC136" i="47" s="1"/>
  <c r="AI79" i="48" l="1"/>
  <c r="F134" i="48"/>
  <c r="G134" i="48"/>
  <c r="E134" i="48"/>
  <c r="P137" i="47"/>
  <c r="S137" i="47"/>
  <c r="T137" i="47" s="1"/>
  <c r="D137" i="47"/>
  <c r="AJ136" i="47"/>
  <c r="Z137" i="47"/>
  <c r="H134" i="48" l="1"/>
  <c r="I134" i="48"/>
  <c r="R79" i="48"/>
  <c r="F138" i="47"/>
  <c r="G138" i="47"/>
  <c r="E138" i="47"/>
  <c r="AH136" i="47"/>
  <c r="AK136" i="47"/>
  <c r="AL136" i="47" s="1"/>
  <c r="AA137" i="47"/>
  <c r="Y137" i="47" s="1"/>
  <c r="Q138" i="47"/>
  <c r="P79" i="48" l="1"/>
  <c r="S79" i="48"/>
  <c r="T79" i="48" s="1"/>
  <c r="L134" i="48"/>
  <c r="M134" i="48" s="1"/>
  <c r="AI137" i="47"/>
  <c r="AB137" i="47"/>
  <c r="AC137" i="47" s="1"/>
  <c r="AJ137" i="47"/>
  <c r="AH137" i="47" s="1"/>
  <c r="Z138" i="47"/>
  <c r="I138" i="47"/>
  <c r="H138" i="47"/>
  <c r="AK137" i="47" l="1"/>
  <c r="AL137" i="47" s="1"/>
  <c r="D134" i="48"/>
  <c r="F135" i="48" s="1"/>
  <c r="N134" i="48"/>
  <c r="AA79" i="48"/>
  <c r="Q80" i="48"/>
  <c r="AI138" i="47"/>
  <c r="L138" i="47"/>
  <c r="M138" i="47" s="1"/>
  <c r="D138" i="47"/>
  <c r="E135" i="48" l="1"/>
  <c r="G135" i="48"/>
  <c r="Y79" i="48"/>
  <c r="AB79" i="48"/>
  <c r="AC79" i="48" s="1"/>
  <c r="I135" i="48"/>
  <c r="H135" i="48"/>
  <c r="F139" i="47"/>
  <c r="G139" i="47"/>
  <c r="E139" i="47"/>
  <c r="N138" i="47"/>
  <c r="R138" i="47" s="1"/>
  <c r="L135" i="48" l="1"/>
  <c r="M135" i="48" s="1"/>
  <c r="AJ79" i="48"/>
  <c r="Z80" i="48"/>
  <c r="P138" i="47"/>
  <c r="S138" i="47"/>
  <c r="T138" i="47" s="1"/>
  <c r="H139" i="47"/>
  <c r="I139" i="47"/>
  <c r="D135" i="48" l="1"/>
  <c r="F136" i="48" s="1"/>
  <c r="N135" i="48"/>
  <c r="AH79" i="48"/>
  <c r="AK79" i="48"/>
  <c r="AL79" i="48" s="1"/>
  <c r="AA138" i="47"/>
  <c r="Q139" i="47"/>
  <c r="L139" i="47"/>
  <c r="M139" i="47" s="1"/>
  <c r="D139" i="47"/>
  <c r="G136" i="48" l="1"/>
  <c r="H136" i="48" s="1"/>
  <c r="E136" i="48"/>
  <c r="I136" i="48" s="1"/>
  <c r="AI80" i="48"/>
  <c r="Y138" i="47"/>
  <c r="AB138" i="47"/>
  <c r="AC138" i="47" s="1"/>
  <c r="G140" i="47"/>
  <c r="F140" i="47"/>
  <c r="H140" i="47" s="1"/>
  <c r="E140" i="47"/>
  <c r="N139" i="47"/>
  <c r="R139" i="47" s="1"/>
  <c r="P139" i="47" s="1"/>
  <c r="L136" i="48" l="1"/>
  <c r="N136" i="48" s="1"/>
  <c r="R80" i="48"/>
  <c r="I140" i="47"/>
  <c r="AA139" i="47"/>
  <c r="Q140" i="47"/>
  <c r="S139" i="47"/>
  <c r="T139" i="47" s="1"/>
  <c r="AJ138" i="47"/>
  <c r="Z139" i="47"/>
  <c r="AB139" i="47" s="1"/>
  <c r="AC139" i="47" s="1"/>
  <c r="Y139" i="47"/>
  <c r="M136" i="48" l="1"/>
  <c r="D136" i="48"/>
  <c r="P80" i="48"/>
  <c r="S80" i="48"/>
  <c r="T80" i="48" s="1"/>
  <c r="AJ139" i="47"/>
  <c r="Z140" i="47"/>
  <c r="AH138" i="47"/>
  <c r="AK138" i="47"/>
  <c r="AL138" i="47" s="1"/>
  <c r="L140" i="47"/>
  <c r="M140" i="47" s="1"/>
  <c r="G137" i="48" l="1"/>
  <c r="F137" i="48"/>
  <c r="E137" i="48"/>
  <c r="AA80" i="48"/>
  <c r="Q81" i="48"/>
  <c r="D140" i="47"/>
  <c r="AH139" i="47"/>
  <c r="AI139" i="47"/>
  <c r="AK139" i="47" s="1"/>
  <c r="AL139" i="47" s="1"/>
  <c r="N140" i="47"/>
  <c r="R140" i="47" s="1"/>
  <c r="H137" i="48" l="1"/>
  <c r="Y80" i="48"/>
  <c r="AB80" i="48"/>
  <c r="AC80" i="48" s="1"/>
  <c r="I137" i="48"/>
  <c r="AI140" i="47"/>
  <c r="P140" i="47"/>
  <c r="S140" i="47"/>
  <c r="T140" i="47" s="1"/>
  <c r="G141" i="47"/>
  <c r="F141" i="47"/>
  <c r="H141" i="47" s="1"/>
  <c r="E141" i="47"/>
  <c r="AJ80" i="48" l="1"/>
  <c r="Z81" i="48"/>
  <c r="L137" i="48"/>
  <c r="M137" i="48" s="1"/>
  <c r="AA140" i="47"/>
  <c r="Q141" i="47"/>
  <c r="I141" i="47"/>
  <c r="D137" i="48" l="1"/>
  <c r="AH80" i="48"/>
  <c r="AK80" i="48"/>
  <c r="AL80" i="48" s="1"/>
  <c r="N137" i="48"/>
  <c r="Y140" i="47"/>
  <c r="AB140" i="47"/>
  <c r="AC140" i="47" s="1"/>
  <c r="L141" i="47"/>
  <c r="M141" i="47" s="1"/>
  <c r="N141" i="47" l="1"/>
  <c r="R141" i="47" s="1"/>
  <c r="P141" i="47" s="1"/>
  <c r="AI81" i="48"/>
  <c r="F138" i="48"/>
  <c r="G138" i="48"/>
  <c r="E138" i="48"/>
  <c r="AA141" i="47"/>
  <c r="Q142" i="47"/>
  <c r="AJ140" i="47"/>
  <c r="Z141" i="47"/>
  <c r="AB141" i="47" s="1"/>
  <c r="AC141" i="47" s="1"/>
  <c r="Y141" i="47"/>
  <c r="S141" i="47"/>
  <c r="T141" i="47" s="1"/>
  <c r="D141" i="47"/>
  <c r="R81" i="48" l="1"/>
  <c r="I138" i="48"/>
  <c r="H138" i="48"/>
  <c r="AJ141" i="47"/>
  <c r="Z142" i="47"/>
  <c r="G142" i="47"/>
  <c r="F142" i="47"/>
  <c r="H142" i="47" s="1"/>
  <c r="E142" i="47"/>
  <c r="AH140" i="47"/>
  <c r="AK140" i="47"/>
  <c r="AL140" i="47" s="1"/>
  <c r="P81" i="48" l="1"/>
  <c r="S81" i="48"/>
  <c r="T81" i="48" s="1"/>
  <c r="L138" i="48"/>
  <c r="D138" i="48" s="1"/>
  <c r="AH141" i="47"/>
  <c r="AI141" i="47"/>
  <c r="AK141" i="47" s="1"/>
  <c r="AL141" i="47" s="1"/>
  <c r="I142" i="47"/>
  <c r="F139" i="48" l="1"/>
  <c r="G139" i="48"/>
  <c r="E139" i="48"/>
  <c r="N138" i="48"/>
  <c r="M138" i="48"/>
  <c r="AA81" i="48"/>
  <c r="Q82" i="48"/>
  <c r="AI142" i="47"/>
  <c r="L142" i="47"/>
  <c r="M142" i="47" s="1"/>
  <c r="D142" i="47"/>
  <c r="N142" i="47" l="1"/>
  <c r="R142" i="47" s="1"/>
  <c r="Y81" i="48"/>
  <c r="AB81" i="48"/>
  <c r="AC81" i="48" s="1"/>
  <c r="I139" i="48"/>
  <c r="H139" i="48"/>
  <c r="P142" i="47"/>
  <c r="S142" i="47"/>
  <c r="T142" i="47" s="1"/>
  <c r="G143" i="47"/>
  <c r="F143" i="47"/>
  <c r="E143" i="47"/>
  <c r="AJ81" i="48" l="1"/>
  <c r="Z82" i="48"/>
  <c r="L139" i="48"/>
  <c r="D139" i="48" s="1"/>
  <c r="H143" i="47"/>
  <c r="I143" i="47"/>
  <c r="AA142" i="47"/>
  <c r="Q143" i="47"/>
  <c r="M139" i="48" l="1"/>
  <c r="N139" i="48"/>
  <c r="G140" i="48"/>
  <c r="F140" i="48"/>
  <c r="E140" i="48"/>
  <c r="AH81" i="48"/>
  <c r="AK81" i="48"/>
  <c r="AL81" i="48" s="1"/>
  <c r="L143" i="47"/>
  <c r="N143" i="47" s="1"/>
  <c r="R143" i="47" s="1"/>
  <c r="D143" i="47"/>
  <c r="Y142" i="47"/>
  <c r="AB142" i="47"/>
  <c r="AC142" i="47" s="1"/>
  <c r="M143" i="47"/>
  <c r="AI82" i="48" l="1"/>
  <c r="H140" i="48"/>
  <c r="I140" i="48"/>
  <c r="P143" i="47"/>
  <c r="S143" i="47"/>
  <c r="T143" i="47" s="1"/>
  <c r="F144" i="47"/>
  <c r="G144" i="47"/>
  <c r="E144" i="47"/>
  <c r="AJ142" i="47"/>
  <c r="Z143" i="47"/>
  <c r="H144" i="47" l="1"/>
  <c r="L140" i="48"/>
  <c r="M140" i="48" s="1"/>
  <c r="R82" i="48"/>
  <c r="I144" i="47"/>
  <c r="AH142" i="47"/>
  <c r="AK142" i="47"/>
  <c r="AL142" i="47" s="1"/>
  <c r="AA143" i="47"/>
  <c r="Y143" i="47" s="1"/>
  <c r="Q144" i="47"/>
  <c r="D140" i="48" l="1"/>
  <c r="N140" i="48"/>
  <c r="P82" i="48"/>
  <c r="S82" i="48"/>
  <c r="T82" i="48" s="1"/>
  <c r="AI143" i="47"/>
  <c r="AJ143" i="47"/>
  <c r="AH143" i="47" s="1"/>
  <c r="Z144" i="47"/>
  <c r="AB143" i="47"/>
  <c r="AC143" i="47" s="1"/>
  <c r="L144" i="47"/>
  <c r="M144" i="47" s="1"/>
  <c r="D144" i="47"/>
  <c r="AA82" i="48" l="1"/>
  <c r="Q83" i="48"/>
  <c r="G141" i="48"/>
  <c r="F141" i="48"/>
  <c r="E141" i="48"/>
  <c r="AI144" i="47"/>
  <c r="AK143" i="47"/>
  <c r="AL143" i="47" s="1"/>
  <c r="G145" i="47"/>
  <c r="F145" i="47"/>
  <c r="H145" i="47" s="1"/>
  <c r="E145" i="47"/>
  <c r="N144" i="47"/>
  <c r="R144" i="47" s="1"/>
  <c r="H141" i="48" l="1"/>
  <c r="I141" i="48"/>
  <c r="Y82" i="48"/>
  <c r="AB82" i="48"/>
  <c r="AC82" i="48" s="1"/>
  <c r="P144" i="47"/>
  <c r="S144" i="47"/>
  <c r="T144" i="47" s="1"/>
  <c r="I145" i="47"/>
  <c r="L141" i="48" l="1"/>
  <c r="N141" i="48" s="1"/>
  <c r="AJ82" i="48"/>
  <c r="Z83" i="48"/>
  <c r="M141" i="48"/>
  <c r="AA144" i="47"/>
  <c r="Q145" i="47"/>
  <c r="L145" i="47"/>
  <c r="N145" i="47" s="1"/>
  <c r="R145" i="47" s="1"/>
  <c r="P145" i="47" s="1"/>
  <c r="D141" i="48" l="1"/>
  <c r="AH82" i="48"/>
  <c r="AK82" i="48"/>
  <c r="AL82" i="48" s="1"/>
  <c r="Q146" i="47"/>
  <c r="S145" i="47"/>
  <c r="T145" i="47" s="1"/>
  <c r="D145" i="47"/>
  <c r="M145" i="47"/>
  <c r="Y144" i="47"/>
  <c r="AB144" i="47"/>
  <c r="AC144" i="47" s="1"/>
  <c r="AI83" i="48" l="1"/>
  <c r="G142" i="48"/>
  <c r="F142" i="48"/>
  <c r="H142" i="48" s="1"/>
  <c r="E142" i="48"/>
  <c r="AJ144" i="47"/>
  <c r="Z145" i="47"/>
  <c r="F146" i="47"/>
  <c r="G146" i="47"/>
  <c r="E146" i="47"/>
  <c r="AA145" i="47"/>
  <c r="Y145" i="47" s="1"/>
  <c r="I142" i="48" l="1"/>
  <c r="R83" i="48"/>
  <c r="AJ145" i="47"/>
  <c r="Z146" i="47"/>
  <c r="AB145" i="47"/>
  <c r="AC145" i="47" s="1"/>
  <c r="H146" i="47"/>
  <c r="AH144" i="47"/>
  <c r="AK144" i="47"/>
  <c r="AL144" i="47" s="1"/>
  <c r="I146" i="47"/>
  <c r="P83" i="48" l="1"/>
  <c r="S83" i="48"/>
  <c r="T83" i="48" s="1"/>
  <c r="L142" i="48"/>
  <c r="M142" i="48" s="1"/>
  <c r="AH145" i="47"/>
  <c r="AI145" i="47"/>
  <c r="AK145" i="47" s="1"/>
  <c r="AL145" i="47" s="1"/>
  <c r="L146" i="47"/>
  <c r="M146" i="47" s="1"/>
  <c r="N142" i="48" l="1"/>
  <c r="D142" i="48"/>
  <c r="AA83" i="48"/>
  <c r="Q84" i="48"/>
  <c r="D146" i="47"/>
  <c r="N146" i="47"/>
  <c r="R146" i="47" s="1"/>
  <c r="AI146" i="47"/>
  <c r="Y83" i="48" l="1"/>
  <c r="AB83" i="48"/>
  <c r="AC83" i="48" s="1"/>
  <c r="G143" i="48"/>
  <c r="F143" i="48"/>
  <c r="H143" i="48" s="1"/>
  <c r="E143" i="48"/>
  <c r="P146" i="47"/>
  <c r="S146" i="47"/>
  <c r="T146" i="47" s="1"/>
  <c r="F147" i="47"/>
  <c r="G147" i="47"/>
  <c r="E147" i="47"/>
  <c r="H147" i="47" l="1"/>
  <c r="I143" i="48"/>
  <c r="AJ83" i="48"/>
  <c r="Z84" i="48"/>
  <c r="I147" i="47"/>
  <c r="AA146" i="47"/>
  <c r="Q147" i="47"/>
  <c r="AH83" i="48" l="1"/>
  <c r="AK83" i="48"/>
  <c r="AL83" i="48" s="1"/>
  <c r="L143" i="48"/>
  <c r="M143" i="48" s="1"/>
  <c r="Y146" i="47"/>
  <c r="AB146" i="47"/>
  <c r="AC146" i="47" s="1"/>
  <c r="L147" i="47"/>
  <c r="M147" i="47" s="1"/>
  <c r="N147" i="47" l="1"/>
  <c r="R147" i="47" s="1"/>
  <c r="P147" i="47" s="1"/>
  <c r="D143" i="48"/>
  <c r="AI84" i="48"/>
  <c r="N143" i="48"/>
  <c r="AA147" i="47"/>
  <c r="Q148" i="47"/>
  <c r="S147" i="47"/>
  <c r="T147" i="47" s="1"/>
  <c r="D147" i="47"/>
  <c r="AJ146" i="47"/>
  <c r="Z147" i="47"/>
  <c r="AB147" i="47" s="1"/>
  <c r="AC147" i="47" s="1"/>
  <c r="Y147" i="47"/>
  <c r="R84" i="48" l="1"/>
  <c r="G144" i="48"/>
  <c r="F144" i="48"/>
  <c r="E144" i="48"/>
  <c r="F148" i="47"/>
  <c r="G148" i="47"/>
  <c r="E148" i="47"/>
  <c r="AH146" i="47"/>
  <c r="AK146" i="47"/>
  <c r="AL146" i="47" s="1"/>
  <c r="AJ147" i="47"/>
  <c r="Z148" i="47"/>
  <c r="I144" i="48" l="1"/>
  <c r="P84" i="48"/>
  <c r="S84" i="48"/>
  <c r="T84" i="48" s="1"/>
  <c r="H144" i="48"/>
  <c r="AH147" i="47"/>
  <c r="AI147" i="47"/>
  <c r="AK147" i="47" s="1"/>
  <c r="AL147" i="47" s="1"/>
  <c r="I148" i="47"/>
  <c r="H148" i="47"/>
  <c r="AA84" i="48" l="1"/>
  <c r="Q85" i="48"/>
  <c r="L144" i="48"/>
  <c r="D144" i="48" s="1"/>
  <c r="M144" i="48"/>
  <c r="AI148" i="47"/>
  <c r="L148" i="47"/>
  <c r="D148" i="47" s="1"/>
  <c r="M148" i="47"/>
  <c r="N148" i="47" l="1"/>
  <c r="R148" i="47" s="1"/>
  <c r="N144" i="48"/>
  <c r="F145" i="48"/>
  <c r="G145" i="48"/>
  <c r="E145" i="48"/>
  <c r="Y84" i="48"/>
  <c r="AB84" i="48"/>
  <c r="AC84" i="48" s="1"/>
  <c r="F149" i="47"/>
  <c r="G149" i="47"/>
  <c r="E149" i="47"/>
  <c r="P148" i="47"/>
  <c r="S148" i="47"/>
  <c r="T148" i="47" s="1"/>
  <c r="H145" i="48" l="1"/>
  <c r="AJ84" i="48"/>
  <c r="Z85" i="48"/>
  <c r="I145" i="48"/>
  <c r="AA148" i="47"/>
  <c r="Q149" i="47"/>
  <c r="I149" i="47"/>
  <c r="H149" i="47"/>
  <c r="L145" i="48" l="1"/>
  <c r="M145" i="48" s="1"/>
  <c r="AH84" i="48"/>
  <c r="AK84" i="48"/>
  <c r="AL84" i="48" s="1"/>
  <c r="Y148" i="47"/>
  <c r="AB148" i="47"/>
  <c r="AC148" i="47" s="1"/>
  <c r="L149" i="47"/>
  <c r="N149" i="47" s="1"/>
  <c r="R149" i="47" s="1"/>
  <c r="P149" i="47" s="1"/>
  <c r="M149" i="47" l="1"/>
  <c r="D149" i="47"/>
  <c r="G150" i="47" s="1"/>
  <c r="D145" i="48"/>
  <c r="G146" i="48"/>
  <c r="F146" i="48"/>
  <c r="E146" i="48"/>
  <c r="N145" i="48"/>
  <c r="AI85" i="48"/>
  <c r="AA149" i="47"/>
  <c r="Y149" i="47" s="1"/>
  <c r="Q150" i="47"/>
  <c r="S149" i="47"/>
  <c r="T149" i="47" s="1"/>
  <c r="AJ148" i="47"/>
  <c r="Z149" i="47"/>
  <c r="AB149" i="47" l="1"/>
  <c r="AC149" i="47" s="1"/>
  <c r="E150" i="47"/>
  <c r="F150" i="47"/>
  <c r="H150" i="47" s="1"/>
  <c r="H146" i="48"/>
  <c r="R85" i="48"/>
  <c r="I146" i="48"/>
  <c r="AH148" i="47"/>
  <c r="AK148" i="47"/>
  <c r="AL148" i="47" s="1"/>
  <c r="AJ149" i="47"/>
  <c r="Z150" i="47"/>
  <c r="I150" i="47" l="1"/>
  <c r="P85" i="48"/>
  <c r="S85" i="48"/>
  <c r="T85" i="48" s="1"/>
  <c r="L146" i="48"/>
  <c r="M146" i="48" s="1"/>
  <c r="L150" i="47"/>
  <c r="M150" i="47" s="1"/>
  <c r="AH149" i="47"/>
  <c r="AI149" i="47"/>
  <c r="AK149" i="47" s="1"/>
  <c r="AL149" i="47" s="1"/>
  <c r="N150" i="47" l="1"/>
  <c r="R150" i="47" s="1"/>
  <c r="D150" i="47"/>
  <c r="N146" i="48"/>
  <c r="D146" i="48"/>
  <c r="AA85" i="48"/>
  <c r="Q86" i="48"/>
  <c r="G151" i="47"/>
  <c r="F151" i="47"/>
  <c r="H151" i="47" s="1"/>
  <c r="E151" i="47"/>
  <c r="P150" i="47"/>
  <c r="S150" i="47"/>
  <c r="T150" i="47" s="1"/>
  <c r="AI150" i="47"/>
  <c r="Y85" i="48" l="1"/>
  <c r="AB85" i="48"/>
  <c r="AC85" i="48" s="1"/>
  <c r="F147" i="48"/>
  <c r="G147" i="48"/>
  <c r="E147" i="48"/>
  <c r="AA150" i="47"/>
  <c r="Q151" i="47"/>
  <c r="I151" i="47"/>
  <c r="H147" i="48" l="1"/>
  <c r="I147" i="48"/>
  <c r="AJ85" i="48"/>
  <c r="Z86" i="48"/>
  <c r="Y150" i="47"/>
  <c r="AB150" i="47"/>
  <c r="AC150" i="47" s="1"/>
  <c r="L151" i="47"/>
  <c r="M151" i="47" s="1"/>
  <c r="AH85" i="48" l="1"/>
  <c r="AK85" i="48"/>
  <c r="AL85" i="48" s="1"/>
  <c r="L147" i="48"/>
  <c r="M147" i="48" s="1"/>
  <c r="D147" i="48"/>
  <c r="AJ150" i="47"/>
  <c r="Z151" i="47"/>
  <c r="D151" i="47"/>
  <c r="N151" i="47"/>
  <c r="R151" i="47" s="1"/>
  <c r="N147" i="48" l="1"/>
  <c r="G148" i="48"/>
  <c r="F148" i="48"/>
  <c r="H148" i="48" s="1"/>
  <c r="E148" i="48"/>
  <c r="AI86" i="48"/>
  <c r="P151" i="47"/>
  <c r="S151" i="47"/>
  <c r="T151" i="47" s="1"/>
  <c r="AH150" i="47"/>
  <c r="AK150" i="47"/>
  <c r="AL150" i="47" s="1"/>
  <c r="F152" i="47"/>
  <c r="G152" i="47"/>
  <c r="E152" i="47"/>
  <c r="H152" i="47" l="1"/>
  <c r="R86" i="48"/>
  <c r="I148" i="48"/>
  <c r="AI151" i="47"/>
  <c r="I152" i="47"/>
  <c r="AA151" i="47"/>
  <c r="Q152" i="47"/>
  <c r="P86" i="48" l="1"/>
  <c r="S86" i="48"/>
  <c r="T86" i="48" s="1"/>
  <c r="L148" i="48"/>
  <c r="M148" i="48" s="1"/>
  <c r="Y151" i="47"/>
  <c r="AB151" i="47"/>
  <c r="AC151" i="47" s="1"/>
  <c r="L152" i="47"/>
  <c r="M152" i="47" s="1"/>
  <c r="D148" i="48" l="1"/>
  <c r="N148" i="48"/>
  <c r="F149" i="48"/>
  <c r="G149" i="48"/>
  <c r="E149" i="48"/>
  <c r="AA86" i="48"/>
  <c r="Q87" i="48"/>
  <c r="AJ151" i="47"/>
  <c r="Z152" i="47"/>
  <c r="D152" i="47"/>
  <c r="N152" i="47"/>
  <c r="R152" i="47" s="1"/>
  <c r="Y86" i="48" l="1"/>
  <c r="AB86" i="48"/>
  <c r="AC86" i="48" s="1"/>
  <c r="I149" i="48"/>
  <c r="H149" i="48"/>
  <c r="P152" i="47"/>
  <c r="S152" i="47"/>
  <c r="T152" i="47" s="1"/>
  <c r="AH151" i="47"/>
  <c r="AK151" i="47"/>
  <c r="AL151" i="47" s="1"/>
  <c r="F153" i="47"/>
  <c r="G153" i="47"/>
  <c r="E153" i="47"/>
  <c r="L149" i="48" l="1"/>
  <c r="M149" i="48" s="1"/>
  <c r="AJ86" i="48"/>
  <c r="Z87" i="48"/>
  <c r="H153" i="47"/>
  <c r="AI152" i="47"/>
  <c r="I153" i="47"/>
  <c r="AA152" i="47"/>
  <c r="Q153" i="47"/>
  <c r="D149" i="48" l="1"/>
  <c r="AH86" i="48"/>
  <c r="AK86" i="48"/>
  <c r="AL86" i="48" s="1"/>
  <c r="N149" i="48"/>
  <c r="L153" i="47"/>
  <c r="D153" i="47" s="1"/>
  <c r="Y152" i="47"/>
  <c r="AB152" i="47"/>
  <c r="AC152" i="47" s="1"/>
  <c r="AI87" i="48" l="1"/>
  <c r="F150" i="48"/>
  <c r="G150" i="48"/>
  <c r="E150" i="48"/>
  <c r="G154" i="47"/>
  <c r="F154" i="47"/>
  <c r="H154" i="47" s="1"/>
  <c r="E154" i="47"/>
  <c r="N153" i="47"/>
  <c r="R153" i="47" s="1"/>
  <c r="M153" i="47"/>
  <c r="AJ152" i="47"/>
  <c r="Z153" i="47"/>
  <c r="H150" i="48" l="1"/>
  <c r="R87" i="48"/>
  <c r="I150" i="48"/>
  <c r="P153" i="47"/>
  <c r="S153" i="47"/>
  <c r="T153" i="47" s="1"/>
  <c r="AH152" i="47"/>
  <c r="AK152" i="47"/>
  <c r="AL152" i="47" s="1"/>
  <c r="I154" i="47"/>
  <c r="P87" i="48" l="1"/>
  <c r="S87" i="48"/>
  <c r="T87" i="48" s="1"/>
  <c r="L150" i="48"/>
  <c r="N150" i="48" s="1"/>
  <c r="AA153" i="47"/>
  <c r="Q154" i="47"/>
  <c r="L154" i="47"/>
  <c r="D154" i="47" s="1"/>
  <c r="AI153" i="47"/>
  <c r="D150" i="48" l="1"/>
  <c r="G151" i="48" s="1"/>
  <c r="M150" i="48"/>
  <c r="F151" i="48"/>
  <c r="E151" i="48"/>
  <c r="AA87" i="48"/>
  <c r="Q88" i="48"/>
  <c r="F155" i="47"/>
  <c r="G155" i="47"/>
  <c r="E155" i="47"/>
  <c r="M154" i="47"/>
  <c r="N154" i="47"/>
  <c r="R154" i="47" s="1"/>
  <c r="P154" i="47" s="1"/>
  <c r="Y153" i="47"/>
  <c r="AB153" i="47"/>
  <c r="AC153" i="47" s="1"/>
  <c r="I151" i="48" l="1"/>
  <c r="H151" i="48"/>
  <c r="Y87" i="48"/>
  <c r="AB87" i="48"/>
  <c r="AC87" i="48" s="1"/>
  <c r="AA154" i="47"/>
  <c r="Q155" i="47"/>
  <c r="S154" i="47"/>
  <c r="T154" i="47" s="1"/>
  <c r="H155" i="47"/>
  <c r="AJ153" i="47"/>
  <c r="Y154" i="47"/>
  <c r="Z154" i="47"/>
  <c r="AB154" i="47" s="1"/>
  <c r="AC154" i="47" s="1"/>
  <c r="I155" i="47"/>
  <c r="L151" i="48" l="1"/>
  <c r="M151" i="48" s="1"/>
  <c r="AJ87" i="48"/>
  <c r="Z88" i="48"/>
  <c r="L155" i="47"/>
  <c r="N155" i="47" s="1"/>
  <c r="R155" i="47" s="1"/>
  <c r="AJ154" i="47"/>
  <c r="Z155" i="47"/>
  <c r="AH153" i="47"/>
  <c r="AK153" i="47"/>
  <c r="AL153" i="47" s="1"/>
  <c r="D151" i="48" l="1"/>
  <c r="N151" i="48"/>
  <c r="AH87" i="48"/>
  <c r="AK87" i="48"/>
  <c r="AL87" i="48" s="1"/>
  <c r="P155" i="47"/>
  <c r="S155" i="47"/>
  <c r="T155" i="47" s="1"/>
  <c r="AH154" i="47"/>
  <c r="AI154" i="47"/>
  <c r="AK154" i="47" s="1"/>
  <c r="AL154" i="47" s="1"/>
  <c r="D155" i="47"/>
  <c r="M155" i="47"/>
  <c r="AI88" i="48" l="1"/>
  <c r="G152" i="48"/>
  <c r="F152" i="48"/>
  <c r="E152" i="48"/>
  <c r="AI155" i="47"/>
  <c r="G156" i="47"/>
  <c r="F156" i="47"/>
  <c r="E156" i="47"/>
  <c r="AA155" i="47"/>
  <c r="Q156" i="47"/>
  <c r="H152" i="48" l="1"/>
  <c r="I152" i="48"/>
  <c r="R88" i="48"/>
  <c r="I156" i="47"/>
  <c r="Y155" i="47"/>
  <c r="AB155" i="47"/>
  <c r="AC155" i="47" s="1"/>
  <c r="H156" i="47"/>
  <c r="L152" i="48" l="1"/>
  <c r="N152" i="48" s="1"/>
  <c r="P88" i="48"/>
  <c r="S88" i="48"/>
  <c r="T88" i="48" s="1"/>
  <c r="L156" i="47"/>
  <c r="M156" i="47" s="1"/>
  <c r="AJ155" i="47"/>
  <c r="Z156" i="47"/>
  <c r="AA88" i="48" l="1"/>
  <c r="Q89" i="48"/>
  <c r="M152" i="48"/>
  <c r="D152" i="48"/>
  <c r="D156" i="47"/>
  <c r="N156" i="47"/>
  <c r="R156" i="47" s="1"/>
  <c r="AH155" i="47"/>
  <c r="AK155" i="47"/>
  <c r="AL155" i="47" s="1"/>
  <c r="F153" i="48" l="1"/>
  <c r="G153" i="48"/>
  <c r="E153" i="48"/>
  <c r="Y88" i="48"/>
  <c r="AB88" i="48"/>
  <c r="AC88" i="48" s="1"/>
  <c r="AI156" i="47"/>
  <c r="P156" i="47"/>
  <c r="S156" i="47"/>
  <c r="T156" i="47" s="1"/>
  <c r="F157" i="47"/>
  <c r="G157" i="47"/>
  <c r="E157" i="47"/>
  <c r="H157" i="47" l="1"/>
  <c r="AJ88" i="48"/>
  <c r="Z89" i="48"/>
  <c r="I153" i="48"/>
  <c r="H153" i="48"/>
  <c r="AA156" i="47"/>
  <c r="Q157" i="47"/>
  <c r="I157" i="47"/>
  <c r="AH88" i="48" l="1"/>
  <c r="AK88" i="48"/>
  <c r="AL88" i="48" s="1"/>
  <c r="L153" i="48"/>
  <c r="D153" i="48" s="1"/>
  <c r="Y156" i="47"/>
  <c r="AB156" i="47"/>
  <c r="AC156" i="47" s="1"/>
  <c r="L157" i="47"/>
  <c r="M157" i="47" s="1"/>
  <c r="N153" i="48" l="1"/>
  <c r="M153" i="48"/>
  <c r="G154" i="48"/>
  <c r="F154" i="48"/>
  <c r="H154" i="48" s="1"/>
  <c r="E154" i="48"/>
  <c r="AI89" i="48"/>
  <c r="N157" i="47"/>
  <c r="R157" i="47" s="1"/>
  <c r="D157" i="47"/>
  <c r="AJ156" i="47"/>
  <c r="Z157" i="47"/>
  <c r="R89" i="48" l="1"/>
  <c r="I154" i="48"/>
  <c r="AH156" i="47"/>
  <c r="AK156" i="47"/>
  <c r="AL156" i="47" s="1"/>
  <c r="G158" i="47"/>
  <c r="F158" i="47"/>
  <c r="H158" i="47" s="1"/>
  <c r="E158" i="47"/>
  <c r="P157" i="47"/>
  <c r="S157" i="47"/>
  <c r="T157" i="47" s="1"/>
  <c r="P89" i="48" l="1"/>
  <c r="S89" i="48"/>
  <c r="T89" i="48" s="1"/>
  <c r="L154" i="48"/>
  <c r="D154" i="48" s="1"/>
  <c r="I158" i="47"/>
  <c r="AA157" i="47"/>
  <c r="Q158" i="47"/>
  <c r="AI157" i="47"/>
  <c r="F155" i="48" l="1"/>
  <c r="G155" i="48"/>
  <c r="E155" i="48"/>
  <c r="N154" i="48"/>
  <c r="M154" i="48"/>
  <c r="AA89" i="48"/>
  <c r="Q90" i="48"/>
  <c r="Y157" i="47"/>
  <c r="AB157" i="47"/>
  <c r="AC157" i="47" s="1"/>
  <c r="L158" i="47"/>
  <c r="M158" i="47" s="1"/>
  <c r="H155" i="48" l="1"/>
  <c r="Y89" i="48"/>
  <c r="AB89" i="48"/>
  <c r="AC89" i="48" s="1"/>
  <c r="I155" i="48"/>
  <c r="AJ157" i="47"/>
  <c r="Z158" i="47"/>
  <c r="D158" i="47"/>
  <c r="N158" i="47"/>
  <c r="R158" i="47" s="1"/>
  <c r="L155" i="48" l="1"/>
  <c r="N155" i="48" s="1"/>
  <c r="AJ89" i="48"/>
  <c r="Z90" i="48"/>
  <c r="P158" i="47"/>
  <c r="S158" i="47"/>
  <c r="T158" i="47" s="1"/>
  <c r="AH157" i="47"/>
  <c r="AK157" i="47"/>
  <c r="AL157" i="47" s="1"/>
  <c r="G159" i="47"/>
  <c r="F159" i="47"/>
  <c r="H159" i="47" s="1"/>
  <c r="E159" i="47"/>
  <c r="M155" i="48" l="1"/>
  <c r="D155" i="48"/>
  <c r="AH89" i="48"/>
  <c r="AK89" i="48"/>
  <c r="AL89" i="48" s="1"/>
  <c r="AI158" i="47"/>
  <c r="I159" i="47"/>
  <c r="AA158" i="47"/>
  <c r="Q159" i="47"/>
  <c r="AI90" i="48" l="1"/>
  <c r="F156" i="48"/>
  <c r="G156" i="48"/>
  <c r="E156" i="48"/>
  <c r="L159" i="47"/>
  <c r="N159" i="47" s="1"/>
  <c r="R159" i="47" s="1"/>
  <c r="Y158" i="47"/>
  <c r="AB158" i="47"/>
  <c r="AC158" i="47" s="1"/>
  <c r="H156" i="48" l="1"/>
  <c r="I156" i="48"/>
  <c r="R90" i="48"/>
  <c r="P159" i="47"/>
  <c r="S159" i="47"/>
  <c r="T159" i="47" s="1"/>
  <c r="D159" i="47"/>
  <c r="M159" i="47"/>
  <c r="AJ158" i="47"/>
  <c r="Z159" i="47"/>
  <c r="P90" i="48" l="1"/>
  <c r="S90" i="48"/>
  <c r="T90" i="48" s="1"/>
  <c r="L156" i="48"/>
  <c r="M156" i="48" s="1"/>
  <c r="G160" i="47"/>
  <c r="F160" i="47"/>
  <c r="H160" i="47" s="1"/>
  <c r="E160" i="47"/>
  <c r="AH158" i="47"/>
  <c r="AK158" i="47"/>
  <c r="AL158" i="47" s="1"/>
  <c r="AA159" i="47"/>
  <c r="Y159" i="47" s="1"/>
  <c r="Q160" i="47"/>
  <c r="N156" i="48" l="1"/>
  <c r="D156" i="48"/>
  <c r="AA90" i="48"/>
  <c r="Q91" i="48"/>
  <c r="AI159" i="47"/>
  <c r="AB159" i="47"/>
  <c r="AC159" i="47" s="1"/>
  <c r="AJ159" i="47"/>
  <c r="AH159" i="47" s="1"/>
  <c r="Z160" i="47"/>
  <c r="I160" i="47"/>
  <c r="Y90" i="48" l="1"/>
  <c r="AB90" i="48"/>
  <c r="AC90" i="48" s="1"/>
  <c r="G157" i="48"/>
  <c r="F157" i="48"/>
  <c r="E157" i="48"/>
  <c r="AI160" i="47"/>
  <c r="L160" i="47"/>
  <c r="M160" i="47" s="1"/>
  <c r="AK159" i="47"/>
  <c r="AL159" i="47" s="1"/>
  <c r="I157" i="48" l="1"/>
  <c r="H157" i="48"/>
  <c r="AJ90" i="48"/>
  <c r="Z91" i="48"/>
  <c r="D160" i="47"/>
  <c r="N160" i="47"/>
  <c r="R160" i="47" s="1"/>
  <c r="AH90" i="48" l="1"/>
  <c r="AK90" i="48"/>
  <c r="AL90" i="48" s="1"/>
  <c r="L157" i="48"/>
  <c r="M157" i="48" s="1"/>
  <c r="F161" i="47"/>
  <c r="G161" i="47"/>
  <c r="E161" i="47"/>
  <c r="P160" i="47"/>
  <c r="S160" i="47"/>
  <c r="T160" i="47" s="1"/>
  <c r="D157" i="48" l="1"/>
  <c r="G158" i="48" s="1"/>
  <c r="N157" i="48"/>
  <c r="F158" i="48"/>
  <c r="E158" i="48"/>
  <c r="AI91" i="48"/>
  <c r="AA160" i="47"/>
  <c r="Q161" i="47"/>
  <c r="H161" i="47"/>
  <c r="I161" i="47"/>
  <c r="R91" i="48" l="1"/>
  <c r="I158" i="48"/>
  <c r="H158" i="48"/>
  <c r="L161" i="47"/>
  <c r="N161" i="47" s="1"/>
  <c r="R161" i="47" s="1"/>
  <c r="D161" i="47"/>
  <c r="Y160" i="47"/>
  <c r="AB160" i="47"/>
  <c r="AC160" i="47" s="1"/>
  <c r="M161" i="47"/>
  <c r="P91" i="48" l="1"/>
  <c r="S91" i="48"/>
  <c r="T91" i="48" s="1"/>
  <c r="L158" i="48"/>
  <c r="M158" i="48" s="1"/>
  <c r="P161" i="47"/>
  <c r="S161" i="47"/>
  <c r="T161" i="47" s="1"/>
  <c r="G162" i="47"/>
  <c r="F162" i="47"/>
  <c r="E162" i="47"/>
  <c r="AJ160" i="47"/>
  <c r="Z161" i="47"/>
  <c r="N158" i="48" l="1"/>
  <c r="D158" i="48"/>
  <c r="AA91" i="48"/>
  <c r="Q92" i="48"/>
  <c r="I162" i="47"/>
  <c r="AH160" i="47"/>
  <c r="AK160" i="47"/>
  <c r="AL160" i="47" s="1"/>
  <c r="H162" i="47"/>
  <c r="AA161" i="47"/>
  <c r="Y161" i="47" s="1"/>
  <c r="Q162" i="47"/>
  <c r="Y91" i="48" l="1"/>
  <c r="AB91" i="48"/>
  <c r="AC91" i="48" s="1"/>
  <c r="F159" i="48"/>
  <c r="G159" i="48"/>
  <c r="E159" i="48"/>
  <c r="AI161" i="47"/>
  <c r="AJ161" i="47"/>
  <c r="AH161" i="47" s="1"/>
  <c r="Z162" i="47"/>
  <c r="AB161" i="47"/>
  <c r="AC161" i="47" s="1"/>
  <c r="L162" i="47"/>
  <c r="M162" i="47" s="1"/>
  <c r="D162" i="47"/>
  <c r="AK161" i="47" l="1"/>
  <c r="AL161" i="47" s="1"/>
  <c r="H159" i="48"/>
  <c r="I159" i="48"/>
  <c r="AJ91" i="48"/>
  <c r="Z92" i="48"/>
  <c r="AI162" i="47"/>
  <c r="G163" i="47"/>
  <c r="F163" i="47"/>
  <c r="H163" i="47" s="1"/>
  <c r="E163" i="47"/>
  <c r="N162" i="47"/>
  <c r="R162" i="47" s="1"/>
  <c r="L159" i="48" l="1"/>
  <c r="M159" i="48" s="1"/>
  <c r="D159" i="48"/>
  <c r="AH91" i="48"/>
  <c r="AK91" i="48"/>
  <c r="AL91" i="48" s="1"/>
  <c r="P162" i="47"/>
  <c r="S162" i="47"/>
  <c r="T162" i="47" s="1"/>
  <c r="I163" i="47"/>
  <c r="G160" i="48" l="1"/>
  <c r="F160" i="48"/>
  <c r="E160" i="48"/>
  <c r="N159" i="48"/>
  <c r="AI92" i="48"/>
  <c r="AA162" i="47"/>
  <c r="Q163" i="47"/>
  <c r="L163" i="47"/>
  <c r="M163" i="47" s="1"/>
  <c r="H160" i="48" l="1"/>
  <c r="R92" i="48"/>
  <c r="I160" i="48"/>
  <c r="Y162" i="47"/>
  <c r="AB162" i="47"/>
  <c r="AC162" i="47" s="1"/>
  <c r="D163" i="47"/>
  <c r="N163" i="47"/>
  <c r="R163" i="47" s="1"/>
  <c r="P163" i="47" s="1"/>
  <c r="P92" i="48" l="1"/>
  <c r="S92" i="48"/>
  <c r="T92" i="48" s="1"/>
  <c r="L160" i="48"/>
  <c r="M160" i="48" s="1"/>
  <c r="F164" i="47"/>
  <c r="G164" i="47"/>
  <c r="E164" i="47"/>
  <c r="AJ162" i="47"/>
  <c r="Z163" i="47"/>
  <c r="AA163" i="47"/>
  <c r="Y163" i="47" s="1"/>
  <c r="Q164" i="47"/>
  <c r="S163" i="47"/>
  <c r="T163" i="47" s="1"/>
  <c r="N160" i="48" l="1"/>
  <c r="AA92" i="48"/>
  <c r="Q93" i="48"/>
  <c r="D160" i="48"/>
  <c r="AJ163" i="47"/>
  <c r="Z164" i="47"/>
  <c r="AH162" i="47"/>
  <c r="AK162" i="47"/>
  <c r="AL162" i="47" s="1"/>
  <c r="H164" i="47"/>
  <c r="AB163" i="47"/>
  <c r="AC163" i="47" s="1"/>
  <c r="I164" i="47"/>
  <c r="Y92" i="48" l="1"/>
  <c r="AB92" i="48"/>
  <c r="AC92" i="48" s="1"/>
  <c r="F161" i="48"/>
  <c r="G161" i="48"/>
  <c r="E161" i="48"/>
  <c r="AH163" i="47"/>
  <c r="AI163" i="47"/>
  <c r="AK163" i="47" s="1"/>
  <c r="AL163" i="47" s="1"/>
  <c r="L164" i="47"/>
  <c r="M164" i="47" s="1"/>
  <c r="H161" i="48" l="1"/>
  <c r="AJ92" i="48"/>
  <c r="Z93" i="48"/>
  <c r="I161" i="48"/>
  <c r="D164" i="47"/>
  <c r="N164" i="47"/>
  <c r="R164" i="47" s="1"/>
  <c r="AI164" i="47"/>
  <c r="AH92" i="48" l="1"/>
  <c r="AK92" i="48"/>
  <c r="AL92" i="48" s="1"/>
  <c r="L161" i="48"/>
  <c r="M161" i="48" s="1"/>
  <c r="P164" i="47"/>
  <c r="S164" i="47"/>
  <c r="T164" i="47" s="1"/>
  <c r="G165" i="47"/>
  <c r="F165" i="47"/>
  <c r="E165" i="47"/>
  <c r="D161" i="48" l="1"/>
  <c r="F162" i="48" s="1"/>
  <c r="N161" i="48"/>
  <c r="AI93" i="48"/>
  <c r="E162" i="48"/>
  <c r="I165" i="47"/>
  <c r="H165" i="47"/>
  <c r="AA164" i="47"/>
  <c r="Q165" i="47"/>
  <c r="G162" i="48" l="1"/>
  <c r="H162" i="48"/>
  <c r="R93" i="48"/>
  <c r="I162" i="48"/>
  <c r="L165" i="47"/>
  <c r="M165" i="47" s="1"/>
  <c r="Y164" i="47"/>
  <c r="AB164" i="47"/>
  <c r="AC164" i="47" s="1"/>
  <c r="P93" i="48" l="1"/>
  <c r="S93" i="48"/>
  <c r="T93" i="48" s="1"/>
  <c r="L162" i="48"/>
  <c r="N162" i="48" s="1"/>
  <c r="D165" i="47"/>
  <c r="N165" i="47"/>
  <c r="R165" i="47" s="1"/>
  <c r="AJ164" i="47"/>
  <c r="Z165" i="47"/>
  <c r="M162" i="48" l="1"/>
  <c r="D162" i="48"/>
  <c r="G163" i="48"/>
  <c r="F163" i="48"/>
  <c r="E163" i="48"/>
  <c r="AA93" i="48"/>
  <c r="Q94" i="48"/>
  <c r="AH164" i="47"/>
  <c r="AK164" i="47"/>
  <c r="AL164" i="47" s="1"/>
  <c r="P165" i="47"/>
  <c r="S165" i="47"/>
  <c r="T165" i="47" s="1"/>
  <c r="F166" i="47"/>
  <c r="H166" i="47" s="1"/>
  <c r="G166" i="47"/>
  <c r="E166" i="47"/>
  <c r="H163" i="48" l="1"/>
  <c r="I163" i="48"/>
  <c r="Y93" i="48"/>
  <c r="AB93" i="48"/>
  <c r="AC93" i="48" s="1"/>
  <c r="AA165" i="47"/>
  <c r="Q166" i="47"/>
  <c r="I166" i="47"/>
  <c r="AI165" i="47"/>
  <c r="L163" i="48" l="1"/>
  <c r="M163" i="48" s="1"/>
  <c r="AJ93" i="48"/>
  <c r="Z94" i="48"/>
  <c r="L166" i="47"/>
  <c r="M166" i="47" s="1"/>
  <c r="Y165" i="47"/>
  <c r="AB165" i="47"/>
  <c r="AC165" i="47" s="1"/>
  <c r="N163" i="48" l="1"/>
  <c r="D163" i="48"/>
  <c r="AH93" i="48"/>
  <c r="AK93" i="48"/>
  <c r="AL93" i="48" s="1"/>
  <c r="D166" i="47"/>
  <c r="N166" i="47"/>
  <c r="R166" i="47" s="1"/>
  <c r="AJ165" i="47"/>
  <c r="Z166" i="47"/>
  <c r="F164" i="48" l="1"/>
  <c r="G164" i="48"/>
  <c r="E164" i="48"/>
  <c r="AI94" i="48"/>
  <c r="P166" i="47"/>
  <c r="S166" i="47"/>
  <c r="T166" i="47" s="1"/>
  <c r="AH165" i="47"/>
  <c r="AK165" i="47"/>
  <c r="AL165" i="47" s="1"/>
  <c r="F167" i="47"/>
  <c r="G167" i="47"/>
  <c r="E167" i="47"/>
  <c r="R94" i="48" l="1"/>
  <c r="I164" i="48"/>
  <c r="H164" i="48"/>
  <c r="AI166" i="47"/>
  <c r="H167" i="47"/>
  <c r="I167" i="47"/>
  <c r="AA166" i="47"/>
  <c r="Q167" i="47"/>
  <c r="L164" i="48" l="1"/>
  <c r="N164" i="48" s="1"/>
  <c r="P94" i="48"/>
  <c r="S94" i="48"/>
  <c r="T94" i="48" s="1"/>
  <c r="M164" i="48"/>
  <c r="L167" i="47"/>
  <c r="M167" i="47" s="1"/>
  <c r="Y166" i="47"/>
  <c r="AB166" i="47"/>
  <c r="AC166" i="47" s="1"/>
  <c r="D164" i="48" l="1"/>
  <c r="F165" i="48" s="1"/>
  <c r="AA94" i="48"/>
  <c r="Q95" i="48"/>
  <c r="N167" i="47"/>
  <c r="R167" i="47" s="1"/>
  <c r="AJ166" i="47"/>
  <c r="Z167" i="47"/>
  <c r="D167" i="47"/>
  <c r="E165" i="48" l="1"/>
  <c r="I165" i="48" s="1"/>
  <c r="G165" i="48"/>
  <c r="Y94" i="48"/>
  <c r="AB94" i="48"/>
  <c r="AC94" i="48" s="1"/>
  <c r="H165" i="48"/>
  <c r="AH166" i="47"/>
  <c r="AK166" i="47"/>
  <c r="AL166" i="47" s="1"/>
  <c r="F168" i="47"/>
  <c r="G168" i="47"/>
  <c r="E168" i="47"/>
  <c r="P167" i="47"/>
  <c r="S167" i="47"/>
  <c r="T167" i="47" s="1"/>
  <c r="L165" i="48" l="1"/>
  <c r="N165" i="48" s="1"/>
  <c r="AJ94" i="48"/>
  <c r="Z95" i="48"/>
  <c r="I168" i="47"/>
  <c r="AI167" i="47"/>
  <c r="AA167" i="47"/>
  <c r="Q168" i="47"/>
  <c r="H168" i="47"/>
  <c r="M165" i="48" l="1"/>
  <c r="AH94" i="48"/>
  <c r="AK94" i="48"/>
  <c r="AL94" i="48" s="1"/>
  <c r="D165" i="48"/>
  <c r="Y167" i="47"/>
  <c r="AB167" i="47"/>
  <c r="AC167" i="47" s="1"/>
  <c r="L168" i="47"/>
  <c r="M168" i="47" s="1"/>
  <c r="D168" i="47" l="1"/>
  <c r="AI95" i="48"/>
  <c r="F166" i="48"/>
  <c r="G166" i="48"/>
  <c r="E166" i="48"/>
  <c r="AJ167" i="47"/>
  <c r="Z168" i="47"/>
  <c r="F169" i="47"/>
  <c r="G169" i="47"/>
  <c r="E169" i="47"/>
  <c r="N168" i="47"/>
  <c r="R168" i="47" s="1"/>
  <c r="H166" i="48" l="1"/>
  <c r="I166" i="48"/>
  <c r="R95" i="48"/>
  <c r="H169" i="47"/>
  <c r="P168" i="47"/>
  <c r="S168" i="47"/>
  <c r="T168" i="47" s="1"/>
  <c r="I169" i="47"/>
  <c r="AH167" i="47"/>
  <c r="AK167" i="47"/>
  <c r="AL167" i="47" s="1"/>
  <c r="L166" i="48" l="1"/>
  <c r="M166" i="48" s="1"/>
  <c r="P95" i="48"/>
  <c r="S95" i="48"/>
  <c r="T95" i="48" s="1"/>
  <c r="AA168" i="47"/>
  <c r="Q169" i="47"/>
  <c r="AI168" i="47"/>
  <c r="L169" i="47"/>
  <c r="D169" i="47" s="1"/>
  <c r="D166" i="48" l="1"/>
  <c r="G167" i="48" s="1"/>
  <c r="N166" i="48"/>
  <c r="AA95" i="48"/>
  <c r="Q96" i="48"/>
  <c r="F170" i="47"/>
  <c r="G170" i="47"/>
  <c r="E170" i="47"/>
  <c r="N169" i="47"/>
  <c r="R169" i="47" s="1"/>
  <c r="P169" i="47" s="1"/>
  <c r="M169" i="47"/>
  <c r="Y168" i="47"/>
  <c r="AB168" i="47"/>
  <c r="AC168" i="47" s="1"/>
  <c r="E167" i="48" l="1"/>
  <c r="I167" i="48" s="1"/>
  <c r="F167" i="48"/>
  <c r="H167" i="48" s="1"/>
  <c r="Y95" i="48"/>
  <c r="AB95" i="48"/>
  <c r="AC95" i="48" s="1"/>
  <c r="AJ168" i="47"/>
  <c r="Z169" i="47"/>
  <c r="S169" i="47"/>
  <c r="T169" i="47" s="1"/>
  <c r="AA169" i="47"/>
  <c r="Y169" i="47" s="1"/>
  <c r="Q170" i="47"/>
  <c r="I170" i="47"/>
  <c r="H170" i="47"/>
  <c r="AJ95" i="48" l="1"/>
  <c r="Z96" i="48"/>
  <c r="L167" i="48"/>
  <c r="M167" i="48" s="1"/>
  <c r="AJ169" i="47"/>
  <c r="Z170" i="47"/>
  <c r="AB169" i="47"/>
  <c r="AC169" i="47" s="1"/>
  <c r="L170" i="47"/>
  <c r="N170" i="47" s="1"/>
  <c r="R170" i="47" s="1"/>
  <c r="AH168" i="47"/>
  <c r="AK168" i="47"/>
  <c r="AL168" i="47" s="1"/>
  <c r="M170" i="47"/>
  <c r="D170" i="47" l="1"/>
  <c r="D167" i="48"/>
  <c r="AH95" i="48"/>
  <c r="AK95" i="48"/>
  <c r="AL95" i="48" s="1"/>
  <c r="G168" i="48"/>
  <c r="F168" i="48"/>
  <c r="H168" i="48" s="1"/>
  <c r="E168" i="48"/>
  <c r="N167" i="48"/>
  <c r="P170" i="47"/>
  <c r="S170" i="47"/>
  <c r="T170" i="47" s="1"/>
  <c r="F171" i="47"/>
  <c r="G171" i="47"/>
  <c r="E171" i="47"/>
  <c r="AH169" i="47"/>
  <c r="AI169" i="47"/>
  <c r="AK169" i="47" s="1"/>
  <c r="AL169" i="47" s="1"/>
  <c r="H171" i="47" l="1"/>
  <c r="I168" i="48"/>
  <c r="AI96" i="48"/>
  <c r="AI170" i="47"/>
  <c r="I171" i="47"/>
  <c r="AA170" i="47"/>
  <c r="Q171" i="47"/>
  <c r="L168" i="48" l="1"/>
  <c r="N168" i="48" s="1"/>
  <c r="R96" i="48"/>
  <c r="Y170" i="47"/>
  <c r="AB170" i="47"/>
  <c r="AC170" i="47" s="1"/>
  <c r="L171" i="47"/>
  <c r="M171" i="47" s="1"/>
  <c r="M168" i="48" l="1"/>
  <c r="D168" i="48"/>
  <c r="P96" i="48"/>
  <c r="S96" i="48"/>
  <c r="T96" i="48" s="1"/>
  <c r="AJ170" i="47"/>
  <c r="Z171" i="47"/>
  <c r="D171" i="47"/>
  <c r="N171" i="47"/>
  <c r="R171" i="47" s="1"/>
  <c r="AA96" i="48" l="1"/>
  <c r="Q97" i="48"/>
  <c r="F169" i="48"/>
  <c r="G169" i="48"/>
  <c r="E169" i="48"/>
  <c r="P171" i="47"/>
  <c r="S171" i="47"/>
  <c r="T171" i="47" s="1"/>
  <c r="AH170" i="47"/>
  <c r="AK170" i="47"/>
  <c r="AL170" i="47" s="1"/>
  <c r="F172" i="47"/>
  <c r="G172" i="47"/>
  <c r="E172" i="47"/>
  <c r="H169" i="48" l="1"/>
  <c r="I169" i="48"/>
  <c r="Y96" i="48"/>
  <c r="AB96" i="48"/>
  <c r="AC96" i="48" s="1"/>
  <c r="AI171" i="47"/>
  <c r="I172" i="47"/>
  <c r="H172" i="47"/>
  <c r="AA171" i="47"/>
  <c r="Q172" i="47"/>
  <c r="AJ96" i="48" l="1"/>
  <c r="Z97" i="48"/>
  <c r="L169" i="48"/>
  <c r="M169" i="48" s="1"/>
  <c r="L172" i="47"/>
  <c r="M172" i="47" s="1"/>
  <c r="Y171" i="47"/>
  <c r="AB171" i="47"/>
  <c r="AC171" i="47" s="1"/>
  <c r="D169" i="48" l="1"/>
  <c r="G170" i="48" s="1"/>
  <c r="N169" i="48"/>
  <c r="F170" i="48"/>
  <c r="E170" i="48"/>
  <c r="AH96" i="48"/>
  <c r="AK96" i="48"/>
  <c r="AL96" i="48" s="1"/>
  <c r="AJ171" i="47"/>
  <c r="Z172" i="47"/>
  <c r="D172" i="47"/>
  <c r="N172" i="47"/>
  <c r="R172" i="47" s="1"/>
  <c r="AI97" i="48" l="1"/>
  <c r="I170" i="48"/>
  <c r="H170" i="48"/>
  <c r="F173" i="47"/>
  <c r="G173" i="47"/>
  <c r="E173" i="47"/>
  <c r="P172" i="47"/>
  <c r="S172" i="47"/>
  <c r="T172" i="47" s="1"/>
  <c r="AH171" i="47"/>
  <c r="AK171" i="47"/>
  <c r="AL171" i="47" s="1"/>
  <c r="R97" i="48" l="1"/>
  <c r="L170" i="48"/>
  <c r="D170" i="48" s="1"/>
  <c r="AA172" i="47"/>
  <c r="Q173" i="47"/>
  <c r="AI172" i="47"/>
  <c r="I173" i="47"/>
  <c r="H173" i="47"/>
  <c r="F171" i="48" l="1"/>
  <c r="G171" i="48"/>
  <c r="E171" i="48"/>
  <c r="N170" i="48"/>
  <c r="P97" i="48"/>
  <c r="S97" i="48"/>
  <c r="T97" i="48" s="1"/>
  <c r="M170" i="48"/>
  <c r="L173" i="47"/>
  <c r="M173" i="47" s="1"/>
  <c r="Y172" i="47"/>
  <c r="AB172" i="47"/>
  <c r="AC172" i="47" s="1"/>
  <c r="AA97" i="48" l="1"/>
  <c r="Q98" i="48"/>
  <c r="I171" i="48"/>
  <c r="H171" i="48"/>
  <c r="D173" i="47"/>
  <c r="N173" i="47"/>
  <c r="R173" i="47" s="1"/>
  <c r="AJ172" i="47"/>
  <c r="Z173" i="47"/>
  <c r="L171" i="48" l="1"/>
  <c r="M171" i="48" s="1"/>
  <c r="Y97" i="48"/>
  <c r="AB97" i="48"/>
  <c r="AC97" i="48" s="1"/>
  <c r="AH172" i="47"/>
  <c r="AK172" i="47"/>
  <c r="AL172" i="47" s="1"/>
  <c r="P173" i="47"/>
  <c r="S173" i="47"/>
  <c r="T173" i="47" s="1"/>
  <c r="G174" i="47"/>
  <c r="F174" i="47"/>
  <c r="E174" i="47"/>
  <c r="H174" i="47" l="1"/>
  <c r="D171" i="48"/>
  <c r="AJ97" i="48"/>
  <c r="Z98" i="48"/>
  <c r="N171" i="48"/>
  <c r="AA173" i="47"/>
  <c r="Q174" i="47"/>
  <c r="I174" i="47"/>
  <c r="AI173" i="47"/>
  <c r="AH97" i="48" l="1"/>
  <c r="AK97" i="48"/>
  <c r="AL97" i="48" s="1"/>
  <c r="G172" i="48"/>
  <c r="F172" i="48"/>
  <c r="E172" i="48"/>
  <c r="Y173" i="47"/>
  <c r="AB173" i="47"/>
  <c r="AC173" i="47" s="1"/>
  <c r="L174" i="47"/>
  <c r="M174" i="47" s="1"/>
  <c r="D174" i="47" l="1"/>
  <c r="I172" i="48"/>
  <c r="H172" i="48"/>
  <c r="AI98" i="48"/>
  <c r="AJ173" i="47"/>
  <c r="Z174" i="47"/>
  <c r="G175" i="47"/>
  <c r="F175" i="47"/>
  <c r="H175" i="47" s="1"/>
  <c r="E175" i="47"/>
  <c r="N174" i="47"/>
  <c r="R174" i="47" s="1"/>
  <c r="L172" i="48" l="1"/>
  <c r="N172" i="48" s="1"/>
  <c r="R98" i="48"/>
  <c r="P174" i="47"/>
  <c r="S174" i="47"/>
  <c r="T174" i="47" s="1"/>
  <c r="AH173" i="47"/>
  <c r="AK173" i="47"/>
  <c r="AL173" i="47" s="1"/>
  <c r="I175" i="47"/>
  <c r="M172" i="48" l="1"/>
  <c r="D172" i="48"/>
  <c r="P98" i="48"/>
  <c r="S98" i="48"/>
  <c r="T98" i="48" s="1"/>
  <c r="AA174" i="47"/>
  <c r="Q175" i="47"/>
  <c r="L175" i="47"/>
  <c r="M175" i="47" s="1"/>
  <c r="D175" i="47"/>
  <c r="AI174" i="47"/>
  <c r="N175" i="47" l="1"/>
  <c r="R175" i="47" s="1"/>
  <c r="P175" i="47" s="1"/>
  <c r="F173" i="48"/>
  <c r="G173" i="48"/>
  <c r="E173" i="48"/>
  <c r="AA98" i="48"/>
  <c r="Q99" i="48"/>
  <c r="Q176" i="47"/>
  <c r="Y174" i="47"/>
  <c r="AB174" i="47"/>
  <c r="AC174" i="47" s="1"/>
  <c r="F176" i="47"/>
  <c r="G176" i="47"/>
  <c r="E176" i="47"/>
  <c r="S175" i="47"/>
  <c r="T175" i="47" s="1"/>
  <c r="H176" i="47" l="1"/>
  <c r="Y98" i="48"/>
  <c r="AB98" i="48"/>
  <c r="AC98" i="48" s="1"/>
  <c r="I173" i="48"/>
  <c r="H173" i="48"/>
  <c r="I176" i="47"/>
  <c r="AJ174" i="47"/>
  <c r="Z175" i="47"/>
  <c r="AA175" i="47"/>
  <c r="Y175" i="47" s="1"/>
  <c r="AB175" i="47" l="1"/>
  <c r="AC175" i="47" s="1"/>
  <c r="AJ98" i="48"/>
  <c r="Z99" i="48"/>
  <c r="L173" i="48"/>
  <c r="M173" i="48" s="1"/>
  <c r="D173" i="48"/>
  <c r="AJ175" i="47"/>
  <c r="Z176" i="47"/>
  <c r="AH174" i="47"/>
  <c r="AK174" i="47"/>
  <c r="AL174" i="47" s="1"/>
  <c r="L176" i="47"/>
  <c r="M176" i="47" s="1"/>
  <c r="G174" i="48" l="1"/>
  <c r="F174" i="48"/>
  <c r="H174" i="48" s="1"/>
  <c r="E174" i="48"/>
  <c r="AH98" i="48"/>
  <c r="AK98" i="48"/>
  <c r="AL98" i="48" s="1"/>
  <c r="N173" i="48"/>
  <c r="N176" i="47"/>
  <c r="R176" i="47" s="1"/>
  <c r="D176" i="47"/>
  <c r="AH175" i="47"/>
  <c r="AI175" i="47"/>
  <c r="AK175" i="47" s="1"/>
  <c r="AL175" i="47" s="1"/>
  <c r="AI99" i="48" l="1"/>
  <c r="I174" i="48"/>
  <c r="F177" i="47"/>
  <c r="G177" i="47"/>
  <c r="E177" i="47"/>
  <c r="AI176" i="47"/>
  <c r="P176" i="47"/>
  <c r="S176" i="47"/>
  <c r="T176" i="47" s="1"/>
  <c r="R99" i="48" l="1"/>
  <c r="L174" i="48"/>
  <c r="M174" i="48" s="1"/>
  <c r="H177" i="47"/>
  <c r="AA176" i="47"/>
  <c r="Q177" i="47"/>
  <c r="I177" i="47"/>
  <c r="D174" i="48" l="1"/>
  <c r="N174" i="48"/>
  <c r="P99" i="48"/>
  <c r="S99" i="48"/>
  <c r="T99" i="48" s="1"/>
  <c r="L177" i="47"/>
  <c r="M177" i="47" s="1"/>
  <c r="D177" i="47"/>
  <c r="Y176" i="47"/>
  <c r="AB176" i="47"/>
  <c r="AC176" i="47" s="1"/>
  <c r="AA99" i="48" l="1"/>
  <c r="Q100" i="48"/>
  <c r="F175" i="48"/>
  <c r="G175" i="48"/>
  <c r="E175" i="48"/>
  <c r="F178" i="47"/>
  <c r="G178" i="47"/>
  <c r="E178" i="47"/>
  <c r="N177" i="47"/>
  <c r="R177" i="47" s="1"/>
  <c r="AJ176" i="47"/>
  <c r="Z177" i="47"/>
  <c r="H175" i="48" l="1"/>
  <c r="Y99" i="48"/>
  <c r="AB99" i="48"/>
  <c r="AC99" i="48" s="1"/>
  <c r="I175" i="48"/>
  <c r="P177" i="47"/>
  <c r="S177" i="47"/>
  <c r="T177" i="47" s="1"/>
  <c r="H178" i="47"/>
  <c r="AH176" i="47"/>
  <c r="AK176" i="47"/>
  <c r="AL176" i="47" s="1"/>
  <c r="I178" i="47"/>
  <c r="AJ99" i="48" l="1"/>
  <c r="Z100" i="48"/>
  <c r="L175" i="48"/>
  <c r="N175" i="48" s="1"/>
  <c r="D175" i="48"/>
  <c r="M175" i="48"/>
  <c r="L178" i="47"/>
  <c r="N178" i="47" s="1"/>
  <c r="R178" i="47" s="1"/>
  <c r="P178" i="47" s="1"/>
  <c r="AA177" i="47"/>
  <c r="Q178" i="47"/>
  <c r="AI177" i="47"/>
  <c r="M178" i="47"/>
  <c r="F176" i="48" l="1"/>
  <c r="G176" i="48"/>
  <c r="E176" i="48"/>
  <c r="AH99" i="48"/>
  <c r="AK99" i="48"/>
  <c r="AL99" i="48" s="1"/>
  <c r="Q179" i="47"/>
  <c r="Y177" i="47"/>
  <c r="AB177" i="47"/>
  <c r="AC177" i="47" s="1"/>
  <c r="D178" i="47"/>
  <c r="S178" i="47"/>
  <c r="T178" i="47" s="1"/>
  <c r="I176" i="48" l="1"/>
  <c r="H176" i="48"/>
  <c r="AI100" i="48"/>
  <c r="AJ177" i="47"/>
  <c r="Z178" i="47"/>
  <c r="G179" i="47"/>
  <c r="F179" i="47"/>
  <c r="H179" i="47" s="1"/>
  <c r="E179" i="47"/>
  <c r="AA178" i="47"/>
  <c r="Y178" i="47" s="1"/>
  <c r="R100" i="48" l="1"/>
  <c r="L176" i="48"/>
  <c r="M176" i="48" s="1"/>
  <c r="AJ178" i="47"/>
  <c r="Z179" i="47"/>
  <c r="AB178" i="47"/>
  <c r="AC178" i="47" s="1"/>
  <c r="AH177" i="47"/>
  <c r="AK177" i="47"/>
  <c r="AL177" i="47" s="1"/>
  <c r="I179" i="47"/>
  <c r="N176" i="48" l="1"/>
  <c r="P100" i="48"/>
  <c r="S100" i="48"/>
  <c r="T100" i="48" s="1"/>
  <c r="D176" i="48"/>
  <c r="L179" i="47"/>
  <c r="N179" i="47" s="1"/>
  <c r="R179" i="47" s="1"/>
  <c r="AH178" i="47"/>
  <c r="AI178" i="47"/>
  <c r="AK178" i="47" s="1"/>
  <c r="AL178" i="47" s="1"/>
  <c r="M179" i="47"/>
  <c r="D179" i="47" l="1"/>
  <c r="G177" i="48"/>
  <c r="F177" i="48"/>
  <c r="E177" i="48"/>
  <c r="AA100" i="48"/>
  <c r="Q101" i="48"/>
  <c r="F180" i="47"/>
  <c r="G180" i="47"/>
  <c r="E180" i="47"/>
  <c r="P179" i="47"/>
  <c r="S179" i="47"/>
  <c r="T179" i="47" s="1"/>
  <c r="AI179" i="47"/>
  <c r="H177" i="48" l="1"/>
  <c r="Y100" i="48"/>
  <c r="AB100" i="48"/>
  <c r="AC100" i="48" s="1"/>
  <c r="I177" i="48"/>
  <c r="AA179" i="47"/>
  <c r="Q180" i="47"/>
  <c r="H180" i="47"/>
  <c r="I180" i="47"/>
  <c r="L177" i="48" l="1"/>
  <c r="M177" i="48" s="1"/>
  <c r="AJ100" i="48"/>
  <c r="Z101" i="48"/>
  <c r="Y179" i="47"/>
  <c r="AB179" i="47"/>
  <c r="AC179" i="47" s="1"/>
  <c r="L180" i="47"/>
  <c r="D180" i="47" s="1"/>
  <c r="N180" i="47" l="1"/>
  <c r="R180" i="47" s="1"/>
  <c r="P180" i="47" s="1"/>
  <c r="D177" i="48"/>
  <c r="F178" i="48" s="1"/>
  <c r="N177" i="48"/>
  <c r="E178" i="48"/>
  <c r="AH100" i="48"/>
  <c r="AK100" i="48"/>
  <c r="AL100" i="48" s="1"/>
  <c r="F181" i="47"/>
  <c r="G181" i="47"/>
  <c r="E181" i="47"/>
  <c r="AA180" i="47"/>
  <c r="Y180" i="47" s="1"/>
  <c r="Q181" i="47"/>
  <c r="M180" i="47"/>
  <c r="S180" i="47"/>
  <c r="T180" i="47" s="1"/>
  <c r="AJ179" i="47"/>
  <c r="Z180" i="47"/>
  <c r="AB180" i="47" l="1"/>
  <c r="AC180" i="47" s="1"/>
  <c r="G178" i="48"/>
  <c r="AI101" i="48"/>
  <c r="I178" i="48"/>
  <c r="H178" i="48"/>
  <c r="AJ180" i="47"/>
  <c r="Z181" i="47"/>
  <c r="AH179" i="47"/>
  <c r="AK179" i="47"/>
  <c r="AL179" i="47" s="1"/>
  <c r="I181" i="47"/>
  <c r="H181" i="47"/>
  <c r="L178" i="48" l="1"/>
  <c r="M178" i="48" s="1"/>
  <c r="R101" i="48"/>
  <c r="AI180" i="47"/>
  <c r="AK180" i="47" s="1"/>
  <c r="AL180" i="47" s="1"/>
  <c r="AH180" i="47"/>
  <c r="L181" i="47"/>
  <c r="M181" i="47" s="1"/>
  <c r="D178" i="48" l="1"/>
  <c r="F179" i="48" s="1"/>
  <c r="G179" i="48"/>
  <c r="E179" i="48"/>
  <c r="P101" i="48"/>
  <c r="S101" i="48"/>
  <c r="T101" i="48" s="1"/>
  <c r="N178" i="48"/>
  <c r="AI181" i="47"/>
  <c r="D181" i="47"/>
  <c r="N181" i="47"/>
  <c r="R181" i="47" s="1"/>
  <c r="H179" i="48" l="1"/>
  <c r="AA101" i="48"/>
  <c r="Q102" i="48"/>
  <c r="I179" i="48"/>
  <c r="G182" i="47"/>
  <c r="F182" i="47"/>
  <c r="H182" i="47" s="1"/>
  <c r="E182" i="47"/>
  <c r="P181" i="47"/>
  <c r="S181" i="47"/>
  <c r="T181" i="47" s="1"/>
  <c r="Y101" i="48" l="1"/>
  <c r="AB101" i="48"/>
  <c r="AC101" i="48" s="1"/>
  <c r="L179" i="48"/>
  <c r="M179" i="48" s="1"/>
  <c r="AA181" i="47"/>
  <c r="Q182" i="47"/>
  <c r="I182" i="47"/>
  <c r="D179" i="48" l="1"/>
  <c r="N179" i="48"/>
  <c r="AJ101" i="48"/>
  <c r="Z102" i="48"/>
  <c r="F180" i="48"/>
  <c r="G180" i="48"/>
  <c r="E180" i="48"/>
  <c r="Y181" i="47"/>
  <c r="AB181" i="47"/>
  <c r="AC181" i="47" s="1"/>
  <c r="L182" i="47"/>
  <c r="D182" i="47" s="1"/>
  <c r="H180" i="48" l="1"/>
  <c r="AH101" i="48"/>
  <c r="AK101" i="48"/>
  <c r="AL101" i="48" s="1"/>
  <c r="I180" i="48"/>
  <c r="G183" i="47"/>
  <c r="F183" i="47"/>
  <c r="H183" i="47" s="1"/>
  <c r="E183" i="47"/>
  <c r="N182" i="47"/>
  <c r="R182" i="47" s="1"/>
  <c r="M182" i="47"/>
  <c r="AJ181" i="47"/>
  <c r="Z182" i="47"/>
  <c r="AI102" i="48" l="1"/>
  <c r="L180" i="48"/>
  <c r="N180" i="48" s="1"/>
  <c r="D180" i="48"/>
  <c r="M180" i="48"/>
  <c r="P182" i="47"/>
  <c r="S182" i="47"/>
  <c r="T182" i="47" s="1"/>
  <c r="AH181" i="47"/>
  <c r="AK181" i="47"/>
  <c r="AL181" i="47" s="1"/>
  <c r="I183" i="47"/>
  <c r="R102" i="48" l="1"/>
  <c r="G181" i="48"/>
  <c r="F181" i="48"/>
  <c r="E181" i="48"/>
  <c r="L183" i="47"/>
  <c r="M183" i="47" s="1"/>
  <c r="AA182" i="47"/>
  <c r="Q183" i="47"/>
  <c r="AI182" i="47"/>
  <c r="D183" i="47" l="1"/>
  <c r="N183" i="47"/>
  <c r="R183" i="47" s="1"/>
  <c r="P183" i="47" s="1"/>
  <c r="Q184" i="47" s="1"/>
  <c r="H181" i="48"/>
  <c r="P102" i="48"/>
  <c r="S102" i="48"/>
  <c r="T102" i="48" s="1"/>
  <c r="I181" i="48"/>
  <c r="G184" i="47"/>
  <c r="F184" i="47"/>
  <c r="H184" i="47" s="1"/>
  <c r="E184" i="47"/>
  <c r="Y182" i="47"/>
  <c r="AB182" i="47"/>
  <c r="AC182" i="47" s="1"/>
  <c r="S183" i="47" l="1"/>
  <c r="T183" i="47" s="1"/>
  <c r="L181" i="48"/>
  <c r="M181" i="48" s="1"/>
  <c r="AA102" i="48"/>
  <c r="Q103" i="48"/>
  <c r="AJ182" i="47"/>
  <c r="Z183" i="47"/>
  <c r="I184" i="47"/>
  <c r="AA183" i="47"/>
  <c r="Y183" i="47" s="1"/>
  <c r="D181" i="48" l="1"/>
  <c r="F182" i="48" s="1"/>
  <c r="Y102" i="48"/>
  <c r="AB102" i="48"/>
  <c r="AC102" i="48" s="1"/>
  <c r="N181" i="48"/>
  <c r="AJ183" i="47"/>
  <c r="Z184" i="47"/>
  <c r="L184" i="47"/>
  <c r="N184" i="47" s="1"/>
  <c r="R184" i="47" s="1"/>
  <c r="D184" i="47"/>
  <c r="AH182" i="47"/>
  <c r="AK182" i="47"/>
  <c r="AL182" i="47" s="1"/>
  <c r="M184" i="47"/>
  <c r="AB183" i="47"/>
  <c r="AC183" i="47" s="1"/>
  <c r="E182" i="48" l="1"/>
  <c r="G182" i="48"/>
  <c r="AJ102" i="48"/>
  <c r="Z103" i="48"/>
  <c r="H182" i="48"/>
  <c r="I182" i="48"/>
  <c r="P184" i="47"/>
  <c r="S184" i="47"/>
  <c r="T184" i="47" s="1"/>
  <c r="AI183" i="47"/>
  <c r="AK183" i="47" s="1"/>
  <c r="AL183" i="47" s="1"/>
  <c r="AH183" i="47"/>
  <c r="G185" i="47"/>
  <c r="F185" i="47"/>
  <c r="H185" i="47" s="1"/>
  <c r="E185" i="47"/>
  <c r="L182" i="48" l="1"/>
  <c r="N182" i="48" s="1"/>
  <c r="AH102" i="48"/>
  <c r="AK102" i="48"/>
  <c r="AL102" i="48" s="1"/>
  <c r="I185" i="47"/>
  <c r="AI184" i="47"/>
  <c r="AA184" i="47"/>
  <c r="Q185" i="47"/>
  <c r="M182" i="48" l="1"/>
  <c r="D182" i="48"/>
  <c r="AI103" i="48"/>
  <c r="Y184" i="47"/>
  <c r="AB184" i="47"/>
  <c r="AC184" i="47" s="1"/>
  <c r="L185" i="47"/>
  <c r="N185" i="47" s="1"/>
  <c r="R185" i="47" s="1"/>
  <c r="P185" i="47" s="1"/>
  <c r="D185" i="47"/>
  <c r="M185" i="47"/>
  <c r="F183" i="48" l="1"/>
  <c r="G183" i="48"/>
  <c r="E183" i="48"/>
  <c r="R103" i="48"/>
  <c r="AA185" i="47"/>
  <c r="Q186" i="47"/>
  <c r="S185" i="47"/>
  <c r="T185" i="47" s="1"/>
  <c r="G186" i="47"/>
  <c r="F186" i="47"/>
  <c r="E186" i="47"/>
  <c r="AJ184" i="47"/>
  <c r="Y185" i="47"/>
  <c r="Z185" i="47"/>
  <c r="AB185" i="47" l="1"/>
  <c r="AC185" i="47" s="1"/>
  <c r="P103" i="48"/>
  <c r="S103" i="48"/>
  <c r="T103" i="48" s="1"/>
  <c r="I183" i="48"/>
  <c r="H183" i="48"/>
  <c r="AH184" i="47"/>
  <c r="AK184" i="47"/>
  <c r="AL184" i="47" s="1"/>
  <c r="I186" i="47"/>
  <c r="H186" i="47"/>
  <c r="AJ185" i="47"/>
  <c r="Z186" i="47"/>
  <c r="L183" i="48" l="1"/>
  <c r="N183" i="48" s="1"/>
  <c r="AA103" i="48"/>
  <c r="Q104" i="48"/>
  <c r="L186" i="47"/>
  <c r="M186" i="47" s="1"/>
  <c r="AI185" i="47"/>
  <c r="AK185" i="47" s="1"/>
  <c r="AL185" i="47" s="1"/>
  <c r="AH185" i="47"/>
  <c r="D186" i="47" l="1"/>
  <c r="N186" i="47"/>
  <c r="R186" i="47" s="1"/>
  <c r="S186" i="47" s="1"/>
  <c r="T186" i="47" s="1"/>
  <c r="M183" i="48"/>
  <c r="D183" i="48"/>
  <c r="Y103" i="48"/>
  <c r="AB103" i="48"/>
  <c r="AC103" i="48" s="1"/>
  <c r="G187" i="47"/>
  <c r="F187" i="47"/>
  <c r="H187" i="47" s="1"/>
  <c r="E187" i="47"/>
  <c r="AI186" i="47"/>
  <c r="P186" i="47" l="1"/>
  <c r="AJ103" i="48"/>
  <c r="Z104" i="48"/>
  <c r="F184" i="48"/>
  <c r="G184" i="48"/>
  <c r="E184" i="48"/>
  <c r="AA186" i="47"/>
  <c r="Q187" i="47"/>
  <c r="I187" i="47"/>
  <c r="H184" i="48" l="1"/>
  <c r="I184" i="48"/>
  <c r="AH103" i="48"/>
  <c r="AK103" i="48"/>
  <c r="AL103" i="48" s="1"/>
  <c r="Y186" i="47"/>
  <c r="AB186" i="47"/>
  <c r="AC186" i="47" s="1"/>
  <c r="L187" i="47"/>
  <c r="N187" i="47" s="1"/>
  <c r="R187" i="47" s="1"/>
  <c r="P187" i="47" s="1"/>
  <c r="M187" i="47"/>
  <c r="D187" i="47" l="1"/>
  <c r="L184" i="48"/>
  <c r="M184" i="48" s="1"/>
  <c r="AI104" i="48"/>
  <c r="AA187" i="47"/>
  <c r="Q188" i="47"/>
  <c r="AJ186" i="47"/>
  <c r="Y187" i="47"/>
  <c r="Z187" i="47"/>
  <c r="AB187" i="47" s="1"/>
  <c r="AC187" i="47" s="1"/>
  <c r="G188" i="47"/>
  <c r="F188" i="47"/>
  <c r="H188" i="47" s="1"/>
  <c r="E188" i="47"/>
  <c r="S187" i="47"/>
  <c r="T187" i="47" s="1"/>
  <c r="D184" i="48" l="1"/>
  <c r="N184" i="48"/>
  <c r="R104" i="48"/>
  <c r="AJ187" i="47"/>
  <c r="Z188" i="47"/>
  <c r="AH186" i="47"/>
  <c r="AK186" i="47"/>
  <c r="AL186" i="47" s="1"/>
  <c r="I188" i="47"/>
  <c r="P104" i="48" l="1"/>
  <c r="S104" i="48"/>
  <c r="T104" i="48" s="1"/>
  <c r="G185" i="48"/>
  <c r="F185" i="48"/>
  <c r="H185" i="48" s="1"/>
  <c r="E185" i="48"/>
  <c r="AI187" i="47"/>
  <c r="AK187" i="47" s="1"/>
  <c r="AL187" i="47" s="1"/>
  <c r="AH187" i="47"/>
  <c r="L188" i="47"/>
  <c r="M188" i="47" s="1"/>
  <c r="AA104" i="48" l="1"/>
  <c r="Q105" i="48"/>
  <c r="I185" i="48"/>
  <c r="AI188" i="47"/>
  <c r="D188" i="47"/>
  <c r="N188" i="47"/>
  <c r="R188" i="47" s="1"/>
  <c r="Y104" i="48" l="1"/>
  <c r="AB104" i="48"/>
  <c r="AC104" i="48" s="1"/>
  <c r="L185" i="48"/>
  <c r="M185" i="48" s="1"/>
  <c r="F189" i="47"/>
  <c r="G189" i="47"/>
  <c r="E189" i="47"/>
  <c r="P188" i="47"/>
  <c r="S188" i="47"/>
  <c r="T188" i="47" s="1"/>
  <c r="N185" i="48" l="1"/>
  <c r="AJ104" i="48"/>
  <c r="Z105" i="48"/>
  <c r="D185" i="48"/>
  <c r="AA188" i="47"/>
  <c r="Q189" i="47"/>
  <c r="I189" i="47"/>
  <c r="H189" i="47"/>
  <c r="AH104" i="48" l="1"/>
  <c r="AK104" i="48"/>
  <c r="AL104" i="48" s="1"/>
  <c r="G186" i="48"/>
  <c r="F186" i="48"/>
  <c r="E186" i="48"/>
  <c r="Y188" i="47"/>
  <c r="AB188" i="47"/>
  <c r="AC188" i="47" s="1"/>
  <c r="L189" i="47"/>
  <c r="N189" i="47" s="1"/>
  <c r="R189" i="47" s="1"/>
  <c r="P189" i="47" s="1"/>
  <c r="M189" i="47"/>
  <c r="D189" i="47" l="1"/>
  <c r="H186" i="48"/>
  <c r="I186" i="48"/>
  <c r="AI105" i="48"/>
  <c r="F190" i="47"/>
  <c r="G190" i="47"/>
  <c r="E190" i="47"/>
  <c r="AA189" i="47"/>
  <c r="Y189" i="47" s="1"/>
  <c r="Q190" i="47"/>
  <c r="S189" i="47"/>
  <c r="T189" i="47" s="1"/>
  <c r="AJ188" i="47"/>
  <c r="Z189" i="47"/>
  <c r="AB189" i="47" s="1"/>
  <c r="AC189" i="47" s="1"/>
  <c r="R105" i="48" l="1"/>
  <c r="L186" i="48"/>
  <c r="N186" i="48" s="1"/>
  <c r="H190" i="47"/>
  <c r="AH188" i="47"/>
  <c r="AK188" i="47"/>
  <c r="AL188" i="47" s="1"/>
  <c r="AJ189" i="47"/>
  <c r="Z190" i="47"/>
  <c r="I190" i="47"/>
  <c r="M186" i="48" l="1"/>
  <c r="D186" i="48"/>
  <c r="G187" i="48" s="1"/>
  <c r="P105" i="48"/>
  <c r="S105" i="48"/>
  <c r="T105" i="48" s="1"/>
  <c r="AH189" i="47"/>
  <c r="AI189" i="47"/>
  <c r="AK189" i="47" s="1"/>
  <c r="AL189" i="47" s="1"/>
  <c r="L190" i="47"/>
  <c r="N190" i="47" s="1"/>
  <c r="R190" i="47" s="1"/>
  <c r="M190" i="47"/>
  <c r="D190" i="47" l="1"/>
  <c r="E187" i="48"/>
  <c r="F187" i="48"/>
  <c r="H187" i="48" s="1"/>
  <c r="AA105" i="48"/>
  <c r="Q106" i="48"/>
  <c r="G191" i="47"/>
  <c r="F191" i="47"/>
  <c r="H191" i="47" s="1"/>
  <c r="E191" i="47"/>
  <c r="P190" i="47"/>
  <c r="S190" i="47"/>
  <c r="T190" i="47" s="1"/>
  <c r="AI190" i="47"/>
  <c r="I187" i="48" l="1"/>
  <c r="L187" i="48" s="1"/>
  <c r="N187" i="48" s="1"/>
  <c r="Y105" i="48"/>
  <c r="AB105" i="48"/>
  <c r="AC105" i="48" s="1"/>
  <c r="AA190" i="47"/>
  <c r="Q191" i="47"/>
  <c r="I191" i="47"/>
  <c r="M187" i="48" l="1"/>
  <c r="D187" i="48"/>
  <c r="AJ105" i="48"/>
  <c r="Z106" i="48"/>
  <c r="Y190" i="47"/>
  <c r="AB190" i="47"/>
  <c r="AC190" i="47" s="1"/>
  <c r="L191" i="47"/>
  <c r="D191" i="47" s="1"/>
  <c r="M191" i="47"/>
  <c r="N191" i="47" l="1"/>
  <c r="R191" i="47" s="1"/>
  <c r="P191" i="47" s="1"/>
  <c r="AA191" i="47" s="1"/>
  <c r="Y191" i="47" s="1"/>
  <c r="AH105" i="48"/>
  <c r="AK105" i="48"/>
  <c r="AL105" i="48" s="1"/>
  <c r="F188" i="48"/>
  <c r="G188" i="48"/>
  <c r="E188" i="48"/>
  <c r="G192" i="47"/>
  <c r="F192" i="47"/>
  <c r="E192" i="47"/>
  <c r="AJ190" i="47"/>
  <c r="Z191" i="47"/>
  <c r="Q192" i="47" l="1"/>
  <c r="S191" i="47"/>
  <c r="T191" i="47" s="1"/>
  <c r="H192" i="47"/>
  <c r="AB191" i="47"/>
  <c r="AC191" i="47" s="1"/>
  <c r="H188" i="48"/>
  <c r="I188" i="48"/>
  <c r="AI106" i="48"/>
  <c r="AJ191" i="47"/>
  <c r="Z192" i="47"/>
  <c r="AH190" i="47"/>
  <c r="AK190" i="47"/>
  <c r="AL190" i="47" s="1"/>
  <c r="I192" i="47"/>
  <c r="R106" i="48" l="1"/>
  <c r="L188" i="48"/>
  <c r="M188" i="48" s="1"/>
  <c r="AI191" i="47"/>
  <c r="AK191" i="47" s="1"/>
  <c r="AL191" i="47" s="1"/>
  <c r="AH191" i="47"/>
  <c r="L192" i="47"/>
  <c r="M192" i="47" s="1"/>
  <c r="D192" i="47" l="1"/>
  <c r="N192" i="47"/>
  <c r="R192" i="47" s="1"/>
  <c r="P192" i="47" s="1"/>
  <c r="N188" i="48"/>
  <c r="P106" i="48"/>
  <c r="S106" i="48"/>
  <c r="T106" i="48" s="1"/>
  <c r="D188" i="48"/>
  <c r="S192" i="47"/>
  <c r="T192" i="47" s="1"/>
  <c r="AI192" i="47"/>
  <c r="G193" i="47"/>
  <c r="F193" i="47"/>
  <c r="E193" i="47"/>
  <c r="H193" i="47" l="1"/>
  <c r="G189" i="48"/>
  <c r="F189" i="48"/>
  <c r="E189" i="48"/>
  <c r="AA106" i="48"/>
  <c r="Q107" i="48"/>
  <c r="I193" i="47"/>
  <c r="AA192" i="47"/>
  <c r="Q193" i="47"/>
  <c r="H189" i="48" l="1"/>
  <c r="Y106" i="48"/>
  <c r="AB106" i="48"/>
  <c r="AC106" i="48" s="1"/>
  <c r="I189" i="48"/>
  <c r="L193" i="47"/>
  <c r="M193" i="47" s="1"/>
  <c r="Y192" i="47"/>
  <c r="AB192" i="47"/>
  <c r="AC192" i="47" s="1"/>
  <c r="AJ106" i="48" l="1"/>
  <c r="Z107" i="48"/>
  <c r="L189" i="48"/>
  <c r="N189" i="48" s="1"/>
  <c r="D193" i="47"/>
  <c r="N193" i="47"/>
  <c r="R193" i="47" s="1"/>
  <c r="AJ192" i="47"/>
  <c r="Z193" i="47"/>
  <c r="M189" i="48" l="1"/>
  <c r="AH106" i="48"/>
  <c r="AK106" i="48"/>
  <c r="AL106" i="48" s="1"/>
  <c r="D189" i="48"/>
  <c r="AH192" i="47"/>
  <c r="AK192" i="47"/>
  <c r="AL192" i="47" s="1"/>
  <c r="P193" i="47"/>
  <c r="S193" i="47"/>
  <c r="T193" i="47" s="1"/>
  <c r="G194" i="47"/>
  <c r="F194" i="47"/>
  <c r="E194" i="47"/>
  <c r="AI107" i="48" l="1"/>
  <c r="F190" i="48"/>
  <c r="G190" i="48"/>
  <c r="E190" i="48"/>
  <c r="AA193" i="47"/>
  <c r="Q194" i="47"/>
  <c r="I194" i="47"/>
  <c r="H194" i="47"/>
  <c r="AI193" i="47"/>
  <c r="H190" i="48" l="1"/>
  <c r="I190" i="48"/>
  <c r="R107" i="48"/>
  <c r="Y193" i="47"/>
  <c r="AB193" i="47"/>
  <c r="AC193" i="47" s="1"/>
  <c r="L194" i="47"/>
  <c r="M194" i="47" s="1"/>
  <c r="D194" i="47" l="1"/>
  <c r="L190" i="48"/>
  <c r="N190" i="48" s="1"/>
  <c r="P107" i="48"/>
  <c r="S107" i="48"/>
  <c r="T107" i="48" s="1"/>
  <c r="M190" i="48"/>
  <c r="AJ193" i="47"/>
  <c r="Z194" i="47"/>
  <c r="N194" i="47"/>
  <c r="R194" i="47" s="1"/>
  <c r="F195" i="47"/>
  <c r="G195" i="47"/>
  <c r="E195" i="47"/>
  <c r="AA107" i="48" l="1"/>
  <c r="Q108" i="48"/>
  <c r="D190" i="48"/>
  <c r="P194" i="47"/>
  <c r="S194" i="47"/>
  <c r="T194" i="47" s="1"/>
  <c r="I195" i="47"/>
  <c r="H195" i="47"/>
  <c r="AH193" i="47"/>
  <c r="AK193" i="47"/>
  <c r="AL193" i="47" s="1"/>
  <c r="Y107" i="48" l="1"/>
  <c r="AB107" i="48"/>
  <c r="AC107" i="48" s="1"/>
  <c r="F191" i="48"/>
  <c r="G191" i="48"/>
  <c r="E191" i="48"/>
  <c r="AI194" i="47"/>
  <c r="L195" i="47"/>
  <c r="M195" i="47" s="1"/>
  <c r="AA194" i="47"/>
  <c r="Q195" i="47"/>
  <c r="D195" i="47" l="1"/>
  <c r="G196" i="47" s="1"/>
  <c r="H191" i="48"/>
  <c r="AJ107" i="48"/>
  <c r="Z108" i="48"/>
  <c r="I191" i="48"/>
  <c r="Y194" i="47"/>
  <c r="AB194" i="47"/>
  <c r="AC194" i="47" s="1"/>
  <c r="N195" i="47"/>
  <c r="R195" i="47" s="1"/>
  <c r="P195" i="47" s="1"/>
  <c r="E196" i="47" l="1"/>
  <c r="F196" i="47"/>
  <c r="H196" i="47" s="1"/>
  <c r="AH107" i="48"/>
  <c r="AK107" i="48"/>
  <c r="AL107" i="48" s="1"/>
  <c r="L191" i="48"/>
  <c r="M191" i="48" s="1"/>
  <c r="AA195" i="47"/>
  <c r="Y195" i="47" s="1"/>
  <c r="Q196" i="47"/>
  <c r="AJ194" i="47"/>
  <c r="Z195" i="47"/>
  <c r="S195" i="47"/>
  <c r="T195" i="47" s="1"/>
  <c r="I196" i="47"/>
  <c r="D191" i="48" l="1"/>
  <c r="F192" i="48" s="1"/>
  <c r="N191" i="48"/>
  <c r="AI108" i="48"/>
  <c r="AJ195" i="47"/>
  <c r="Z196" i="47"/>
  <c r="L196" i="47"/>
  <c r="N196" i="47" s="1"/>
  <c r="R196" i="47" s="1"/>
  <c r="P196" i="47" s="1"/>
  <c r="AH194" i="47"/>
  <c r="AK194" i="47"/>
  <c r="AL194" i="47" s="1"/>
  <c r="AB195" i="47"/>
  <c r="AC195" i="47" s="1"/>
  <c r="M196" i="47"/>
  <c r="D196" i="47" l="1"/>
  <c r="E192" i="48"/>
  <c r="G192" i="48"/>
  <c r="I192" i="48"/>
  <c r="H192" i="48"/>
  <c r="R108" i="48"/>
  <c r="AA196" i="47"/>
  <c r="Y196" i="47" s="1"/>
  <c r="Q197" i="47"/>
  <c r="S196" i="47"/>
  <c r="T196" i="47" s="1"/>
  <c r="AI195" i="47"/>
  <c r="AK195" i="47" s="1"/>
  <c r="AL195" i="47" s="1"/>
  <c r="AH195" i="47"/>
  <c r="F197" i="47"/>
  <c r="G197" i="47"/>
  <c r="E197" i="47"/>
  <c r="AB196" i="47" l="1"/>
  <c r="AC196" i="47" s="1"/>
  <c r="P108" i="48"/>
  <c r="S108" i="48"/>
  <c r="T108" i="48" s="1"/>
  <c r="L192" i="48"/>
  <c r="M192" i="48" s="1"/>
  <c r="AI196" i="47"/>
  <c r="H197" i="47"/>
  <c r="I197" i="47"/>
  <c r="AJ196" i="47"/>
  <c r="AH196" i="47" s="1"/>
  <c r="Z197" i="47"/>
  <c r="N192" i="48" l="1"/>
  <c r="D192" i="48"/>
  <c r="AA108" i="48"/>
  <c r="Q109" i="48"/>
  <c r="AI197" i="47"/>
  <c r="AK196" i="47"/>
  <c r="AL196" i="47" s="1"/>
  <c r="L197" i="47"/>
  <c r="D197" i="47" s="1"/>
  <c r="M197" i="47" l="1"/>
  <c r="N197" i="47"/>
  <c r="R197" i="47" s="1"/>
  <c r="P197" i="47" s="1"/>
  <c r="Y108" i="48"/>
  <c r="AB108" i="48"/>
  <c r="AC108" i="48" s="1"/>
  <c r="F193" i="48"/>
  <c r="G193" i="48"/>
  <c r="E193" i="48"/>
  <c r="G198" i="47"/>
  <c r="F198" i="47"/>
  <c r="E198" i="47"/>
  <c r="S197" i="47"/>
  <c r="T197" i="47" s="1"/>
  <c r="H198" i="47" l="1"/>
  <c r="H193" i="48"/>
  <c r="I193" i="48"/>
  <c r="AJ108" i="48"/>
  <c r="Z109" i="48"/>
  <c r="AA197" i="47"/>
  <c r="Q198" i="47"/>
  <c r="I198" i="47"/>
  <c r="AH108" i="48" l="1"/>
  <c r="AK108" i="48"/>
  <c r="AL108" i="48" s="1"/>
  <c r="L193" i="48"/>
  <c r="M193" i="48" s="1"/>
  <c r="L198" i="47"/>
  <c r="M198" i="47" s="1"/>
  <c r="D198" i="47"/>
  <c r="Y197" i="47"/>
  <c r="AB197" i="47"/>
  <c r="AC197" i="47" s="1"/>
  <c r="N193" i="48" l="1"/>
  <c r="AI109" i="48"/>
  <c r="D193" i="48"/>
  <c r="G199" i="47"/>
  <c r="F199" i="47"/>
  <c r="H199" i="47" s="1"/>
  <c r="E199" i="47"/>
  <c r="N198" i="47"/>
  <c r="R198" i="47" s="1"/>
  <c r="AJ197" i="47"/>
  <c r="Z198" i="47"/>
  <c r="R109" i="48" l="1"/>
  <c r="G194" i="48"/>
  <c r="F194" i="48"/>
  <c r="E194" i="48"/>
  <c r="AH197" i="47"/>
  <c r="AK197" i="47"/>
  <c r="AL197" i="47" s="1"/>
  <c r="P198" i="47"/>
  <c r="S198" i="47"/>
  <c r="T198" i="47" s="1"/>
  <c r="I199" i="47"/>
  <c r="P109" i="48" l="1"/>
  <c r="S109" i="48"/>
  <c r="T109" i="48" s="1"/>
  <c r="I194" i="48"/>
  <c r="H194" i="48"/>
  <c r="AA198" i="47"/>
  <c r="Q199" i="47"/>
  <c r="L199" i="47"/>
  <c r="M199" i="47" s="1"/>
  <c r="AI198" i="47"/>
  <c r="AA109" i="48" l="1"/>
  <c r="Q110" i="48"/>
  <c r="L194" i="48"/>
  <c r="N194" i="48" s="1"/>
  <c r="M194" i="48"/>
  <c r="N199" i="47"/>
  <c r="R199" i="47" s="1"/>
  <c r="P199" i="47" s="1"/>
  <c r="Y198" i="47"/>
  <c r="AB198" i="47"/>
  <c r="AC198" i="47" s="1"/>
  <c r="D199" i="47"/>
  <c r="S199" i="47"/>
  <c r="T199" i="47" s="1"/>
  <c r="D194" i="48" l="1"/>
  <c r="Y109" i="48"/>
  <c r="AB109" i="48"/>
  <c r="AC109" i="48" s="1"/>
  <c r="G195" i="48"/>
  <c r="F195" i="48"/>
  <c r="E195" i="48"/>
  <c r="AJ198" i="47"/>
  <c r="Z199" i="47"/>
  <c r="F200" i="47"/>
  <c r="G200" i="47"/>
  <c r="E200" i="47"/>
  <c r="AA199" i="47"/>
  <c r="Y199" i="47" s="1"/>
  <c r="Q200" i="47"/>
  <c r="H195" i="48" l="1"/>
  <c r="AJ109" i="48"/>
  <c r="Z110" i="48"/>
  <c r="I195" i="48"/>
  <c r="AJ199" i="47"/>
  <c r="Z200" i="47"/>
  <c r="AH198" i="47"/>
  <c r="AK198" i="47"/>
  <c r="AL198" i="47" s="1"/>
  <c r="I200" i="47"/>
  <c r="H200" i="47"/>
  <c r="AB199" i="47"/>
  <c r="AC199" i="47" s="1"/>
  <c r="AH109" i="48" l="1"/>
  <c r="AK109" i="48"/>
  <c r="AL109" i="48" s="1"/>
  <c r="L195" i="48"/>
  <c r="M195" i="48" s="1"/>
  <c r="L200" i="47"/>
  <c r="M200" i="47" s="1"/>
  <c r="AI199" i="47"/>
  <c r="AK199" i="47" s="1"/>
  <c r="AL199" i="47" s="1"/>
  <c r="AH199" i="47"/>
  <c r="D195" i="48" l="1"/>
  <c r="F196" i="48" s="1"/>
  <c r="N195" i="48"/>
  <c r="AI110" i="48"/>
  <c r="D200" i="47"/>
  <c r="AI200" i="47"/>
  <c r="N200" i="47"/>
  <c r="R200" i="47" s="1"/>
  <c r="E196" i="48" l="1"/>
  <c r="I196" i="48" s="1"/>
  <c r="G196" i="48"/>
  <c r="H196" i="48"/>
  <c r="R110" i="48"/>
  <c r="P200" i="47"/>
  <c r="S200" i="47"/>
  <c r="T200" i="47" s="1"/>
  <c r="F201" i="47"/>
  <c r="G201" i="47"/>
  <c r="E201" i="47"/>
  <c r="P110" i="48" l="1"/>
  <c r="S110" i="48"/>
  <c r="T110" i="48" s="1"/>
  <c r="L196" i="48"/>
  <c r="M196" i="48" s="1"/>
  <c r="I201" i="47"/>
  <c r="H201" i="47"/>
  <c r="AA200" i="47"/>
  <c r="Q201" i="47"/>
  <c r="N196" i="48" l="1"/>
  <c r="AA110" i="48"/>
  <c r="Q111" i="48"/>
  <c r="D196" i="48"/>
  <c r="Y200" i="47"/>
  <c r="AB200" i="47"/>
  <c r="AC200" i="47" s="1"/>
  <c r="L201" i="47"/>
  <c r="N201" i="47" s="1"/>
  <c r="R201" i="47" s="1"/>
  <c r="P201" i="47" s="1"/>
  <c r="M201" i="47" l="1"/>
  <c r="D201" i="47"/>
  <c r="Y110" i="48"/>
  <c r="AB110" i="48"/>
  <c r="AC110" i="48" s="1"/>
  <c r="G197" i="48"/>
  <c r="F197" i="48"/>
  <c r="E197" i="48"/>
  <c r="G202" i="47"/>
  <c r="F202" i="47"/>
  <c r="E202" i="47"/>
  <c r="AA201" i="47"/>
  <c r="Y201" i="47" s="1"/>
  <c r="Q202" i="47"/>
  <c r="S201" i="47"/>
  <c r="T201" i="47" s="1"/>
  <c r="AJ200" i="47"/>
  <c r="Z201" i="47"/>
  <c r="H202" i="47" l="1"/>
  <c r="I197" i="48"/>
  <c r="H197" i="48"/>
  <c r="AJ110" i="48"/>
  <c r="Z111" i="48"/>
  <c r="AH200" i="47"/>
  <c r="AK200" i="47"/>
  <c r="AL200" i="47" s="1"/>
  <c r="AJ201" i="47"/>
  <c r="Z202" i="47"/>
  <c r="AB201" i="47"/>
  <c r="AC201" i="47" s="1"/>
  <c r="I202" i="47"/>
  <c r="AH110" i="48" l="1"/>
  <c r="AK110" i="48"/>
  <c r="AL110" i="48" s="1"/>
  <c r="L197" i="48"/>
  <c r="M197" i="48" s="1"/>
  <c r="AH201" i="47"/>
  <c r="AI201" i="47"/>
  <c r="AK201" i="47" s="1"/>
  <c r="AL201" i="47" s="1"/>
  <c r="L202" i="47"/>
  <c r="M202" i="47" s="1"/>
  <c r="N202" i="47" l="1"/>
  <c r="R202" i="47" s="1"/>
  <c r="N197" i="48"/>
  <c r="AI111" i="48"/>
  <c r="D197" i="48"/>
  <c r="P202" i="47"/>
  <c r="S202" i="47"/>
  <c r="T202" i="47" s="1"/>
  <c r="D202" i="47"/>
  <c r="AI202" i="47"/>
  <c r="R111" i="48" l="1"/>
  <c r="F198" i="48"/>
  <c r="G198" i="48"/>
  <c r="E198" i="48"/>
  <c r="G203" i="47"/>
  <c r="F203" i="47"/>
  <c r="H203" i="47" s="1"/>
  <c r="E203" i="47"/>
  <c r="AA202" i="47"/>
  <c r="Q203" i="47"/>
  <c r="H198" i="48" l="1"/>
  <c r="P111" i="48"/>
  <c r="S111" i="48"/>
  <c r="T111" i="48" s="1"/>
  <c r="I198" i="48"/>
  <c r="Y202" i="47"/>
  <c r="AB202" i="47"/>
  <c r="AC202" i="47" s="1"/>
  <c r="I203" i="47"/>
  <c r="L198" i="48" l="1"/>
  <c r="N198" i="48" s="1"/>
  <c r="AA111" i="48"/>
  <c r="Q112" i="48"/>
  <c r="L203" i="47"/>
  <c r="N203" i="47" s="1"/>
  <c r="R203" i="47" s="1"/>
  <c r="D203" i="47"/>
  <c r="AJ202" i="47"/>
  <c r="Z203" i="47"/>
  <c r="Y111" i="48" l="1"/>
  <c r="AB111" i="48"/>
  <c r="AC111" i="48" s="1"/>
  <c r="D198" i="48"/>
  <c r="M198" i="48"/>
  <c r="P203" i="47"/>
  <c r="S203" i="47"/>
  <c r="T203" i="47" s="1"/>
  <c r="G204" i="47"/>
  <c r="F204" i="47"/>
  <c r="H204" i="47" s="1"/>
  <c r="E204" i="47"/>
  <c r="AH202" i="47"/>
  <c r="AK202" i="47"/>
  <c r="AL202" i="47" s="1"/>
  <c r="M203" i="47"/>
  <c r="AJ111" i="48" l="1"/>
  <c r="Z112" i="48"/>
  <c r="G199" i="48"/>
  <c r="F199" i="48"/>
  <c r="E199" i="48"/>
  <c r="I204" i="47"/>
  <c r="AI203" i="47"/>
  <c r="AA203" i="47"/>
  <c r="Q204" i="47"/>
  <c r="H199" i="48" l="1"/>
  <c r="AH111" i="48"/>
  <c r="AK111" i="48"/>
  <c r="AL111" i="48" s="1"/>
  <c r="I199" i="48"/>
  <c r="Y203" i="47"/>
  <c r="AB203" i="47"/>
  <c r="AC203" i="47" s="1"/>
  <c r="L204" i="47"/>
  <c r="M204" i="47" s="1"/>
  <c r="D204" i="47" l="1"/>
  <c r="AI112" i="48"/>
  <c r="L199" i="48"/>
  <c r="M199" i="48" s="1"/>
  <c r="G205" i="47"/>
  <c r="F205" i="47"/>
  <c r="E205" i="47"/>
  <c r="N204" i="47"/>
  <c r="R204" i="47" s="1"/>
  <c r="AJ203" i="47"/>
  <c r="Z204" i="47"/>
  <c r="H205" i="47" l="1"/>
  <c r="N199" i="48"/>
  <c r="R112" i="48"/>
  <c r="D199" i="48"/>
  <c r="P204" i="47"/>
  <c r="S204" i="47"/>
  <c r="T204" i="47" s="1"/>
  <c r="AH203" i="47"/>
  <c r="AK203" i="47"/>
  <c r="AL203" i="47" s="1"/>
  <c r="I205" i="47"/>
  <c r="P112" i="48" l="1"/>
  <c r="S112" i="48"/>
  <c r="T112" i="48" s="1"/>
  <c r="G200" i="48"/>
  <c r="F200" i="48"/>
  <c r="E200" i="48"/>
  <c r="AI204" i="47"/>
  <c r="L205" i="47"/>
  <c r="M205" i="47" s="1"/>
  <c r="AA204" i="47"/>
  <c r="Q205" i="47"/>
  <c r="D205" i="47" l="1"/>
  <c r="I200" i="48"/>
  <c r="H200" i="48"/>
  <c r="AA112" i="48"/>
  <c r="Q113" i="48"/>
  <c r="Y204" i="47"/>
  <c r="AB204" i="47"/>
  <c r="AC204" i="47" s="1"/>
  <c r="F206" i="47"/>
  <c r="G206" i="47"/>
  <c r="E206" i="47"/>
  <c r="N205" i="47"/>
  <c r="R205" i="47" s="1"/>
  <c r="P205" i="47" s="1"/>
  <c r="S205" i="47" l="1"/>
  <c r="T205" i="47" s="1"/>
  <c r="H206" i="47"/>
  <c r="Y112" i="48"/>
  <c r="AB112" i="48"/>
  <c r="AC112" i="48" s="1"/>
  <c r="L200" i="48"/>
  <c r="D200" i="48" s="1"/>
  <c r="M200" i="48"/>
  <c r="I206" i="47"/>
  <c r="AA205" i="47"/>
  <c r="Y205" i="47" s="1"/>
  <c r="Q206" i="47"/>
  <c r="AJ204" i="47"/>
  <c r="Z205" i="47"/>
  <c r="AB205" i="47" s="1"/>
  <c r="AC205" i="47" s="1"/>
  <c r="N200" i="48" l="1"/>
  <c r="G201" i="48"/>
  <c r="F201" i="48"/>
  <c r="E201" i="48"/>
  <c r="AJ112" i="48"/>
  <c r="Z113" i="48"/>
  <c r="AJ205" i="47"/>
  <c r="Z206" i="47"/>
  <c r="AH204" i="47"/>
  <c r="AK204" i="47"/>
  <c r="AL204" i="47" s="1"/>
  <c r="L206" i="47"/>
  <c r="M206" i="47" s="1"/>
  <c r="N206" i="47" l="1"/>
  <c r="R206" i="47" s="1"/>
  <c r="P206" i="47" s="1"/>
  <c r="H201" i="48"/>
  <c r="AH112" i="48"/>
  <c r="AK112" i="48"/>
  <c r="AL112" i="48" s="1"/>
  <c r="I201" i="48"/>
  <c r="S206" i="47"/>
  <c r="T206" i="47" s="1"/>
  <c r="AA206" i="47"/>
  <c r="Y206" i="47" s="1"/>
  <c r="Q207" i="47"/>
  <c r="AB206" i="47"/>
  <c r="AC206" i="47" s="1"/>
  <c r="D206" i="47"/>
  <c r="AI205" i="47"/>
  <c r="AK205" i="47" s="1"/>
  <c r="AL205" i="47" s="1"/>
  <c r="AH205" i="47"/>
  <c r="L201" i="48" l="1"/>
  <c r="N201" i="48" s="1"/>
  <c r="AI113" i="48"/>
  <c r="AJ206" i="47"/>
  <c r="Z207" i="47"/>
  <c r="G207" i="47"/>
  <c r="F207" i="47"/>
  <c r="E207" i="47"/>
  <c r="AH206" i="47"/>
  <c r="AI206" i="47"/>
  <c r="AK206" i="47" s="1"/>
  <c r="AL206" i="47" s="1"/>
  <c r="H207" i="47" l="1"/>
  <c r="D201" i="48"/>
  <c r="R113" i="48"/>
  <c r="M201" i="48"/>
  <c r="AI207" i="47"/>
  <c r="I207" i="47"/>
  <c r="F202" i="48" l="1"/>
  <c r="G202" i="48"/>
  <c r="E202" i="48"/>
  <c r="P113" i="48"/>
  <c r="S113" i="48"/>
  <c r="T113" i="48" s="1"/>
  <c r="L207" i="47"/>
  <c r="N207" i="47" s="1"/>
  <c r="R207" i="47" s="1"/>
  <c r="D207" i="47"/>
  <c r="M207" i="47"/>
  <c r="AA113" i="48" l="1"/>
  <c r="Q114" i="48"/>
  <c r="H202" i="48"/>
  <c r="I202" i="48"/>
  <c r="P207" i="47"/>
  <c r="S207" i="47"/>
  <c r="T207" i="47" s="1"/>
  <c r="G208" i="47"/>
  <c r="F208" i="47"/>
  <c r="E208" i="47"/>
  <c r="Y113" i="48" l="1"/>
  <c r="AB113" i="48"/>
  <c r="AC113" i="48" s="1"/>
  <c r="L202" i="48"/>
  <c r="N202" i="48" s="1"/>
  <c r="I208" i="47"/>
  <c r="H208" i="47"/>
  <c r="AA207" i="47"/>
  <c r="Q208" i="47"/>
  <c r="M202" i="48" l="1"/>
  <c r="D202" i="48"/>
  <c r="F203" i="48" s="1"/>
  <c r="E203" i="48"/>
  <c r="AJ113" i="48"/>
  <c r="Z114" i="48"/>
  <c r="Y207" i="47"/>
  <c r="AB207" i="47"/>
  <c r="AC207" i="47" s="1"/>
  <c r="L208" i="47"/>
  <c r="M208" i="47" s="1"/>
  <c r="N208" i="47" l="1"/>
  <c r="R208" i="47" s="1"/>
  <c r="P208" i="47" s="1"/>
  <c r="G203" i="48"/>
  <c r="H203" i="48" s="1"/>
  <c r="AH113" i="48"/>
  <c r="AK113" i="48"/>
  <c r="AL113" i="48" s="1"/>
  <c r="I203" i="48"/>
  <c r="AA208" i="47"/>
  <c r="Y208" i="47" s="1"/>
  <c r="Q209" i="47"/>
  <c r="AJ207" i="47"/>
  <c r="Z208" i="47"/>
  <c r="D208" i="47"/>
  <c r="S208" i="47"/>
  <c r="T208" i="47" s="1"/>
  <c r="AB208" i="47" l="1"/>
  <c r="AC208" i="47" s="1"/>
  <c r="AI114" i="48"/>
  <c r="L203" i="48"/>
  <c r="N203" i="48" s="1"/>
  <c r="AJ208" i="47"/>
  <c r="Z209" i="47"/>
  <c r="AH207" i="47"/>
  <c r="AK207" i="47"/>
  <c r="AL207" i="47" s="1"/>
  <c r="F209" i="47"/>
  <c r="G209" i="47"/>
  <c r="E209" i="47"/>
  <c r="M203" i="48" l="1"/>
  <c r="D203" i="48"/>
  <c r="R114" i="48"/>
  <c r="G204" i="48"/>
  <c r="F204" i="48"/>
  <c r="E204" i="48"/>
  <c r="H209" i="47"/>
  <c r="AH208" i="47"/>
  <c r="AI208" i="47"/>
  <c r="AK208" i="47" s="1"/>
  <c r="AL208" i="47" s="1"/>
  <c r="I209" i="47"/>
  <c r="H204" i="48" l="1"/>
  <c r="P114" i="48"/>
  <c r="S114" i="48"/>
  <c r="T114" i="48" s="1"/>
  <c r="I204" i="48"/>
  <c r="AI209" i="47"/>
  <c r="L209" i="47"/>
  <c r="N209" i="47" s="1"/>
  <c r="R209" i="47" s="1"/>
  <c r="M209" i="47"/>
  <c r="D209" i="47" l="1"/>
  <c r="L204" i="48"/>
  <c r="N204" i="48" s="1"/>
  <c r="AA114" i="48"/>
  <c r="Q115" i="48"/>
  <c r="G210" i="47"/>
  <c r="F210" i="47"/>
  <c r="H210" i="47" s="1"/>
  <c r="E210" i="47"/>
  <c r="P209" i="47"/>
  <c r="S209" i="47"/>
  <c r="T209" i="47" s="1"/>
  <c r="D204" i="48" l="1"/>
  <c r="G205" i="48" s="1"/>
  <c r="Y114" i="48"/>
  <c r="AB114" i="48"/>
  <c r="AC114" i="48" s="1"/>
  <c r="M204" i="48"/>
  <c r="AA209" i="47"/>
  <c r="Q210" i="47"/>
  <c r="I210" i="47"/>
  <c r="E205" i="48" l="1"/>
  <c r="F205" i="48"/>
  <c r="AJ114" i="48"/>
  <c r="Z115" i="48"/>
  <c r="I205" i="48"/>
  <c r="H205" i="48"/>
  <c r="Y209" i="47"/>
  <c r="AB209" i="47"/>
  <c r="AC209" i="47" s="1"/>
  <c r="L210" i="47"/>
  <c r="D210" i="47" s="1"/>
  <c r="M210" i="47"/>
  <c r="N210" i="47" l="1"/>
  <c r="R210" i="47" s="1"/>
  <c r="P210" i="47" s="1"/>
  <c r="L205" i="48"/>
  <c r="N205" i="48" s="1"/>
  <c r="AH114" i="48"/>
  <c r="AK114" i="48"/>
  <c r="AL114" i="48" s="1"/>
  <c r="G211" i="47"/>
  <c r="F211" i="47"/>
  <c r="E211" i="47"/>
  <c r="AA210" i="47"/>
  <c r="Q211" i="47"/>
  <c r="AJ209" i="47"/>
  <c r="Z210" i="47"/>
  <c r="AB210" i="47" s="1"/>
  <c r="AC210" i="47" s="1"/>
  <c r="Y210" i="47"/>
  <c r="S210" i="47"/>
  <c r="T210" i="47" s="1"/>
  <c r="H211" i="47" l="1"/>
  <c r="AI115" i="48"/>
  <c r="D205" i="48"/>
  <c r="M205" i="48"/>
  <c r="AH209" i="47"/>
  <c r="AK209" i="47"/>
  <c r="AL209" i="47" s="1"/>
  <c r="AJ210" i="47"/>
  <c r="Z211" i="47"/>
  <c r="I211" i="47"/>
  <c r="R115" i="48" l="1"/>
  <c r="F206" i="48"/>
  <c r="G206" i="48"/>
  <c r="E206" i="48"/>
  <c r="L211" i="47"/>
  <c r="M211" i="47" s="1"/>
  <c r="AI210" i="47"/>
  <c r="AK210" i="47" s="1"/>
  <c r="AL210" i="47" s="1"/>
  <c r="AH210" i="47"/>
  <c r="I206" i="48" l="1"/>
  <c r="H206" i="48"/>
  <c r="P115" i="48"/>
  <c r="S115" i="48"/>
  <c r="T115" i="48" s="1"/>
  <c r="AI211" i="47"/>
  <c r="N211" i="47"/>
  <c r="R211" i="47" s="1"/>
  <c r="D211" i="47"/>
  <c r="AA115" i="48" l="1"/>
  <c r="Q116" i="48"/>
  <c r="L206" i="48"/>
  <c r="M206" i="48" s="1"/>
  <c r="P211" i="47"/>
  <c r="S211" i="47"/>
  <c r="T211" i="47" s="1"/>
  <c r="G212" i="47"/>
  <c r="F212" i="47"/>
  <c r="H212" i="47" s="1"/>
  <c r="E212" i="47"/>
  <c r="D206" i="48" l="1"/>
  <c r="N206" i="48"/>
  <c r="Y115" i="48"/>
  <c r="AB115" i="48"/>
  <c r="AC115" i="48" s="1"/>
  <c r="I212" i="47"/>
  <c r="AA211" i="47"/>
  <c r="Q212" i="47"/>
  <c r="AJ115" i="48" l="1"/>
  <c r="Z116" i="48"/>
  <c r="G207" i="48"/>
  <c r="F207" i="48"/>
  <c r="E207" i="48"/>
  <c r="L212" i="47"/>
  <c r="N212" i="47" s="1"/>
  <c r="R212" i="47" s="1"/>
  <c r="D212" i="47"/>
  <c r="Y211" i="47"/>
  <c r="AB211" i="47"/>
  <c r="AC211" i="47" s="1"/>
  <c r="M212" i="47"/>
  <c r="H207" i="48" l="1"/>
  <c r="I207" i="48"/>
  <c r="AH115" i="48"/>
  <c r="AK115" i="48"/>
  <c r="AL115" i="48" s="1"/>
  <c r="P212" i="47"/>
  <c r="S212" i="47"/>
  <c r="T212" i="47" s="1"/>
  <c r="F213" i="47"/>
  <c r="G213" i="47"/>
  <c r="E213" i="47"/>
  <c r="AJ211" i="47"/>
  <c r="Z212" i="47"/>
  <c r="H213" i="47" l="1"/>
  <c r="L207" i="48"/>
  <c r="N207" i="48" s="1"/>
  <c r="AI116" i="48"/>
  <c r="I213" i="47"/>
  <c r="AH211" i="47"/>
  <c r="AK211" i="47"/>
  <c r="AL211" i="47" s="1"/>
  <c r="AA212" i="47"/>
  <c r="Y212" i="47" s="1"/>
  <c r="Q213" i="47"/>
  <c r="M207" i="48" l="1"/>
  <c r="D207" i="48"/>
  <c r="F208" i="48" s="1"/>
  <c r="R116" i="48"/>
  <c r="AJ212" i="47"/>
  <c r="Z213" i="47"/>
  <c r="AB212" i="47"/>
  <c r="AC212" i="47" s="1"/>
  <c r="AI212" i="47"/>
  <c r="AK212" i="47" s="1"/>
  <c r="AL212" i="47" s="1"/>
  <c r="AH212" i="47"/>
  <c r="L213" i="47"/>
  <c r="M213" i="47" s="1"/>
  <c r="D213" i="47" l="1"/>
  <c r="E208" i="48"/>
  <c r="I208" i="48" s="1"/>
  <c r="G208" i="48"/>
  <c r="P116" i="48"/>
  <c r="S116" i="48"/>
  <c r="T116" i="48" s="1"/>
  <c r="H208" i="48"/>
  <c r="F214" i="47"/>
  <c r="G214" i="47"/>
  <c r="E214" i="47"/>
  <c r="AI213" i="47"/>
  <c r="N213" i="47"/>
  <c r="R213" i="47" s="1"/>
  <c r="H214" i="47" l="1"/>
  <c r="L208" i="48"/>
  <c r="N208" i="48" s="1"/>
  <c r="AA116" i="48"/>
  <c r="Q117" i="48"/>
  <c r="I214" i="47"/>
  <c r="P213" i="47"/>
  <c r="S213" i="47"/>
  <c r="T213" i="47" s="1"/>
  <c r="M208" i="48" l="1"/>
  <c r="D208" i="48"/>
  <c r="F209" i="48" s="1"/>
  <c r="Y116" i="48"/>
  <c r="AB116" i="48"/>
  <c r="AC116" i="48" s="1"/>
  <c r="AA213" i="47"/>
  <c r="Q214" i="47"/>
  <c r="L214" i="47"/>
  <c r="M214" i="47" s="1"/>
  <c r="D214" i="47" l="1"/>
  <c r="G215" i="47" s="1"/>
  <c r="E209" i="48"/>
  <c r="G209" i="48"/>
  <c r="H209" i="48" s="1"/>
  <c r="I209" i="48"/>
  <c r="AJ116" i="48"/>
  <c r="Z117" i="48"/>
  <c r="Y213" i="47"/>
  <c r="AB213" i="47"/>
  <c r="AC213" i="47" s="1"/>
  <c r="N214" i="47"/>
  <c r="R214" i="47" s="1"/>
  <c r="P214" i="47" s="1"/>
  <c r="E215" i="47" l="1"/>
  <c r="F215" i="47"/>
  <c r="H215" i="47" s="1"/>
  <c r="AH116" i="48"/>
  <c r="AK116" i="48"/>
  <c r="AL116" i="48" s="1"/>
  <c r="L209" i="48"/>
  <c r="M209" i="48" s="1"/>
  <c r="AJ213" i="47"/>
  <c r="Z214" i="47"/>
  <c r="I215" i="47"/>
  <c r="AA214" i="47"/>
  <c r="Y214" i="47" s="1"/>
  <c r="Q215" i="47"/>
  <c r="S214" i="47"/>
  <c r="T214" i="47" s="1"/>
  <c r="N209" i="48" l="1"/>
  <c r="D209" i="48"/>
  <c r="AI117" i="48"/>
  <c r="AJ214" i="47"/>
  <c r="Z215" i="47"/>
  <c r="AB214" i="47"/>
  <c r="AC214" i="47" s="1"/>
  <c r="L215" i="47"/>
  <c r="M215" i="47" s="1"/>
  <c r="AH213" i="47"/>
  <c r="AK213" i="47"/>
  <c r="AL213" i="47" s="1"/>
  <c r="G210" i="48" l="1"/>
  <c r="F210" i="48"/>
  <c r="E210" i="48"/>
  <c r="R117" i="48"/>
  <c r="N215" i="47"/>
  <c r="R215" i="47" s="1"/>
  <c r="AH214" i="47"/>
  <c r="AI214" i="47"/>
  <c r="AK214" i="47" s="1"/>
  <c r="AL214" i="47" s="1"/>
  <c r="D215" i="47"/>
  <c r="H210" i="48" l="1"/>
  <c r="P117" i="48"/>
  <c r="S117" i="48"/>
  <c r="T117" i="48" s="1"/>
  <c r="I210" i="48"/>
  <c r="AI215" i="47"/>
  <c r="G216" i="47"/>
  <c r="F216" i="47"/>
  <c r="H216" i="47" s="1"/>
  <c r="E216" i="47"/>
  <c r="P215" i="47"/>
  <c r="S215" i="47"/>
  <c r="T215" i="47" s="1"/>
  <c r="L210" i="48" l="1"/>
  <c r="N210" i="48" s="1"/>
  <c r="AA117" i="48"/>
  <c r="Q118" i="48"/>
  <c r="AA215" i="47"/>
  <c r="Q216" i="47"/>
  <c r="I216" i="47"/>
  <c r="M210" i="48" l="1"/>
  <c r="Y117" i="48"/>
  <c r="AB117" i="48"/>
  <c r="AC117" i="48" s="1"/>
  <c r="D210" i="48"/>
  <c r="L216" i="47"/>
  <c r="M216" i="47" s="1"/>
  <c r="Y215" i="47"/>
  <c r="AB215" i="47"/>
  <c r="AC215" i="47" s="1"/>
  <c r="D216" i="47" l="1"/>
  <c r="F211" i="48"/>
  <c r="G211" i="48"/>
  <c r="E211" i="48"/>
  <c r="AJ117" i="48"/>
  <c r="Z118" i="48"/>
  <c r="G217" i="47"/>
  <c r="F217" i="47"/>
  <c r="E217" i="47"/>
  <c r="N216" i="47"/>
  <c r="R216" i="47" s="1"/>
  <c r="AJ215" i="47"/>
  <c r="Z216" i="47"/>
  <c r="H217" i="47" l="1"/>
  <c r="AH117" i="48"/>
  <c r="AK117" i="48"/>
  <c r="AL117" i="48" s="1"/>
  <c r="I211" i="48"/>
  <c r="H211" i="48"/>
  <c r="P216" i="47"/>
  <c r="S216" i="47"/>
  <c r="T216" i="47" s="1"/>
  <c r="AH215" i="47"/>
  <c r="AK215" i="47"/>
  <c r="AL215" i="47" s="1"/>
  <c r="I217" i="47"/>
  <c r="AI118" i="48" l="1"/>
  <c r="L211" i="48"/>
  <c r="N211" i="48" s="1"/>
  <c r="AI216" i="47"/>
  <c r="L217" i="47"/>
  <c r="M217" i="47" s="1"/>
  <c r="D217" i="47"/>
  <c r="AA216" i="47"/>
  <c r="Q217" i="47"/>
  <c r="N217" i="47" l="1"/>
  <c r="R217" i="47" s="1"/>
  <c r="P217" i="47" s="1"/>
  <c r="Q218" i="47" s="1"/>
  <c r="M211" i="48"/>
  <c r="D211" i="48"/>
  <c r="G212" i="48" s="1"/>
  <c r="E212" i="48"/>
  <c r="R118" i="48"/>
  <c r="Y216" i="47"/>
  <c r="AB216" i="47"/>
  <c r="AC216" i="47" s="1"/>
  <c r="F218" i="47"/>
  <c r="G218" i="47"/>
  <c r="E218" i="47"/>
  <c r="S217" i="47"/>
  <c r="T217" i="47" s="1"/>
  <c r="F212" i="48" l="1"/>
  <c r="P118" i="48"/>
  <c r="S118" i="48"/>
  <c r="T118" i="48" s="1"/>
  <c r="I212" i="48"/>
  <c r="H212" i="48"/>
  <c r="I218" i="47"/>
  <c r="H218" i="47"/>
  <c r="AJ216" i="47"/>
  <c r="Z217" i="47"/>
  <c r="AA217" i="47"/>
  <c r="Y217" i="47" s="1"/>
  <c r="L212" i="48" l="1"/>
  <c r="N212" i="48" s="1"/>
  <c r="D212" i="48"/>
  <c r="AA118" i="48"/>
  <c r="Q119" i="48"/>
  <c r="M212" i="48"/>
  <c r="AJ217" i="47"/>
  <c r="Z218" i="47"/>
  <c r="AH216" i="47"/>
  <c r="AK216" i="47"/>
  <c r="AL216" i="47" s="1"/>
  <c r="AB217" i="47"/>
  <c r="AC217" i="47" s="1"/>
  <c r="L218" i="47"/>
  <c r="M218" i="47" s="1"/>
  <c r="D218" i="47" l="1"/>
  <c r="G213" i="48"/>
  <c r="F213" i="48"/>
  <c r="H213" i="48" s="1"/>
  <c r="E213" i="48"/>
  <c r="Y118" i="48"/>
  <c r="AB118" i="48"/>
  <c r="AC118" i="48" s="1"/>
  <c r="AI217" i="47"/>
  <c r="AK217" i="47" s="1"/>
  <c r="AL217" i="47" s="1"/>
  <c r="AH217" i="47"/>
  <c r="N218" i="47"/>
  <c r="R218" i="47" s="1"/>
  <c r="G219" i="47"/>
  <c r="F219" i="47"/>
  <c r="H219" i="47" s="1"/>
  <c r="E219" i="47"/>
  <c r="AJ118" i="48" l="1"/>
  <c r="Z119" i="48"/>
  <c r="I213" i="48"/>
  <c r="P218" i="47"/>
  <c r="S218" i="47"/>
  <c r="T218" i="47" s="1"/>
  <c r="AI218" i="47"/>
  <c r="I219" i="47"/>
  <c r="L213" i="48" l="1"/>
  <c r="N213" i="48" s="1"/>
  <c r="AH118" i="48"/>
  <c r="AK118" i="48"/>
  <c r="AL118" i="48" s="1"/>
  <c r="L219" i="47"/>
  <c r="M219" i="47" s="1"/>
  <c r="AA218" i="47"/>
  <c r="Q219" i="47"/>
  <c r="D219" i="47" l="1"/>
  <c r="N219" i="47"/>
  <c r="R219" i="47" s="1"/>
  <c r="P219" i="47" s="1"/>
  <c r="Q220" i="47" s="1"/>
  <c r="D213" i="48"/>
  <c r="AI119" i="48"/>
  <c r="M213" i="48"/>
  <c r="G220" i="47"/>
  <c r="F220" i="47"/>
  <c r="H220" i="47" s="1"/>
  <c r="E220" i="47"/>
  <c r="Y218" i="47"/>
  <c r="AB218" i="47"/>
  <c r="AC218" i="47" s="1"/>
  <c r="S219" i="47" l="1"/>
  <c r="T219" i="47" s="1"/>
  <c r="F214" i="48"/>
  <c r="G214" i="48"/>
  <c r="E214" i="48"/>
  <c r="R119" i="48"/>
  <c r="AJ218" i="47"/>
  <c r="Z219" i="47"/>
  <c r="I220" i="47"/>
  <c r="AA219" i="47"/>
  <c r="Y219" i="47" s="1"/>
  <c r="AB219" i="47" l="1"/>
  <c r="AC219" i="47" s="1"/>
  <c r="P119" i="48"/>
  <c r="S119" i="48"/>
  <c r="T119" i="48" s="1"/>
  <c r="H214" i="48"/>
  <c r="I214" i="48"/>
  <c r="AJ219" i="47"/>
  <c r="Z220" i="47"/>
  <c r="L220" i="47"/>
  <c r="M220" i="47" s="1"/>
  <c r="D220" i="47"/>
  <c r="AH218" i="47"/>
  <c r="AK218" i="47"/>
  <c r="AL218" i="47" s="1"/>
  <c r="AA119" i="48" l="1"/>
  <c r="Q120" i="48"/>
  <c r="L214" i="48"/>
  <c r="N214" i="48" s="1"/>
  <c r="F221" i="47"/>
  <c r="G221" i="47"/>
  <c r="E221" i="47"/>
  <c r="AI219" i="47"/>
  <c r="AK219" i="47" s="1"/>
  <c r="AL219" i="47" s="1"/>
  <c r="AH219" i="47"/>
  <c r="N220" i="47"/>
  <c r="R220" i="47" s="1"/>
  <c r="M214" i="48" l="1"/>
  <c r="D214" i="48"/>
  <c r="Y119" i="48"/>
  <c r="AB119" i="48"/>
  <c r="AC119" i="48" s="1"/>
  <c r="F215" i="48"/>
  <c r="G215" i="48"/>
  <c r="E215" i="48"/>
  <c r="P220" i="47"/>
  <c r="S220" i="47"/>
  <c r="T220" i="47" s="1"/>
  <c r="H221" i="47"/>
  <c r="AI220" i="47"/>
  <c r="I221" i="47"/>
  <c r="AJ119" i="48" l="1"/>
  <c r="Z120" i="48"/>
  <c r="I215" i="48"/>
  <c r="H215" i="48"/>
  <c r="AA220" i="47"/>
  <c r="Q221" i="47"/>
  <c r="L221" i="47"/>
  <c r="M221" i="47" s="1"/>
  <c r="D221" i="47" l="1"/>
  <c r="AH119" i="48"/>
  <c r="AK119" i="48"/>
  <c r="AL119" i="48" s="1"/>
  <c r="L215" i="48"/>
  <c r="D215" i="48" s="1"/>
  <c r="M215" i="48"/>
  <c r="N221" i="47"/>
  <c r="R221" i="47" s="1"/>
  <c r="P221" i="47" s="1"/>
  <c r="Y220" i="47"/>
  <c r="AB220" i="47"/>
  <c r="AC220" i="47" s="1"/>
  <c r="G222" i="47"/>
  <c r="F222" i="47"/>
  <c r="E222" i="47"/>
  <c r="S221" i="47"/>
  <c r="T221" i="47" s="1"/>
  <c r="N215" i="48" l="1"/>
  <c r="AI120" i="48"/>
  <c r="F216" i="48"/>
  <c r="G216" i="48"/>
  <c r="E216" i="48"/>
  <c r="I222" i="47"/>
  <c r="H222" i="47"/>
  <c r="AJ220" i="47"/>
  <c r="Z221" i="47"/>
  <c r="AA221" i="47"/>
  <c r="Y221" i="47" s="1"/>
  <c r="Q222" i="47"/>
  <c r="H216" i="48" l="1"/>
  <c r="R120" i="48"/>
  <c r="I216" i="48"/>
  <c r="AJ221" i="47"/>
  <c r="Z222" i="47"/>
  <c r="AB221" i="47"/>
  <c r="AC221" i="47" s="1"/>
  <c r="AH220" i="47"/>
  <c r="AK220" i="47"/>
  <c r="AL220" i="47" s="1"/>
  <c r="L222" i="47"/>
  <c r="M222" i="47" s="1"/>
  <c r="N222" i="47" l="1"/>
  <c r="R222" i="47" s="1"/>
  <c r="P222" i="47" s="1"/>
  <c r="L216" i="48"/>
  <c r="N216" i="48" s="1"/>
  <c r="M216" i="48"/>
  <c r="P120" i="48"/>
  <c r="S120" i="48"/>
  <c r="T120" i="48" s="1"/>
  <c r="AA222" i="47"/>
  <c r="Y222" i="47" s="1"/>
  <c r="Q223" i="47"/>
  <c r="S222" i="47"/>
  <c r="T222" i="47" s="1"/>
  <c r="D222" i="47"/>
  <c r="AH221" i="47"/>
  <c r="AI221" i="47"/>
  <c r="AK221" i="47" s="1"/>
  <c r="AL221" i="47" s="1"/>
  <c r="D216" i="48" l="1"/>
  <c r="G217" i="48" s="1"/>
  <c r="AA120" i="48"/>
  <c r="Q121" i="48"/>
  <c r="AI222" i="47"/>
  <c r="AJ222" i="47"/>
  <c r="AH222" i="47" s="1"/>
  <c r="Z223" i="47"/>
  <c r="G223" i="47"/>
  <c r="F223" i="47"/>
  <c r="H223" i="47" s="1"/>
  <c r="E223" i="47"/>
  <c r="AB222" i="47"/>
  <c r="AC222" i="47" s="1"/>
  <c r="AK222" i="47" l="1"/>
  <c r="AL222" i="47" s="1"/>
  <c r="E217" i="48"/>
  <c r="F217" i="48"/>
  <c r="H217" i="48" s="1"/>
  <c r="Y120" i="48"/>
  <c r="AB120" i="48"/>
  <c r="AC120" i="48" s="1"/>
  <c r="I217" i="48"/>
  <c r="AI223" i="47"/>
  <c r="I223" i="47"/>
  <c r="L217" i="48" l="1"/>
  <c r="M217" i="48" s="1"/>
  <c r="AJ120" i="48"/>
  <c r="Z121" i="48"/>
  <c r="L223" i="47"/>
  <c r="M223" i="47" s="1"/>
  <c r="D223" i="47"/>
  <c r="D217" i="48" l="1"/>
  <c r="AH120" i="48"/>
  <c r="AK120" i="48"/>
  <c r="AL120" i="48" s="1"/>
  <c r="N217" i="48"/>
  <c r="F224" i="47"/>
  <c r="G224" i="47"/>
  <c r="E224" i="47"/>
  <c r="N223" i="47"/>
  <c r="R223" i="47" s="1"/>
  <c r="AI121" i="48" l="1"/>
  <c r="F218" i="48"/>
  <c r="G218" i="48"/>
  <c r="E218" i="48"/>
  <c r="P223" i="47"/>
  <c r="S223" i="47"/>
  <c r="T223" i="47" s="1"/>
  <c r="I224" i="47"/>
  <c r="H224" i="47"/>
  <c r="R121" i="48" l="1"/>
  <c r="I218" i="48"/>
  <c r="H218" i="48"/>
  <c r="L224" i="47"/>
  <c r="M224" i="47" s="1"/>
  <c r="AA223" i="47"/>
  <c r="Q224" i="47"/>
  <c r="D224" i="47" l="1"/>
  <c r="N224" i="47"/>
  <c r="R224" i="47" s="1"/>
  <c r="P224" i="47" s="1"/>
  <c r="Q225" i="47" s="1"/>
  <c r="P121" i="48"/>
  <c r="S121" i="48"/>
  <c r="T121" i="48" s="1"/>
  <c r="L218" i="48"/>
  <c r="D218" i="48" s="1"/>
  <c r="Y223" i="47"/>
  <c r="AB223" i="47"/>
  <c r="AC223" i="47" s="1"/>
  <c r="F225" i="47"/>
  <c r="G225" i="47"/>
  <c r="E225" i="47"/>
  <c r="S224" i="47" l="1"/>
  <c r="T224" i="47" s="1"/>
  <c r="M218" i="48"/>
  <c r="G219" i="48"/>
  <c r="F219" i="48"/>
  <c r="E219" i="48"/>
  <c r="N218" i="48"/>
  <c r="AA121" i="48"/>
  <c r="Q122" i="48"/>
  <c r="AJ223" i="47"/>
  <c r="Z224" i="47"/>
  <c r="I225" i="47"/>
  <c r="H225" i="47"/>
  <c r="AA224" i="47"/>
  <c r="Y224" i="47" s="1"/>
  <c r="H219" i="48" l="1"/>
  <c r="Y121" i="48"/>
  <c r="AB121" i="48"/>
  <c r="AC121" i="48" s="1"/>
  <c r="I219" i="48"/>
  <c r="AJ224" i="47"/>
  <c r="Z225" i="47"/>
  <c r="AH223" i="47"/>
  <c r="AK223" i="47"/>
  <c r="AL223" i="47" s="1"/>
  <c r="L225" i="47"/>
  <c r="M225" i="47" s="1"/>
  <c r="AB224" i="47"/>
  <c r="AC224" i="47" s="1"/>
  <c r="D225" i="47" l="1"/>
  <c r="L219" i="48"/>
  <c r="M219" i="48" s="1"/>
  <c r="AJ121" i="48"/>
  <c r="Z122" i="48"/>
  <c r="G226" i="47"/>
  <c r="F226" i="47"/>
  <c r="H226" i="47" s="1"/>
  <c r="E226" i="47"/>
  <c r="N225" i="47"/>
  <c r="R225" i="47" s="1"/>
  <c r="AH224" i="47"/>
  <c r="AI224" i="47"/>
  <c r="AK224" i="47" s="1"/>
  <c r="AL224" i="47" s="1"/>
  <c r="N219" i="48" l="1"/>
  <c r="AH121" i="48"/>
  <c r="AK121" i="48"/>
  <c r="AL121" i="48" s="1"/>
  <c r="D219" i="48"/>
  <c r="P225" i="47"/>
  <c r="S225" i="47"/>
  <c r="T225" i="47" s="1"/>
  <c r="AI225" i="47"/>
  <c r="I226" i="47"/>
  <c r="AI122" i="48" l="1"/>
  <c r="F220" i="48"/>
  <c r="G220" i="48"/>
  <c r="E220" i="48"/>
  <c r="L226" i="47"/>
  <c r="M226" i="47" s="1"/>
  <c r="AA225" i="47"/>
  <c r="Q226" i="47"/>
  <c r="D226" i="47" l="1"/>
  <c r="N226" i="47"/>
  <c r="R226" i="47" s="1"/>
  <c r="P226" i="47" s="1"/>
  <c r="Q227" i="47" s="1"/>
  <c r="H220" i="48"/>
  <c r="R122" i="48"/>
  <c r="I220" i="48"/>
  <c r="F227" i="47"/>
  <c r="G227" i="47"/>
  <c r="E227" i="47"/>
  <c r="Y225" i="47"/>
  <c r="AB225" i="47"/>
  <c r="AC225" i="47" s="1"/>
  <c r="S226" i="47"/>
  <c r="T226" i="47" s="1"/>
  <c r="P122" i="48" l="1"/>
  <c r="S122" i="48"/>
  <c r="T122" i="48" s="1"/>
  <c r="L220" i="48"/>
  <c r="D220" i="48" s="1"/>
  <c r="AJ225" i="47"/>
  <c r="Z226" i="47"/>
  <c r="H227" i="47"/>
  <c r="I227" i="47"/>
  <c r="AA226" i="47"/>
  <c r="Y226" i="47" s="1"/>
  <c r="G221" i="48" l="1"/>
  <c r="F221" i="48"/>
  <c r="E221" i="48"/>
  <c r="N220" i="48"/>
  <c r="M220" i="48"/>
  <c r="AA122" i="48"/>
  <c r="Q123" i="48"/>
  <c r="AJ226" i="47"/>
  <c r="Z227" i="47"/>
  <c r="AH225" i="47"/>
  <c r="AK225" i="47"/>
  <c r="AL225" i="47" s="1"/>
  <c r="AB226" i="47"/>
  <c r="AC226" i="47" s="1"/>
  <c r="L227" i="47"/>
  <c r="N227" i="47" s="1"/>
  <c r="R227" i="47" s="1"/>
  <c r="M227" i="47" l="1"/>
  <c r="D227" i="47"/>
  <c r="G228" i="47" s="1"/>
  <c r="H221" i="48"/>
  <c r="Y122" i="48"/>
  <c r="AB122" i="48"/>
  <c r="AC122" i="48" s="1"/>
  <c r="I221" i="48"/>
  <c r="AH226" i="47"/>
  <c r="AI226" i="47"/>
  <c r="AK226" i="47" s="1"/>
  <c r="AL226" i="47" s="1"/>
  <c r="P227" i="47"/>
  <c r="S227" i="47"/>
  <c r="T227" i="47" s="1"/>
  <c r="F228" i="47" l="1"/>
  <c r="H228" i="47" s="1"/>
  <c r="E228" i="47"/>
  <c r="AJ122" i="48"/>
  <c r="Z123" i="48"/>
  <c r="L221" i="48"/>
  <c r="M221" i="48" s="1"/>
  <c r="D221" i="48"/>
  <c r="AA227" i="47"/>
  <c r="Q228" i="47"/>
  <c r="AI227" i="47"/>
  <c r="I228" i="47"/>
  <c r="G222" i="48" l="1"/>
  <c r="F222" i="48"/>
  <c r="H222" i="48" s="1"/>
  <c r="E222" i="48"/>
  <c r="N221" i="48"/>
  <c r="AH122" i="48"/>
  <c r="AK122" i="48"/>
  <c r="AL122" i="48" s="1"/>
  <c r="Y227" i="47"/>
  <c r="AB227" i="47"/>
  <c r="AC227" i="47" s="1"/>
  <c r="L228" i="47"/>
  <c r="M228" i="47" s="1"/>
  <c r="D228" i="47"/>
  <c r="N228" i="47" l="1"/>
  <c r="R228" i="47" s="1"/>
  <c r="P228" i="47" s="1"/>
  <c r="AA228" i="47" s="1"/>
  <c r="Y228" i="47" s="1"/>
  <c r="AI123" i="48"/>
  <c r="I222" i="48"/>
  <c r="F229" i="47"/>
  <c r="G229" i="47"/>
  <c r="E229" i="47"/>
  <c r="AJ227" i="47"/>
  <c r="Z228" i="47"/>
  <c r="AB228" i="47" l="1"/>
  <c r="AC228" i="47" s="1"/>
  <c r="H229" i="47"/>
  <c r="S228" i="47"/>
  <c r="T228" i="47" s="1"/>
  <c r="Q229" i="47"/>
  <c r="R123" i="48"/>
  <c r="L222" i="48"/>
  <c r="M222" i="48" s="1"/>
  <c r="Z229" i="47"/>
  <c r="AH227" i="47"/>
  <c r="AK227" i="47"/>
  <c r="AL227" i="47" s="1"/>
  <c r="I229" i="47"/>
  <c r="D222" i="48" l="1"/>
  <c r="F223" i="48" s="1"/>
  <c r="N222" i="48"/>
  <c r="P123" i="48"/>
  <c r="S123" i="48"/>
  <c r="T123" i="48" s="1"/>
  <c r="AI228" i="47"/>
  <c r="L229" i="47"/>
  <c r="M229" i="47" s="1"/>
  <c r="AJ228" i="47"/>
  <c r="AH228" i="47" s="1"/>
  <c r="D229" i="47" l="1"/>
  <c r="N229" i="47"/>
  <c r="R229" i="47" s="1"/>
  <c r="S229" i="47" s="1"/>
  <c r="T229" i="47" s="1"/>
  <c r="G223" i="48"/>
  <c r="E223" i="48"/>
  <c r="I223" i="48" s="1"/>
  <c r="AA123" i="48"/>
  <c r="Q124" i="48"/>
  <c r="H223" i="48"/>
  <c r="AI229" i="47"/>
  <c r="G230" i="47"/>
  <c r="F230" i="47"/>
  <c r="H230" i="47" s="1"/>
  <c r="E230" i="47"/>
  <c r="AK228" i="47"/>
  <c r="AL228" i="47" s="1"/>
  <c r="P229" i="47" l="1"/>
  <c r="Y123" i="48"/>
  <c r="AB123" i="48"/>
  <c r="AC123" i="48" s="1"/>
  <c r="L223" i="48"/>
  <c r="N223" i="48" s="1"/>
  <c r="D223" i="48"/>
  <c r="M223" i="48"/>
  <c r="AA229" i="47"/>
  <c r="Q230" i="47"/>
  <c r="I230" i="47"/>
  <c r="AJ123" i="48" l="1"/>
  <c r="Z124" i="48"/>
  <c r="G224" i="48"/>
  <c r="F224" i="48"/>
  <c r="E224" i="48"/>
  <c r="Y229" i="47"/>
  <c r="AB229" i="47"/>
  <c r="AC229" i="47" s="1"/>
  <c r="L230" i="47"/>
  <c r="N230" i="47" s="1"/>
  <c r="R230" i="47" s="1"/>
  <c r="M230" i="47" l="1"/>
  <c r="D230" i="47"/>
  <c r="H224" i="48"/>
  <c r="AH123" i="48"/>
  <c r="AK123" i="48"/>
  <c r="AL123" i="48" s="1"/>
  <c r="I224" i="48"/>
  <c r="P230" i="47"/>
  <c r="S230" i="47"/>
  <c r="T230" i="47" s="1"/>
  <c r="G231" i="47"/>
  <c r="F231" i="47"/>
  <c r="E231" i="47"/>
  <c r="AJ229" i="47"/>
  <c r="Z230" i="47"/>
  <c r="AI124" i="48" l="1"/>
  <c r="L224" i="48"/>
  <c r="N224" i="48" s="1"/>
  <c r="I231" i="47"/>
  <c r="AH229" i="47"/>
  <c r="AK229" i="47"/>
  <c r="AL229" i="47" s="1"/>
  <c r="H231" i="47"/>
  <c r="AA230" i="47"/>
  <c r="Y230" i="47" s="1"/>
  <c r="Q231" i="47"/>
  <c r="M224" i="48" l="1"/>
  <c r="D224" i="48"/>
  <c r="R124" i="48"/>
  <c r="F225" i="48"/>
  <c r="G225" i="48"/>
  <c r="E225" i="48"/>
  <c r="L231" i="47"/>
  <c r="N231" i="47" s="1"/>
  <c r="R231" i="47" s="1"/>
  <c r="AI230" i="47"/>
  <c r="AB230" i="47"/>
  <c r="AC230" i="47" s="1"/>
  <c r="AJ230" i="47"/>
  <c r="AH230" i="47" s="1"/>
  <c r="Z231" i="47"/>
  <c r="M231" i="47"/>
  <c r="P124" i="48" l="1"/>
  <c r="S124" i="48"/>
  <c r="T124" i="48" s="1"/>
  <c r="I225" i="48"/>
  <c r="H225" i="48"/>
  <c r="AI231" i="47"/>
  <c r="P231" i="47"/>
  <c r="S231" i="47"/>
  <c r="T231" i="47" s="1"/>
  <c r="AK230" i="47"/>
  <c r="AL230" i="47" s="1"/>
  <c r="D231" i="47"/>
  <c r="L225" i="48" l="1"/>
  <c r="N225" i="48" s="1"/>
  <c r="AA124" i="48"/>
  <c r="Q125" i="48"/>
  <c r="G232" i="47"/>
  <c r="F232" i="47"/>
  <c r="E232" i="47"/>
  <c r="AA231" i="47"/>
  <c r="Q232" i="47"/>
  <c r="D225" i="48" l="1"/>
  <c r="Y124" i="48"/>
  <c r="AB124" i="48"/>
  <c r="AC124" i="48" s="1"/>
  <c r="M225" i="48"/>
  <c r="Y231" i="47"/>
  <c r="AB231" i="47"/>
  <c r="AC231" i="47" s="1"/>
  <c r="I232" i="47"/>
  <c r="H232" i="47"/>
  <c r="AJ124" i="48" l="1"/>
  <c r="Z125" i="48"/>
  <c r="F226" i="48"/>
  <c r="G226" i="48"/>
  <c r="E226" i="48"/>
  <c r="AJ231" i="47"/>
  <c r="Z232" i="47"/>
  <c r="L232" i="47"/>
  <c r="M232" i="47" s="1"/>
  <c r="H226" i="48" l="1"/>
  <c r="I226" i="48"/>
  <c r="AH124" i="48"/>
  <c r="AK124" i="48"/>
  <c r="AL124" i="48" s="1"/>
  <c r="D232" i="47"/>
  <c r="N232" i="47"/>
  <c r="R232" i="47" s="1"/>
  <c r="AH231" i="47"/>
  <c r="AK231" i="47"/>
  <c r="AL231" i="47" s="1"/>
  <c r="L226" i="48" l="1"/>
  <c r="N226" i="48" s="1"/>
  <c r="AI125" i="48"/>
  <c r="P232" i="47"/>
  <c r="S232" i="47"/>
  <c r="T232" i="47" s="1"/>
  <c r="G233" i="47"/>
  <c r="F233" i="47"/>
  <c r="E233" i="47"/>
  <c r="AI232" i="47"/>
  <c r="M226" i="48" l="1"/>
  <c r="D226" i="48"/>
  <c r="R125" i="48"/>
  <c r="F227" i="48"/>
  <c r="G227" i="48"/>
  <c r="E227" i="48"/>
  <c r="I233" i="47"/>
  <c r="H233" i="47"/>
  <c r="AA232" i="47"/>
  <c r="Q233" i="47"/>
  <c r="H227" i="48" l="1"/>
  <c r="P125" i="48"/>
  <c r="S125" i="48"/>
  <c r="T125" i="48" s="1"/>
  <c r="I227" i="48"/>
  <c r="Y232" i="47"/>
  <c r="AB232" i="47"/>
  <c r="AC232" i="47" s="1"/>
  <c r="L233" i="47"/>
  <c r="M233" i="47" s="1"/>
  <c r="D233" i="47"/>
  <c r="N233" i="47" l="1"/>
  <c r="R233" i="47" s="1"/>
  <c r="P233" i="47" s="1"/>
  <c r="L227" i="48"/>
  <c r="N227" i="48" s="1"/>
  <c r="AA125" i="48"/>
  <c r="Q126" i="48"/>
  <c r="AA233" i="47"/>
  <c r="Y233" i="47" s="1"/>
  <c r="Q234" i="47"/>
  <c r="G234" i="47"/>
  <c r="F234" i="47"/>
  <c r="E234" i="47"/>
  <c r="S233" i="47"/>
  <c r="T233" i="47" s="1"/>
  <c r="AJ232" i="47"/>
  <c r="Z233" i="47"/>
  <c r="H234" i="47" l="1"/>
  <c r="M227" i="48"/>
  <c r="D227" i="48"/>
  <c r="G228" i="48" s="1"/>
  <c r="E228" i="48"/>
  <c r="Y125" i="48"/>
  <c r="AB125" i="48"/>
  <c r="AC125" i="48" s="1"/>
  <c r="AH232" i="47"/>
  <c r="AK232" i="47"/>
  <c r="AL232" i="47" s="1"/>
  <c r="AB233" i="47"/>
  <c r="AC233" i="47" s="1"/>
  <c r="AJ233" i="47"/>
  <c r="Z234" i="47"/>
  <c r="I234" i="47"/>
  <c r="F228" i="48" l="1"/>
  <c r="H228" i="48" s="1"/>
  <c r="AJ125" i="48"/>
  <c r="Z126" i="48"/>
  <c r="AI233" i="47"/>
  <c r="AK233" i="47" s="1"/>
  <c r="AL233" i="47" s="1"/>
  <c r="AH233" i="47"/>
  <c r="L234" i="47"/>
  <c r="N234" i="47" s="1"/>
  <c r="R234" i="47" s="1"/>
  <c r="M234" i="47"/>
  <c r="D234" i="47" l="1"/>
  <c r="I228" i="48"/>
  <c r="L228" i="48" s="1"/>
  <c r="AH125" i="48"/>
  <c r="AK125" i="48"/>
  <c r="AL125" i="48" s="1"/>
  <c r="AI234" i="47"/>
  <c r="G235" i="47"/>
  <c r="F235" i="47"/>
  <c r="E235" i="47"/>
  <c r="P234" i="47"/>
  <c r="S234" i="47"/>
  <c r="T234" i="47" s="1"/>
  <c r="N228" i="48" l="1"/>
  <c r="M228" i="48"/>
  <c r="AI126" i="48"/>
  <c r="D228" i="48"/>
  <c r="AA234" i="47"/>
  <c r="Q235" i="47"/>
  <c r="I235" i="47"/>
  <c r="H235" i="47"/>
  <c r="G229" i="48" l="1"/>
  <c r="F229" i="48"/>
  <c r="E229" i="48"/>
  <c r="R126" i="48"/>
  <c r="L235" i="47"/>
  <c r="M235" i="47" s="1"/>
  <c r="Y234" i="47"/>
  <c r="AB234" i="47"/>
  <c r="AC234" i="47" s="1"/>
  <c r="H229" i="48" l="1"/>
  <c r="P126" i="48"/>
  <c r="S126" i="48"/>
  <c r="T126" i="48" s="1"/>
  <c r="I229" i="48"/>
  <c r="D235" i="47"/>
  <c r="N235" i="47"/>
  <c r="R235" i="47" s="1"/>
  <c r="AJ234" i="47"/>
  <c r="Z235" i="47"/>
  <c r="L229" i="48" l="1"/>
  <c r="M229" i="48" s="1"/>
  <c r="AA126" i="48"/>
  <c r="Q127" i="48"/>
  <c r="AH234" i="47"/>
  <c r="AK234" i="47"/>
  <c r="AL234" i="47" s="1"/>
  <c r="P235" i="47"/>
  <c r="S235" i="47"/>
  <c r="T235" i="47" s="1"/>
  <c r="G236" i="47"/>
  <c r="F236" i="47"/>
  <c r="H236" i="47" s="1"/>
  <c r="E236" i="47"/>
  <c r="D229" i="48" l="1"/>
  <c r="F230" i="48" s="1"/>
  <c r="G230" i="48"/>
  <c r="E230" i="48"/>
  <c r="Y126" i="48"/>
  <c r="AB126" i="48"/>
  <c r="AC126" i="48" s="1"/>
  <c r="N229" i="48"/>
  <c r="AA235" i="47"/>
  <c r="Q236" i="47"/>
  <c r="I236" i="47"/>
  <c r="AI235" i="47"/>
  <c r="AJ126" i="48" l="1"/>
  <c r="Z127" i="48"/>
  <c r="H230" i="48"/>
  <c r="I230" i="48"/>
  <c r="Y235" i="47"/>
  <c r="AB235" i="47"/>
  <c r="AC235" i="47" s="1"/>
  <c r="L236" i="47"/>
  <c r="N236" i="47" s="1"/>
  <c r="R236" i="47" s="1"/>
  <c r="P236" i="47" s="1"/>
  <c r="D236" i="47"/>
  <c r="M236" i="47"/>
  <c r="L230" i="48" l="1"/>
  <c r="N230" i="48" s="1"/>
  <c r="AH126" i="48"/>
  <c r="AK126" i="48"/>
  <c r="AL126" i="48" s="1"/>
  <c r="AA236" i="47"/>
  <c r="Q237" i="47"/>
  <c r="F237" i="47"/>
  <c r="G237" i="47"/>
  <c r="E237" i="47"/>
  <c r="AJ235" i="47"/>
  <c r="Z236" i="47"/>
  <c r="AB236" i="47" s="1"/>
  <c r="AC236" i="47" s="1"/>
  <c r="Y236" i="47"/>
  <c r="S236" i="47"/>
  <c r="T236" i="47" s="1"/>
  <c r="H237" i="47" l="1"/>
  <c r="AI127" i="48"/>
  <c r="M230" i="48"/>
  <c r="D230" i="48"/>
  <c r="AH235" i="47"/>
  <c r="AK235" i="47"/>
  <c r="AL235" i="47" s="1"/>
  <c r="I237" i="47"/>
  <c r="AJ236" i="47"/>
  <c r="Z237" i="47"/>
  <c r="R127" i="48" l="1"/>
  <c r="F231" i="48"/>
  <c r="G231" i="48"/>
  <c r="E231" i="48"/>
  <c r="L237" i="47"/>
  <c r="M237" i="47" s="1"/>
  <c r="AH236" i="47"/>
  <c r="AI236" i="47"/>
  <c r="AK236" i="47" s="1"/>
  <c r="AL236" i="47" s="1"/>
  <c r="D237" i="47" l="1"/>
  <c r="N237" i="47"/>
  <c r="R237" i="47" s="1"/>
  <c r="H231" i="48"/>
  <c r="P127" i="48"/>
  <c r="S127" i="48"/>
  <c r="T127" i="48" s="1"/>
  <c r="I231" i="48"/>
  <c r="F238" i="47"/>
  <c r="G238" i="47"/>
  <c r="E238" i="47"/>
  <c r="P237" i="47"/>
  <c r="S237" i="47"/>
  <c r="T237" i="47" s="1"/>
  <c r="AI237" i="47"/>
  <c r="L231" i="48" l="1"/>
  <c r="M231" i="48" s="1"/>
  <c r="AA127" i="48"/>
  <c r="Q128" i="48"/>
  <c r="AA237" i="47"/>
  <c r="Q238" i="47"/>
  <c r="H238" i="47"/>
  <c r="I238" i="47"/>
  <c r="D231" i="48" l="1"/>
  <c r="F232" i="48"/>
  <c r="G232" i="48"/>
  <c r="E232" i="48"/>
  <c r="N231" i="48"/>
  <c r="Y127" i="48"/>
  <c r="AB127" i="48"/>
  <c r="AC127" i="48" s="1"/>
  <c r="Y237" i="47"/>
  <c r="AB237" i="47"/>
  <c r="AC237" i="47" s="1"/>
  <c r="L238" i="47"/>
  <c r="M238" i="47" s="1"/>
  <c r="D238" i="47"/>
  <c r="N238" i="47" l="1"/>
  <c r="R238" i="47" s="1"/>
  <c r="P238" i="47" s="1"/>
  <c r="AA238" i="47" s="1"/>
  <c r="Y238" i="47" s="1"/>
  <c r="AJ127" i="48"/>
  <c r="Z128" i="48"/>
  <c r="H232" i="48"/>
  <c r="I232" i="48"/>
  <c r="G239" i="47"/>
  <c r="F239" i="47"/>
  <c r="H239" i="47" s="1"/>
  <c r="E239" i="47"/>
  <c r="AJ237" i="47"/>
  <c r="Z238" i="47"/>
  <c r="Q239" i="47" l="1"/>
  <c r="S238" i="47"/>
  <c r="T238" i="47" s="1"/>
  <c r="AB238" i="47"/>
  <c r="AC238" i="47" s="1"/>
  <c r="L232" i="48"/>
  <c r="N232" i="48" s="1"/>
  <c r="AH127" i="48"/>
  <c r="AK127" i="48"/>
  <c r="AL127" i="48" s="1"/>
  <c r="AH237" i="47"/>
  <c r="AK237" i="47"/>
  <c r="AL237" i="47" s="1"/>
  <c r="I239" i="47"/>
  <c r="AJ238" i="47"/>
  <c r="Z239" i="47"/>
  <c r="D232" i="48" l="1"/>
  <c r="G233" i="48" s="1"/>
  <c r="AI128" i="48"/>
  <c r="M232" i="48"/>
  <c r="L239" i="47"/>
  <c r="N239" i="47" s="1"/>
  <c r="R239" i="47" s="1"/>
  <c r="D239" i="47"/>
  <c r="M239" i="47"/>
  <c r="AH238" i="47"/>
  <c r="AI238" i="47"/>
  <c r="AK238" i="47" s="1"/>
  <c r="AL238" i="47" s="1"/>
  <c r="E233" i="48" l="1"/>
  <c r="F233" i="48"/>
  <c r="H233" i="48"/>
  <c r="R128" i="48"/>
  <c r="P239" i="47"/>
  <c r="S239" i="47"/>
  <c r="T239" i="47" s="1"/>
  <c r="G240" i="47"/>
  <c r="F240" i="47"/>
  <c r="E240" i="47"/>
  <c r="AI239" i="47"/>
  <c r="I233" i="48" l="1"/>
  <c r="L233" i="48"/>
  <c r="N233" i="48" s="1"/>
  <c r="P128" i="48"/>
  <c r="S128" i="48"/>
  <c r="T128" i="48" s="1"/>
  <c r="I240" i="47"/>
  <c r="H240" i="47"/>
  <c r="AA239" i="47"/>
  <c r="Q240" i="47"/>
  <c r="M233" i="48" l="1"/>
  <c r="D233" i="48"/>
  <c r="AA128" i="48"/>
  <c r="Q129" i="48"/>
  <c r="F234" i="48"/>
  <c r="G234" i="48"/>
  <c r="E234" i="48"/>
  <c r="L240" i="47"/>
  <c r="N240" i="47" s="1"/>
  <c r="R240" i="47" s="1"/>
  <c r="D240" i="47"/>
  <c r="Y239" i="47"/>
  <c r="AB239" i="47"/>
  <c r="AC239" i="47" s="1"/>
  <c r="M240" i="47"/>
  <c r="H234" i="48" l="1"/>
  <c r="Y128" i="48"/>
  <c r="AB128" i="48"/>
  <c r="AC128" i="48" s="1"/>
  <c r="I234" i="48"/>
  <c r="P240" i="47"/>
  <c r="S240" i="47"/>
  <c r="T240" i="47" s="1"/>
  <c r="F241" i="47"/>
  <c r="G241" i="47"/>
  <c r="E241" i="47"/>
  <c r="AJ239" i="47"/>
  <c r="Z240" i="47"/>
  <c r="H241" i="47" l="1"/>
  <c r="AJ128" i="48"/>
  <c r="Z129" i="48"/>
  <c r="L234" i="48"/>
  <c r="N234" i="48" s="1"/>
  <c r="M234" i="48"/>
  <c r="I241" i="47"/>
  <c r="AH239" i="47"/>
  <c r="AK239" i="47"/>
  <c r="AL239" i="47" s="1"/>
  <c r="AA240" i="47"/>
  <c r="Y240" i="47" s="1"/>
  <c r="Q241" i="47"/>
  <c r="AH128" i="48" l="1"/>
  <c r="AK128" i="48"/>
  <c r="AL128" i="48" s="1"/>
  <c r="D234" i="48"/>
  <c r="AB240" i="47"/>
  <c r="AC240" i="47" s="1"/>
  <c r="AI240" i="47"/>
  <c r="AJ240" i="47"/>
  <c r="AH240" i="47" s="1"/>
  <c r="Z241" i="47"/>
  <c r="L241" i="47"/>
  <c r="M241" i="47" s="1"/>
  <c r="AI129" i="48" l="1"/>
  <c r="F235" i="48"/>
  <c r="G235" i="48"/>
  <c r="E235" i="48"/>
  <c r="AI241" i="47"/>
  <c r="D241" i="47"/>
  <c r="N241" i="47"/>
  <c r="R241" i="47" s="1"/>
  <c r="AK240" i="47"/>
  <c r="AL240" i="47" s="1"/>
  <c r="H235" i="48" l="1"/>
  <c r="I235" i="48"/>
  <c r="R129" i="48"/>
  <c r="P241" i="47"/>
  <c r="S241" i="47"/>
  <c r="T241" i="47" s="1"/>
  <c r="G242" i="47"/>
  <c r="F242" i="47"/>
  <c r="H242" i="47" s="1"/>
  <c r="E242" i="47"/>
  <c r="P129" i="48" l="1"/>
  <c r="S129" i="48"/>
  <c r="T129" i="48" s="1"/>
  <c r="L235" i="48"/>
  <c r="M235" i="48" s="1"/>
  <c r="AA241" i="47"/>
  <c r="Q242" i="47"/>
  <c r="I242" i="47"/>
  <c r="D235" i="48" l="1"/>
  <c r="F236" i="48" s="1"/>
  <c r="N235" i="48"/>
  <c r="AA129" i="48"/>
  <c r="Q130" i="48"/>
  <c r="L242" i="47"/>
  <c r="M242" i="47" s="1"/>
  <c r="Y241" i="47"/>
  <c r="AB241" i="47"/>
  <c r="AC241" i="47" s="1"/>
  <c r="E236" i="48" l="1"/>
  <c r="I236" i="48" s="1"/>
  <c r="G236" i="48"/>
  <c r="H236" i="48" s="1"/>
  <c r="Y129" i="48"/>
  <c r="AB129" i="48"/>
  <c r="AC129" i="48" s="1"/>
  <c r="D242" i="47"/>
  <c r="AJ241" i="47"/>
  <c r="Z242" i="47"/>
  <c r="N242" i="47"/>
  <c r="R242" i="47" s="1"/>
  <c r="AJ129" i="48" l="1"/>
  <c r="Z130" i="48"/>
  <c r="L236" i="48"/>
  <c r="N236" i="48" s="1"/>
  <c r="AH241" i="47"/>
  <c r="AK241" i="47"/>
  <c r="AL241" i="47" s="1"/>
  <c r="P242" i="47"/>
  <c r="S242" i="47"/>
  <c r="T242" i="47" s="1"/>
  <c r="F243" i="47"/>
  <c r="G243" i="47"/>
  <c r="E243" i="47"/>
  <c r="M236" i="48" l="1"/>
  <c r="D236" i="48"/>
  <c r="F237" i="48" s="1"/>
  <c r="AH129" i="48"/>
  <c r="AK129" i="48"/>
  <c r="AL129" i="48" s="1"/>
  <c r="AA242" i="47"/>
  <c r="Q243" i="47"/>
  <c r="I243" i="47"/>
  <c r="H243" i="47"/>
  <c r="AI242" i="47"/>
  <c r="E237" i="48" l="1"/>
  <c r="I237" i="48" s="1"/>
  <c r="G237" i="48"/>
  <c r="H237" i="48" s="1"/>
  <c r="AI130" i="48"/>
  <c r="L243" i="47"/>
  <c r="N243" i="47" s="1"/>
  <c r="R243" i="47" s="1"/>
  <c r="D243" i="47"/>
  <c r="Y242" i="47"/>
  <c r="AB242" i="47"/>
  <c r="AC242" i="47" s="1"/>
  <c r="M243" i="47"/>
  <c r="L237" i="48" l="1"/>
  <c r="N237" i="48" s="1"/>
  <c r="R130" i="48"/>
  <c r="P243" i="47"/>
  <c r="S243" i="47"/>
  <c r="T243" i="47" s="1"/>
  <c r="AJ242" i="47"/>
  <c r="Z243" i="47"/>
  <c r="F244" i="47"/>
  <c r="G244" i="47"/>
  <c r="E244" i="47"/>
  <c r="M237" i="48" l="1"/>
  <c r="D237" i="48"/>
  <c r="G238" i="48" s="1"/>
  <c r="P130" i="48"/>
  <c r="S130" i="48"/>
  <c r="T130" i="48" s="1"/>
  <c r="F238" i="48"/>
  <c r="E238" i="48"/>
  <c r="AH242" i="47"/>
  <c r="AK242" i="47"/>
  <c r="AL242" i="47" s="1"/>
  <c r="I244" i="47"/>
  <c r="H244" i="47"/>
  <c r="AA243" i="47"/>
  <c r="Y243" i="47" s="1"/>
  <c r="Q244" i="47"/>
  <c r="H238" i="48" l="1"/>
  <c r="AA130" i="48"/>
  <c r="Q131" i="48"/>
  <c r="I238" i="48"/>
  <c r="L244" i="47"/>
  <c r="N244" i="47" s="1"/>
  <c r="R244" i="47" s="1"/>
  <c r="AI243" i="47"/>
  <c r="AJ243" i="47"/>
  <c r="AH243" i="47" s="1"/>
  <c r="Z244" i="47"/>
  <c r="AB243" i="47"/>
  <c r="AC243" i="47" s="1"/>
  <c r="AK243" i="47" l="1"/>
  <c r="AL243" i="47" s="1"/>
  <c r="Y130" i="48"/>
  <c r="AB130" i="48"/>
  <c r="AC130" i="48" s="1"/>
  <c r="L238" i="48"/>
  <c r="M238" i="48" s="1"/>
  <c r="D238" i="48"/>
  <c r="AI244" i="47"/>
  <c r="P244" i="47"/>
  <c r="S244" i="47"/>
  <c r="T244" i="47" s="1"/>
  <c r="D244" i="47"/>
  <c r="M244" i="47"/>
  <c r="N238" i="48" l="1"/>
  <c r="G239" i="48"/>
  <c r="F239" i="48"/>
  <c r="E239" i="48"/>
  <c r="AJ130" i="48"/>
  <c r="Z131" i="48"/>
  <c r="AA244" i="47"/>
  <c r="Q245" i="47"/>
  <c r="F245" i="47"/>
  <c r="G245" i="47"/>
  <c r="E245" i="47"/>
  <c r="H245" i="47" l="1"/>
  <c r="H239" i="48"/>
  <c r="AH130" i="48"/>
  <c r="AK130" i="48"/>
  <c r="AL130" i="48" s="1"/>
  <c r="I239" i="48"/>
  <c r="Y244" i="47"/>
  <c r="AB244" i="47"/>
  <c r="AC244" i="47" s="1"/>
  <c r="I245" i="47"/>
  <c r="L239" i="48" l="1"/>
  <c r="N239" i="48" s="1"/>
  <c r="AI131" i="48"/>
  <c r="L245" i="47"/>
  <c r="N245" i="47" s="1"/>
  <c r="R245" i="47" s="1"/>
  <c r="AJ244" i="47"/>
  <c r="Z245" i="47"/>
  <c r="D239" i="48" l="1"/>
  <c r="R131" i="48"/>
  <c r="M239" i="48"/>
  <c r="P245" i="47"/>
  <c r="S245" i="47"/>
  <c r="T245" i="47" s="1"/>
  <c r="AH244" i="47"/>
  <c r="AK244" i="47"/>
  <c r="AL244" i="47" s="1"/>
  <c r="D245" i="47"/>
  <c r="M245" i="47"/>
  <c r="P131" i="48" l="1"/>
  <c r="S131" i="48"/>
  <c r="T131" i="48" s="1"/>
  <c r="F240" i="48"/>
  <c r="G240" i="48"/>
  <c r="E240" i="48"/>
  <c r="AI245" i="47"/>
  <c r="F246" i="47"/>
  <c r="G246" i="47"/>
  <c r="E246" i="47"/>
  <c r="AA245" i="47"/>
  <c r="Q246" i="47"/>
  <c r="H240" i="48" l="1"/>
  <c r="I240" i="48"/>
  <c r="AA131" i="48"/>
  <c r="Q132" i="48"/>
  <c r="Y245" i="47"/>
  <c r="AB245" i="47"/>
  <c r="AC245" i="47" s="1"/>
  <c r="I246" i="47"/>
  <c r="H246" i="47"/>
  <c r="Y131" i="48" l="1"/>
  <c r="AB131" i="48"/>
  <c r="AC131" i="48" s="1"/>
  <c r="L240" i="48"/>
  <c r="M240" i="48" s="1"/>
  <c r="AJ245" i="47"/>
  <c r="Z246" i="47"/>
  <c r="L246" i="47"/>
  <c r="N246" i="47" s="1"/>
  <c r="R246" i="47" s="1"/>
  <c r="M246" i="47"/>
  <c r="N240" i="48" l="1"/>
  <c r="AJ131" i="48"/>
  <c r="Z132" i="48"/>
  <c r="D240" i="48"/>
  <c r="P246" i="47"/>
  <c r="S246" i="47"/>
  <c r="T246" i="47" s="1"/>
  <c r="AH245" i="47"/>
  <c r="AK245" i="47"/>
  <c r="AL245" i="47" s="1"/>
  <c r="D246" i="47"/>
  <c r="AH131" i="48" l="1"/>
  <c r="AK131" i="48"/>
  <c r="AL131" i="48" s="1"/>
  <c r="F241" i="48"/>
  <c r="G241" i="48"/>
  <c r="E241" i="48"/>
  <c r="AI246" i="47"/>
  <c r="F247" i="47"/>
  <c r="G247" i="47"/>
  <c r="E247" i="47"/>
  <c r="AA246" i="47"/>
  <c r="Q247" i="47"/>
  <c r="H247" i="47" l="1"/>
  <c r="H241" i="48"/>
  <c r="I241" i="48"/>
  <c r="AI132" i="48"/>
  <c r="I247" i="47"/>
  <c r="Y246" i="47"/>
  <c r="AB246" i="47"/>
  <c r="AC246" i="47" s="1"/>
  <c r="L241" i="48" l="1"/>
  <c r="M241" i="48" s="1"/>
  <c r="R132" i="48"/>
  <c r="AJ246" i="47"/>
  <c r="Z247" i="47"/>
  <c r="L247" i="47"/>
  <c r="M247" i="47" s="1"/>
  <c r="D241" i="48" l="1"/>
  <c r="P132" i="48"/>
  <c r="S132" i="48"/>
  <c r="T132" i="48" s="1"/>
  <c r="N241" i="48"/>
  <c r="AH246" i="47"/>
  <c r="AK246" i="47"/>
  <c r="AL246" i="47" s="1"/>
  <c r="D247" i="47"/>
  <c r="N247" i="47"/>
  <c r="R247" i="47" s="1"/>
  <c r="AA132" i="48" l="1"/>
  <c r="Q133" i="48"/>
  <c r="F242" i="48"/>
  <c r="G242" i="48"/>
  <c r="E242" i="48"/>
  <c r="F248" i="47"/>
  <c r="G248" i="47"/>
  <c r="E248" i="47"/>
  <c r="AI247" i="47"/>
  <c r="P247" i="47"/>
  <c r="S247" i="47"/>
  <c r="T247" i="47" s="1"/>
  <c r="H242" i="48" l="1"/>
  <c r="I242" i="48"/>
  <c r="Y132" i="48"/>
  <c r="AB132" i="48"/>
  <c r="AC132" i="48" s="1"/>
  <c r="AA247" i="47"/>
  <c r="Q248" i="47"/>
  <c r="I248" i="47"/>
  <c r="H248" i="47"/>
  <c r="AJ132" i="48" l="1"/>
  <c r="Z133" i="48"/>
  <c r="L242" i="48"/>
  <c r="M242" i="48" s="1"/>
  <c r="Y247" i="47"/>
  <c r="AB247" i="47"/>
  <c r="AC247" i="47" s="1"/>
  <c r="L248" i="47"/>
  <c r="M248" i="47" s="1"/>
  <c r="D248" i="47"/>
  <c r="D242" i="48" l="1"/>
  <c r="N242" i="48"/>
  <c r="AH132" i="48"/>
  <c r="AK132" i="48"/>
  <c r="AL132" i="48" s="1"/>
  <c r="AJ247" i="47"/>
  <c r="Z248" i="47"/>
  <c r="F249" i="47"/>
  <c r="G249" i="47"/>
  <c r="E249" i="47"/>
  <c r="N248" i="47"/>
  <c r="R248" i="47" s="1"/>
  <c r="AI133" i="48" l="1"/>
  <c r="G243" i="48"/>
  <c r="F243" i="48"/>
  <c r="E243" i="48"/>
  <c r="AH247" i="47"/>
  <c r="AK247" i="47"/>
  <c r="AL247" i="47" s="1"/>
  <c r="P248" i="47"/>
  <c r="S248" i="47"/>
  <c r="T248" i="47" s="1"/>
  <c r="I249" i="47"/>
  <c r="H249" i="47"/>
  <c r="R133" i="48" l="1"/>
  <c r="I243" i="48"/>
  <c r="H243" i="48"/>
  <c r="L249" i="47"/>
  <c r="N249" i="47" s="1"/>
  <c r="R249" i="47" s="1"/>
  <c r="P249" i="47" s="1"/>
  <c r="AI248" i="47"/>
  <c r="M249" i="47"/>
  <c r="AA248" i="47"/>
  <c r="Q249" i="47"/>
  <c r="P133" i="48" l="1"/>
  <c r="S133" i="48"/>
  <c r="T133" i="48" s="1"/>
  <c r="L243" i="48"/>
  <c r="D243" i="48" s="1"/>
  <c r="Q250" i="47"/>
  <c r="S249" i="47"/>
  <c r="T249" i="47" s="1"/>
  <c r="D249" i="47"/>
  <c r="Y248" i="47"/>
  <c r="AB248" i="47"/>
  <c r="AC248" i="47" s="1"/>
  <c r="F244" i="48" l="1"/>
  <c r="G244" i="48"/>
  <c r="E244" i="48"/>
  <c r="N243" i="48"/>
  <c r="M243" i="48"/>
  <c r="AA133" i="48"/>
  <c r="Q134" i="48"/>
  <c r="AJ248" i="47"/>
  <c r="Z249" i="47"/>
  <c r="F250" i="47"/>
  <c r="G250" i="47"/>
  <c r="E250" i="47"/>
  <c r="AA249" i="47"/>
  <c r="Y249" i="47" s="1"/>
  <c r="Y133" i="48" l="1"/>
  <c r="AB133" i="48"/>
  <c r="AC133" i="48" s="1"/>
  <c r="I244" i="48"/>
  <c r="H244" i="48"/>
  <c r="Z250" i="47"/>
  <c r="AB249" i="47"/>
  <c r="AC249" i="47" s="1"/>
  <c r="AH248" i="47"/>
  <c r="AK248" i="47"/>
  <c r="AL248" i="47" s="1"/>
  <c r="I250" i="47"/>
  <c r="H250" i="47"/>
  <c r="L244" i="48" l="1"/>
  <c r="N244" i="48" s="1"/>
  <c r="AJ133" i="48"/>
  <c r="Z134" i="48"/>
  <c r="L250" i="47"/>
  <c r="N250" i="47" s="1"/>
  <c r="R250" i="47" s="1"/>
  <c r="M250" i="47"/>
  <c r="AI249" i="47"/>
  <c r="AJ249" i="47"/>
  <c r="AH249" i="47" s="1"/>
  <c r="AK249" i="47" l="1"/>
  <c r="AL249" i="47" s="1"/>
  <c r="M244" i="48"/>
  <c r="D244" i="48"/>
  <c r="AH133" i="48"/>
  <c r="AK133" i="48"/>
  <c r="AL133" i="48" s="1"/>
  <c r="AI250" i="47"/>
  <c r="P250" i="47"/>
  <c r="S250" i="47"/>
  <c r="T250" i="47" s="1"/>
  <c r="D250" i="47"/>
  <c r="G245" i="48" l="1"/>
  <c r="F245" i="48"/>
  <c r="E245" i="48"/>
  <c r="AI134" i="48"/>
  <c r="AA250" i="47"/>
  <c r="Q251" i="47"/>
  <c r="G251" i="47"/>
  <c r="F251" i="47"/>
  <c r="E251" i="47"/>
  <c r="H245" i="48" l="1"/>
  <c r="R134" i="48"/>
  <c r="I245" i="48"/>
  <c r="Y250" i="47"/>
  <c r="AB250" i="47"/>
  <c r="AC250" i="47" s="1"/>
  <c r="I251" i="47"/>
  <c r="H251" i="47"/>
  <c r="L245" i="48" l="1"/>
  <c r="N245" i="48" s="1"/>
  <c r="D245" i="48"/>
  <c r="P134" i="48"/>
  <c r="S134" i="48"/>
  <c r="T134" i="48" s="1"/>
  <c r="M245" i="48"/>
  <c r="AJ250" i="47"/>
  <c r="Z251" i="47"/>
  <c r="L251" i="47"/>
  <c r="N251" i="47" s="1"/>
  <c r="R251" i="47" s="1"/>
  <c r="M251" i="47"/>
  <c r="F246" i="48" l="1"/>
  <c r="G246" i="48"/>
  <c r="E246" i="48"/>
  <c r="AA134" i="48"/>
  <c r="Q135" i="48"/>
  <c r="P251" i="47"/>
  <c r="S251" i="47"/>
  <c r="T251" i="47" s="1"/>
  <c r="AH250" i="47"/>
  <c r="AK250" i="47"/>
  <c r="AL250" i="47" s="1"/>
  <c r="D251" i="47"/>
  <c r="H246" i="48" l="1"/>
  <c r="Y134" i="48"/>
  <c r="AB134" i="48"/>
  <c r="AC134" i="48" s="1"/>
  <c r="I246" i="48"/>
  <c r="AI251" i="47"/>
  <c r="F252" i="47"/>
  <c r="G252" i="47"/>
  <c r="E252" i="47"/>
  <c r="AA251" i="47"/>
  <c r="Q252" i="47"/>
  <c r="H252" i="47" l="1"/>
  <c r="L246" i="48"/>
  <c r="N246" i="48" s="1"/>
  <c r="AJ134" i="48"/>
  <c r="Z135" i="48"/>
  <c r="I252" i="47"/>
  <c r="Y251" i="47"/>
  <c r="AB251" i="47"/>
  <c r="AC251" i="47" s="1"/>
  <c r="D246" i="48" l="1"/>
  <c r="F247" i="48" s="1"/>
  <c r="AH134" i="48"/>
  <c r="AK134" i="48"/>
  <c r="AL134" i="48" s="1"/>
  <c r="M246" i="48"/>
  <c r="AJ251" i="47"/>
  <c r="Z252" i="47"/>
  <c r="L252" i="47"/>
  <c r="M252" i="47" s="1"/>
  <c r="D252" i="47"/>
  <c r="E247" i="48" l="1"/>
  <c r="G247" i="48"/>
  <c r="AI135" i="48"/>
  <c r="I247" i="48"/>
  <c r="H247" i="48"/>
  <c r="AH251" i="47"/>
  <c r="AK251" i="47"/>
  <c r="AL251" i="47" s="1"/>
  <c r="G253" i="47"/>
  <c r="F253" i="47"/>
  <c r="E253" i="47"/>
  <c r="N252" i="47"/>
  <c r="R252" i="47" s="1"/>
  <c r="R135" i="48" l="1"/>
  <c r="L247" i="48"/>
  <c r="N247" i="48" s="1"/>
  <c r="H253" i="47"/>
  <c r="AI252" i="47"/>
  <c r="I253" i="47"/>
  <c r="P252" i="47"/>
  <c r="S252" i="47"/>
  <c r="T252" i="47" s="1"/>
  <c r="M247" i="48" l="1"/>
  <c r="D247" i="48"/>
  <c r="P135" i="48"/>
  <c r="S135" i="48"/>
  <c r="T135" i="48" s="1"/>
  <c r="G248" i="48"/>
  <c r="F248" i="48"/>
  <c r="E248" i="48"/>
  <c r="AA252" i="47"/>
  <c r="Q253" i="47"/>
  <c r="L253" i="47"/>
  <c r="N253" i="47" s="1"/>
  <c r="R253" i="47" s="1"/>
  <c r="P253" i="47" s="1"/>
  <c r="D253" i="47"/>
  <c r="M253" i="47"/>
  <c r="H248" i="48" l="1"/>
  <c r="AA135" i="48"/>
  <c r="Q136" i="48"/>
  <c r="I248" i="48"/>
  <c r="Q254" i="47"/>
  <c r="F254" i="47"/>
  <c r="G254" i="47"/>
  <c r="E254" i="47"/>
  <c r="S253" i="47"/>
  <c r="T253" i="47" s="1"/>
  <c r="Y252" i="47"/>
  <c r="AB252" i="47"/>
  <c r="AC252" i="47" s="1"/>
  <c r="Y135" i="48" l="1"/>
  <c r="AB135" i="48"/>
  <c r="AC135" i="48" s="1"/>
  <c r="L248" i="48"/>
  <c r="M248" i="48" s="1"/>
  <c r="AJ252" i="47"/>
  <c r="Z253" i="47"/>
  <c r="H254" i="47"/>
  <c r="I254" i="47"/>
  <c r="AA253" i="47"/>
  <c r="Y253" i="47" s="1"/>
  <c r="N248" i="48" l="1"/>
  <c r="AJ135" i="48"/>
  <c r="Z136" i="48"/>
  <c r="D248" i="48"/>
  <c r="Z254" i="47"/>
  <c r="AH252" i="47"/>
  <c r="AK252" i="47"/>
  <c r="AL252" i="47" s="1"/>
  <c r="L254" i="47"/>
  <c r="N254" i="47" s="1"/>
  <c r="R254" i="47" s="1"/>
  <c r="AB253" i="47"/>
  <c r="AC253" i="47" s="1"/>
  <c r="AH135" i="48" l="1"/>
  <c r="AK135" i="48"/>
  <c r="AL135" i="48" s="1"/>
  <c r="F249" i="48"/>
  <c r="G249" i="48"/>
  <c r="E249" i="48"/>
  <c r="P254" i="47"/>
  <c r="S254" i="47"/>
  <c r="T254" i="47" s="1"/>
  <c r="AI253" i="47"/>
  <c r="D254" i="47"/>
  <c r="M254" i="47"/>
  <c r="AJ253" i="47"/>
  <c r="AH253" i="47" s="1"/>
  <c r="H249" i="48" l="1"/>
  <c r="I249" i="48"/>
  <c r="AI136" i="48"/>
  <c r="AI254" i="47"/>
  <c r="AK253" i="47"/>
  <c r="AL253" i="47" s="1"/>
  <c r="F255" i="47"/>
  <c r="G255" i="47"/>
  <c r="E255" i="47"/>
  <c r="AA254" i="47"/>
  <c r="Q255" i="47"/>
  <c r="R136" i="48" l="1"/>
  <c r="L249" i="48"/>
  <c r="M249" i="48" s="1"/>
  <c r="Y254" i="47"/>
  <c r="AB254" i="47"/>
  <c r="AC254" i="47" s="1"/>
  <c r="I255" i="47"/>
  <c r="H255" i="47"/>
  <c r="N249" i="48" l="1"/>
  <c r="P136" i="48"/>
  <c r="S136" i="48"/>
  <c r="T136" i="48" s="1"/>
  <c r="D249" i="48"/>
  <c r="AJ254" i="47"/>
  <c r="Z255" i="47"/>
  <c r="L255" i="47"/>
  <c r="D255" i="47" s="1"/>
  <c r="M255" i="47" l="1"/>
  <c r="N255" i="47"/>
  <c r="R255" i="47" s="1"/>
  <c r="AA136" i="48"/>
  <c r="Q137" i="48"/>
  <c r="F250" i="48"/>
  <c r="G250" i="48"/>
  <c r="E250" i="48"/>
  <c r="G256" i="47"/>
  <c r="F256" i="47"/>
  <c r="H256" i="47" s="1"/>
  <c r="E256" i="47"/>
  <c r="P255" i="47"/>
  <c r="S255" i="47"/>
  <c r="T255" i="47" s="1"/>
  <c r="AH254" i="47"/>
  <c r="AK254" i="47"/>
  <c r="AL254" i="47" s="1"/>
  <c r="Y136" i="48" l="1"/>
  <c r="AB136" i="48"/>
  <c r="AC136" i="48" s="1"/>
  <c r="H250" i="48"/>
  <c r="I250" i="48"/>
  <c r="AA255" i="47"/>
  <c r="Q256" i="47"/>
  <c r="AI255" i="47"/>
  <c r="I256" i="47"/>
  <c r="AJ136" i="48" l="1"/>
  <c r="Z137" i="48"/>
  <c r="L250" i="48"/>
  <c r="N250" i="48" s="1"/>
  <c r="M250" i="48"/>
  <c r="Y255" i="47"/>
  <c r="AB255" i="47"/>
  <c r="AC255" i="47" s="1"/>
  <c r="L256" i="47"/>
  <c r="M256" i="47" s="1"/>
  <c r="D256" i="47"/>
  <c r="AH136" i="48" l="1"/>
  <c r="AK136" i="48"/>
  <c r="AL136" i="48" s="1"/>
  <c r="D250" i="48"/>
  <c r="AJ255" i="47"/>
  <c r="Z256" i="47"/>
  <c r="G257" i="47"/>
  <c r="F257" i="47"/>
  <c r="E257" i="47"/>
  <c r="N256" i="47"/>
  <c r="R256" i="47" s="1"/>
  <c r="H257" i="47" l="1"/>
  <c r="AI137" i="48"/>
  <c r="F251" i="48"/>
  <c r="G251" i="48"/>
  <c r="E251" i="48"/>
  <c r="AH255" i="47"/>
  <c r="AK255" i="47"/>
  <c r="AL255" i="47" s="1"/>
  <c r="P256" i="47"/>
  <c r="S256" i="47"/>
  <c r="T256" i="47" s="1"/>
  <c r="I257" i="47"/>
  <c r="H251" i="48" l="1"/>
  <c r="I251" i="48"/>
  <c r="R137" i="48"/>
  <c r="AI256" i="47"/>
  <c r="L257" i="47"/>
  <c r="M257" i="47" s="1"/>
  <c r="AA256" i="47"/>
  <c r="Q257" i="47"/>
  <c r="L251" i="48" l="1"/>
  <c r="N251" i="48" s="1"/>
  <c r="D251" i="48"/>
  <c r="P137" i="48"/>
  <c r="S137" i="48"/>
  <c r="T137" i="48" s="1"/>
  <c r="M251" i="48"/>
  <c r="D257" i="47"/>
  <c r="N257" i="47"/>
  <c r="R257" i="47" s="1"/>
  <c r="P257" i="47" s="1"/>
  <c r="Y256" i="47"/>
  <c r="AB256" i="47"/>
  <c r="AC256" i="47" s="1"/>
  <c r="G252" i="48" l="1"/>
  <c r="F252" i="48"/>
  <c r="E252" i="48"/>
  <c r="AA137" i="48"/>
  <c r="Q138" i="48"/>
  <c r="S257" i="47"/>
  <c r="T257" i="47" s="1"/>
  <c r="AA257" i="47"/>
  <c r="Y257" i="47" s="1"/>
  <c r="Q258" i="47"/>
  <c r="F258" i="47"/>
  <c r="G258" i="47"/>
  <c r="E258" i="47"/>
  <c r="AJ256" i="47"/>
  <c r="Z257" i="47"/>
  <c r="H258" i="47" l="1"/>
  <c r="AB257" i="47"/>
  <c r="AC257" i="47" s="1"/>
  <c r="Y137" i="48"/>
  <c r="AB137" i="48"/>
  <c r="AC137" i="48" s="1"/>
  <c r="I252" i="48"/>
  <c r="H252" i="48"/>
  <c r="I258" i="47"/>
  <c r="AH256" i="47"/>
  <c r="AK256" i="47"/>
  <c r="AL256" i="47" s="1"/>
  <c r="AJ257" i="47"/>
  <c r="Z258" i="47"/>
  <c r="L252" i="48" l="1"/>
  <c r="N252" i="48" s="1"/>
  <c r="M252" i="48"/>
  <c r="AJ137" i="48"/>
  <c r="Z138" i="48"/>
  <c r="L258" i="47"/>
  <c r="M258" i="47" s="1"/>
  <c r="D258" i="47"/>
  <c r="AI257" i="47"/>
  <c r="AK257" i="47" s="1"/>
  <c r="AL257" i="47" s="1"/>
  <c r="AH257" i="47"/>
  <c r="AH137" i="48" l="1"/>
  <c r="AK137" i="48"/>
  <c r="AL137" i="48" s="1"/>
  <c r="D252" i="48"/>
  <c r="F259" i="47"/>
  <c r="G259" i="47"/>
  <c r="E259" i="47"/>
  <c r="AI258" i="47"/>
  <c r="N258" i="47"/>
  <c r="R258" i="47" s="1"/>
  <c r="AI138" i="48" l="1"/>
  <c r="F253" i="48"/>
  <c r="G253" i="48"/>
  <c r="E253" i="48"/>
  <c r="H259" i="47"/>
  <c r="P258" i="47"/>
  <c r="S258" i="47"/>
  <c r="T258" i="47" s="1"/>
  <c r="I259" i="47"/>
  <c r="H253" i="48" l="1"/>
  <c r="I253" i="48"/>
  <c r="R138" i="48"/>
  <c r="AA258" i="47"/>
  <c r="Q259" i="47"/>
  <c r="L259" i="47"/>
  <c r="N259" i="47" s="1"/>
  <c r="R259" i="47" s="1"/>
  <c r="P259" i="47" s="1"/>
  <c r="D259" i="47"/>
  <c r="M259" i="47"/>
  <c r="P138" i="48" l="1"/>
  <c r="S138" i="48"/>
  <c r="T138" i="48" s="1"/>
  <c r="L253" i="48"/>
  <c r="M253" i="48" s="1"/>
  <c r="Q260" i="47"/>
  <c r="S259" i="47"/>
  <c r="T259" i="47" s="1"/>
  <c r="G260" i="47"/>
  <c r="F260" i="47"/>
  <c r="H260" i="47" s="1"/>
  <c r="E260" i="47"/>
  <c r="Y258" i="47"/>
  <c r="AB258" i="47"/>
  <c r="AC258" i="47" s="1"/>
  <c r="D253" i="48" l="1"/>
  <c r="N253" i="48"/>
  <c r="AA138" i="48"/>
  <c r="Q139" i="48"/>
  <c r="AJ258" i="47"/>
  <c r="Z259" i="47"/>
  <c r="I260" i="47"/>
  <c r="AA259" i="47"/>
  <c r="Y259" i="47" s="1"/>
  <c r="Y138" i="48" l="1"/>
  <c r="AB138" i="48"/>
  <c r="AC138" i="48" s="1"/>
  <c r="F254" i="48"/>
  <c r="G254" i="48"/>
  <c r="E254" i="48"/>
  <c r="Z260" i="47"/>
  <c r="L260" i="47"/>
  <c r="D260" i="47" s="1"/>
  <c r="AB259" i="47"/>
  <c r="AC259" i="47" s="1"/>
  <c r="AH258" i="47"/>
  <c r="AK258" i="47"/>
  <c r="AL258" i="47" s="1"/>
  <c r="M260" i="47"/>
  <c r="N260" i="47" l="1"/>
  <c r="R260" i="47" s="1"/>
  <c r="H254" i="48"/>
  <c r="I254" i="48"/>
  <c r="AJ138" i="48"/>
  <c r="Z139" i="48"/>
  <c r="G261" i="47"/>
  <c r="F261" i="47"/>
  <c r="H261" i="47" s="1"/>
  <c r="E261" i="47"/>
  <c r="P260" i="47"/>
  <c r="S260" i="47"/>
  <c r="T260" i="47" s="1"/>
  <c r="AH259" i="47"/>
  <c r="AI259" i="47"/>
  <c r="AJ259" i="47"/>
  <c r="AH138" i="48" l="1"/>
  <c r="AK138" i="48"/>
  <c r="AL138" i="48" s="1"/>
  <c r="L254" i="48"/>
  <c r="N254" i="48" s="1"/>
  <c r="AI260" i="47"/>
  <c r="AA260" i="47"/>
  <c r="Q261" i="47"/>
  <c r="AK259" i="47"/>
  <c r="AL259" i="47" s="1"/>
  <c r="I261" i="47"/>
  <c r="D254" i="48" l="1"/>
  <c r="M254" i="48"/>
  <c r="G255" i="48"/>
  <c r="F255" i="48"/>
  <c r="E255" i="48"/>
  <c r="AI139" i="48"/>
  <c r="Y260" i="47"/>
  <c r="AB260" i="47"/>
  <c r="AC260" i="47" s="1"/>
  <c r="L261" i="47"/>
  <c r="M261" i="47" s="1"/>
  <c r="D261" i="47" l="1"/>
  <c r="N261" i="47"/>
  <c r="R261" i="47" s="1"/>
  <c r="P261" i="47" s="1"/>
  <c r="I255" i="48"/>
  <c r="H255" i="48"/>
  <c r="R139" i="48"/>
  <c r="G262" i="47"/>
  <c r="F262" i="47"/>
  <c r="H262" i="47" s="1"/>
  <c r="E262" i="47"/>
  <c r="AA261" i="47"/>
  <c r="Y261" i="47" s="1"/>
  <c r="Q262" i="47"/>
  <c r="S261" i="47"/>
  <c r="T261" i="47" s="1"/>
  <c r="AJ260" i="47"/>
  <c r="Z261" i="47"/>
  <c r="AB261" i="47" l="1"/>
  <c r="AC261" i="47" s="1"/>
  <c r="P139" i="48"/>
  <c r="S139" i="48"/>
  <c r="T139" i="48" s="1"/>
  <c r="L255" i="48"/>
  <c r="D255" i="48" s="1"/>
  <c r="AH260" i="47"/>
  <c r="AK260" i="47"/>
  <c r="AL260" i="47" s="1"/>
  <c r="Z262" i="47"/>
  <c r="I262" i="47"/>
  <c r="M255" i="48" l="1"/>
  <c r="N255" i="48"/>
  <c r="G256" i="48"/>
  <c r="F256" i="48"/>
  <c r="E256" i="48"/>
  <c r="AA139" i="48"/>
  <c r="Q140" i="48"/>
  <c r="AI261" i="47"/>
  <c r="L262" i="47"/>
  <c r="M262" i="47" s="1"/>
  <c r="AJ261" i="47"/>
  <c r="AH261" i="47" s="1"/>
  <c r="D262" i="47" l="1"/>
  <c r="Y139" i="48"/>
  <c r="AB139" i="48"/>
  <c r="AC139" i="48" s="1"/>
  <c r="I256" i="48"/>
  <c r="H256" i="48"/>
  <c r="AI262" i="47"/>
  <c r="AK261" i="47"/>
  <c r="AL261" i="47" s="1"/>
  <c r="G263" i="47"/>
  <c r="F263" i="47"/>
  <c r="E263" i="47"/>
  <c r="N262" i="47"/>
  <c r="R262" i="47" s="1"/>
  <c r="L256" i="48" l="1"/>
  <c r="N256" i="48" s="1"/>
  <c r="AJ139" i="48"/>
  <c r="Z140" i="48"/>
  <c r="H263" i="47"/>
  <c r="I263" i="47"/>
  <c r="P262" i="47"/>
  <c r="S262" i="47"/>
  <c r="T262" i="47" s="1"/>
  <c r="D256" i="48" l="1"/>
  <c r="AH139" i="48"/>
  <c r="AK139" i="48"/>
  <c r="AL139" i="48" s="1"/>
  <c r="G257" i="48"/>
  <c r="F257" i="48"/>
  <c r="E257" i="48"/>
  <c r="M256" i="48"/>
  <c r="AA262" i="47"/>
  <c r="Q263" i="47"/>
  <c r="L263" i="47"/>
  <c r="M263" i="47" s="1"/>
  <c r="D263" i="47"/>
  <c r="H257" i="48" l="1"/>
  <c r="AI140" i="48"/>
  <c r="I257" i="48"/>
  <c r="Y262" i="47"/>
  <c r="AB262" i="47"/>
  <c r="AC262" i="47" s="1"/>
  <c r="F264" i="47"/>
  <c r="G264" i="47"/>
  <c r="E264" i="47"/>
  <c r="N263" i="47"/>
  <c r="R263" i="47" s="1"/>
  <c r="P263" i="47" s="1"/>
  <c r="R140" i="48" l="1"/>
  <c r="L257" i="48"/>
  <c r="M257" i="48" s="1"/>
  <c r="I264" i="47"/>
  <c r="AJ262" i="47"/>
  <c r="Z263" i="47"/>
  <c r="AA263" i="47"/>
  <c r="Y263" i="47" s="1"/>
  <c r="Q264" i="47"/>
  <c r="H264" i="47"/>
  <c r="S263" i="47"/>
  <c r="T263" i="47" s="1"/>
  <c r="D257" i="48" l="1"/>
  <c r="N257" i="48"/>
  <c r="P140" i="48"/>
  <c r="S140" i="48"/>
  <c r="T140" i="48" s="1"/>
  <c r="F258" i="48"/>
  <c r="G258" i="48"/>
  <c r="E258" i="48"/>
  <c r="Z264" i="47"/>
  <c r="AB263" i="47"/>
  <c r="AC263" i="47" s="1"/>
  <c r="AH262" i="47"/>
  <c r="AK262" i="47"/>
  <c r="AL262" i="47" s="1"/>
  <c r="L264" i="47"/>
  <c r="M264" i="47" s="1"/>
  <c r="H258" i="48" l="1"/>
  <c r="I258" i="48"/>
  <c r="AA140" i="48"/>
  <c r="Q141" i="48"/>
  <c r="AI263" i="47"/>
  <c r="D264" i="47"/>
  <c r="N264" i="47"/>
  <c r="R264" i="47" s="1"/>
  <c r="AJ263" i="47"/>
  <c r="AH263" i="47" s="1"/>
  <c r="Y140" i="48" l="1"/>
  <c r="AB140" i="48"/>
  <c r="AC140" i="48" s="1"/>
  <c r="L258" i="48"/>
  <c r="M258" i="48" s="1"/>
  <c r="D258" i="48"/>
  <c r="AI264" i="47"/>
  <c r="F265" i="47"/>
  <c r="G265" i="47"/>
  <c r="E265" i="47"/>
  <c r="AK263" i="47"/>
  <c r="AL263" i="47" s="1"/>
  <c r="P264" i="47"/>
  <c r="S264" i="47"/>
  <c r="T264" i="47" s="1"/>
  <c r="H265" i="47" l="1"/>
  <c r="N258" i="48"/>
  <c r="G259" i="48"/>
  <c r="F259" i="48"/>
  <c r="E259" i="48"/>
  <c r="AJ140" i="48"/>
  <c r="Z141" i="48"/>
  <c r="I265" i="47"/>
  <c r="AA264" i="47"/>
  <c r="Q265" i="47"/>
  <c r="I259" i="48" l="1"/>
  <c r="AH140" i="48"/>
  <c r="AK140" i="48"/>
  <c r="AL140" i="48" s="1"/>
  <c r="H259" i="48"/>
  <c r="Y264" i="47"/>
  <c r="AB264" i="47"/>
  <c r="AC264" i="47" s="1"/>
  <c r="L265" i="47"/>
  <c r="M265" i="47" s="1"/>
  <c r="D265" i="47"/>
  <c r="N265" i="47" l="1"/>
  <c r="R265" i="47" s="1"/>
  <c r="P265" i="47" s="1"/>
  <c r="AI141" i="48"/>
  <c r="L259" i="48"/>
  <c r="M259" i="48" s="1"/>
  <c r="AA265" i="47"/>
  <c r="Q266" i="47"/>
  <c r="G266" i="47"/>
  <c r="F266" i="47"/>
  <c r="E266" i="47"/>
  <c r="AJ264" i="47"/>
  <c r="Z265" i="47"/>
  <c r="AB265" i="47" s="1"/>
  <c r="AC265" i="47" s="1"/>
  <c r="Y265" i="47"/>
  <c r="S265" i="47"/>
  <c r="T265" i="47" s="1"/>
  <c r="N259" i="48" l="1"/>
  <c r="R141" i="48"/>
  <c r="D259" i="48"/>
  <c r="AH264" i="47"/>
  <c r="AK264" i="47"/>
  <c r="AL264" i="47" s="1"/>
  <c r="I266" i="47"/>
  <c r="AJ265" i="47"/>
  <c r="Z266" i="47"/>
  <c r="H266" i="47"/>
  <c r="P141" i="48" l="1"/>
  <c r="S141" i="48"/>
  <c r="T141" i="48" s="1"/>
  <c r="G260" i="48"/>
  <c r="F260" i="48"/>
  <c r="E260" i="48"/>
  <c r="L266" i="47"/>
  <c r="M266" i="47" s="1"/>
  <c r="AH265" i="47"/>
  <c r="AI265" i="47"/>
  <c r="AK265" i="47" s="1"/>
  <c r="AL265" i="47" s="1"/>
  <c r="H260" i="48" l="1"/>
  <c r="I260" i="48"/>
  <c r="AA141" i="48"/>
  <c r="Q142" i="48"/>
  <c r="AI266" i="47"/>
  <c r="N266" i="47"/>
  <c r="R266" i="47" s="1"/>
  <c r="D266" i="47"/>
  <c r="Y141" i="48" l="1"/>
  <c r="AB141" i="48"/>
  <c r="AC141" i="48" s="1"/>
  <c r="L260" i="48"/>
  <c r="N260" i="48" s="1"/>
  <c r="M260" i="48"/>
  <c r="P266" i="47"/>
  <c r="S266" i="47"/>
  <c r="T266" i="47" s="1"/>
  <c r="F267" i="47"/>
  <c r="G267" i="47"/>
  <c r="E267" i="47"/>
  <c r="H267" i="47" l="1"/>
  <c r="D260" i="48"/>
  <c r="AJ141" i="48"/>
  <c r="Z142" i="48"/>
  <c r="G261" i="48"/>
  <c r="F261" i="48"/>
  <c r="H261" i="48" s="1"/>
  <c r="E261" i="48"/>
  <c r="I267" i="47"/>
  <c r="AA266" i="47"/>
  <c r="Q267" i="47"/>
  <c r="I261" i="48" l="1"/>
  <c r="AH141" i="48"/>
  <c r="AK141" i="48"/>
  <c r="AL141" i="48" s="1"/>
  <c r="Y266" i="47"/>
  <c r="AB266" i="47"/>
  <c r="AC266" i="47" s="1"/>
  <c r="L267" i="47"/>
  <c r="M267" i="47" s="1"/>
  <c r="D267" i="47"/>
  <c r="N267" i="47" l="1"/>
  <c r="R267" i="47" s="1"/>
  <c r="P267" i="47" s="1"/>
  <c r="L261" i="48"/>
  <c r="M261" i="48" s="1"/>
  <c r="D261" i="48"/>
  <c r="AI142" i="48"/>
  <c r="F268" i="47"/>
  <c r="G268" i="47"/>
  <c r="E268" i="47"/>
  <c r="AJ266" i="47"/>
  <c r="Z267" i="47"/>
  <c r="AA267" i="47"/>
  <c r="Y267" i="47" s="1"/>
  <c r="Q268" i="47"/>
  <c r="S267" i="47"/>
  <c r="T267" i="47" s="1"/>
  <c r="AB267" i="47" l="1"/>
  <c r="AC267" i="47" s="1"/>
  <c r="H268" i="47"/>
  <c r="R142" i="48"/>
  <c r="N261" i="48"/>
  <c r="F262" i="48"/>
  <c r="G262" i="48"/>
  <c r="E262" i="48"/>
  <c r="Z268" i="47"/>
  <c r="AH266" i="47"/>
  <c r="AK266" i="47"/>
  <c r="AL266" i="47" s="1"/>
  <c r="I268" i="47"/>
  <c r="P142" i="48" l="1"/>
  <c r="S142" i="48"/>
  <c r="T142" i="48" s="1"/>
  <c r="I262" i="48"/>
  <c r="H262" i="48"/>
  <c r="AI267" i="47"/>
  <c r="L268" i="47"/>
  <c r="M268" i="47" s="1"/>
  <c r="AJ267" i="47"/>
  <c r="AH267" i="47" s="1"/>
  <c r="D268" i="47" l="1"/>
  <c r="N268" i="47"/>
  <c r="R268" i="47" s="1"/>
  <c r="P268" i="47" s="1"/>
  <c r="L262" i="48"/>
  <c r="N262" i="48" s="1"/>
  <c r="AA142" i="48"/>
  <c r="Q143" i="48"/>
  <c r="M262" i="48"/>
  <c r="AI268" i="47"/>
  <c r="G269" i="47"/>
  <c r="F269" i="47"/>
  <c r="E269" i="47"/>
  <c r="AK267" i="47"/>
  <c r="AL267" i="47" s="1"/>
  <c r="S268" i="47" l="1"/>
  <c r="T268" i="47" s="1"/>
  <c r="D262" i="48"/>
  <c r="Y142" i="48"/>
  <c r="AB142" i="48"/>
  <c r="AC142" i="48" s="1"/>
  <c r="AA268" i="47"/>
  <c r="Q269" i="47"/>
  <c r="I269" i="47"/>
  <c r="H269" i="47"/>
  <c r="AJ142" i="48" l="1"/>
  <c r="Z143" i="48"/>
  <c r="G263" i="48"/>
  <c r="F263" i="48"/>
  <c r="E263" i="48"/>
  <c r="L269" i="47"/>
  <c r="M269" i="47" s="1"/>
  <c r="Y268" i="47"/>
  <c r="AB268" i="47"/>
  <c r="AC268" i="47" s="1"/>
  <c r="I263" i="48" l="1"/>
  <c r="H263" i="48"/>
  <c r="AH142" i="48"/>
  <c r="AK142" i="48"/>
  <c r="AL142" i="48" s="1"/>
  <c r="D269" i="47"/>
  <c r="N269" i="47"/>
  <c r="R269" i="47" s="1"/>
  <c r="AJ268" i="47"/>
  <c r="Z269" i="47"/>
  <c r="L263" i="48" l="1"/>
  <c r="N263" i="48" s="1"/>
  <c r="D263" i="48"/>
  <c r="AI143" i="48"/>
  <c r="M263" i="48"/>
  <c r="AH268" i="47"/>
  <c r="AK268" i="47"/>
  <c r="AL268" i="47" s="1"/>
  <c r="P269" i="47"/>
  <c r="S269" i="47"/>
  <c r="T269" i="47" s="1"/>
  <c r="G270" i="47"/>
  <c r="F270" i="47"/>
  <c r="H270" i="47" s="1"/>
  <c r="E270" i="47"/>
  <c r="F264" i="48" l="1"/>
  <c r="G264" i="48"/>
  <c r="E264" i="48"/>
  <c r="R143" i="48"/>
  <c r="AA269" i="47"/>
  <c r="Q270" i="47"/>
  <c r="I270" i="47"/>
  <c r="AI269" i="47"/>
  <c r="H264" i="48" l="1"/>
  <c r="P143" i="48"/>
  <c r="S143" i="48"/>
  <c r="T143" i="48" s="1"/>
  <c r="I264" i="48"/>
  <c r="L270" i="47"/>
  <c r="N270" i="47" s="1"/>
  <c r="R270" i="47" s="1"/>
  <c r="D270" i="47"/>
  <c r="M270" i="47"/>
  <c r="Y269" i="47"/>
  <c r="AB269" i="47"/>
  <c r="AC269" i="47" s="1"/>
  <c r="L264" i="48" l="1"/>
  <c r="N264" i="48" s="1"/>
  <c r="AA143" i="48"/>
  <c r="Q144" i="48"/>
  <c r="P270" i="47"/>
  <c r="S270" i="47"/>
  <c r="T270" i="47" s="1"/>
  <c r="G271" i="47"/>
  <c r="F271" i="47"/>
  <c r="H271" i="47" s="1"/>
  <c r="E271" i="47"/>
  <c r="AJ269" i="47"/>
  <c r="Z270" i="47"/>
  <c r="Y143" i="48" l="1"/>
  <c r="AB143" i="48"/>
  <c r="AC143" i="48" s="1"/>
  <c r="D264" i="48"/>
  <c r="M264" i="48"/>
  <c r="I271" i="47"/>
  <c r="AH269" i="47"/>
  <c r="AK269" i="47"/>
  <c r="AL269" i="47" s="1"/>
  <c r="AA270" i="47"/>
  <c r="Y270" i="47" s="1"/>
  <c r="Q271" i="47"/>
  <c r="AJ143" i="48" l="1"/>
  <c r="Z144" i="48"/>
  <c r="G265" i="48"/>
  <c r="F265" i="48"/>
  <c r="E265" i="48"/>
  <c r="AJ270" i="47"/>
  <c r="Z271" i="47"/>
  <c r="AI270" i="47"/>
  <c r="AK270" i="47" s="1"/>
  <c r="AL270" i="47" s="1"/>
  <c r="AH270" i="47"/>
  <c r="AB270" i="47"/>
  <c r="AC270" i="47" s="1"/>
  <c r="L271" i="47"/>
  <c r="M271" i="47" s="1"/>
  <c r="H265" i="48" l="1"/>
  <c r="I265" i="48"/>
  <c r="AH143" i="48"/>
  <c r="AK143" i="48"/>
  <c r="AL143" i="48" s="1"/>
  <c r="D271" i="47"/>
  <c r="AI271" i="47"/>
  <c r="N271" i="47"/>
  <c r="R271" i="47" s="1"/>
  <c r="L265" i="48" l="1"/>
  <c r="M265" i="48" s="1"/>
  <c r="AI144" i="48"/>
  <c r="P271" i="47"/>
  <c r="S271" i="47"/>
  <c r="T271" i="47" s="1"/>
  <c r="G272" i="47"/>
  <c r="F272" i="47"/>
  <c r="E272" i="47"/>
  <c r="D265" i="48" l="1"/>
  <c r="N265" i="48"/>
  <c r="R144" i="48"/>
  <c r="I272" i="47"/>
  <c r="H272" i="47"/>
  <c r="AA271" i="47"/>
  <c r="Q272" i="47"/>
  <c r="P144" i="48" l="1"/>
  <c r="S144" i="48"/>
  <c r="T144" i="48" s="1"/>
  <c r="F266" i="48"/>
  <c r="G266" i="48"/>
  <c r="E266" i="48"/>
  <c r="L272" i="47"/>
  <c r="N272" i="47" s="1"/>
  <c r="R272" i="47" s="1"/>
  <c r="Y271" i="47"/>
  <c r="AB271" i="47"/>
  <c r="AC271" i="47" s="1"/>
  <c r="AA144" i="48" l="1"/>
  <c r="Q145" i="48"/>
  <c r="I266" i="48"/>
  <c r="H266" i="48"/>
  <c r="P272" i="47"/>
  <c r="S272" i="47"/>
  <c r="T272" i="47" s="1"/>
  <c r="D272" i="47"/>
  <c r="M272" i="47"/>
  <c r="AJ271" i="47"/>
  <c r="Z272" i="47"/>
  <c r="Y144" i="48" l="1"/>
  <c r="AB144" i="48"/>
  <c r="AC144" i="48" s="1"/>
  <c r="L266" i="48"/>
  <c r="M266" i="48" s="1"/>
  <c r="D266" i="48"/>
  <c r="F273" i="47"/>
  <c r="G273" i="47"/>
  <c r="E273" i="47"/>
  <c r="AH271" i="47"/>
  <c r="AK271" i="47"/>
  <c r="AL271" i="47" s="1"/>
  <c r="AA272" i="47"/>
  <c r="Y272" i="47" s="1"/>
  <c r="Q273" i="47"/>
  <c r="N266" i="48" l="1"/>
  <c r="G267" i="48"/>
  <c r="F267" i="48"/>
  <c r="H267" i="48" s="1"/>
  <c r="E267" i="48"/>
  <c r="AJ144" i="48"/>
  <c r="Z145" i="48"/>
  <c r="AI272" i="47"/>
  <c r="AJ272" i="47"/>
  <c r="AH272" i="47" s="1"/>
  <c r="Z273" i="47"/>
  <c r="I273" i="47"/>
  <c r="H273" i="47"/>
  <c r="AB272" i="47"/>
  <c r="AC272" i="47" s="1"/>
  <c r="AK272" i="47" l="1"/>
  <c r="AL272" i="47" s="1"/>
  <c r="AH144" i="48"/>
  <c r="AK144" i="48"/>
  <c r="AL144" i="48" s="1"/>
  <c r="I267" i="48"/>
  <c r="AI273" i="47"/>
  <c r="L273" i="47"/>
  <c r="D273" i="47" s="1"/>
  <c r="M273" i="47"/>
  <c r="N273" i="47" l="1"/>
  <c r="R273" i="47" s="1"/>
  <c r="L267" i="48"/>
  <c r="N267" i="48" s="1"/>
  <c r="AI145" i="48"/>
  <c r="G274" i="47"/>
  <c r="F274" i="47"/>
  <c r="H274" i="47" s="1"/>
  <c r="E274" i="47"/>
  <c r="P273" i="47"/>
  <c r="S273" i="47"/>
  <c r="T273" i="47" s="1"/>
  <c r="D267" i="48" l="1"/>
  <c r="G268" i="48" s="1"/>
  <c r="F268" i="48"/>
  <c r="E268" i="48"/>
  <c r="R145" i="48"/>
  <c r="M267" i="48"/>
  <c r="AA273" i="47"/>
  <c r="Q274" i="47"/>
  <c r="I274" i="47"/>
  <c r="P145" i="48" l="1"/>
  <c r="S145" i="48"/>
  <c r="T145" i="48" s="1"/>
  <c r="I268" i="48"/>
  <c r="H268" i="48"/>
  <c r="Y273" i="47"/>
  <c r="AB273" i="47"/>
  <c r="AC273" i="47" s="1"/>
  <c r="L274" i="47"/>
  <c r="M274" i="47" s="1"/>
  <c r="N274" i="47" l="1"/>
  <c r="R274" i="47" s="1"/>
  <c r="P274" i="47" s="1"/>
  <c r="AA145" i="48"/>
  <c r="Q146" i="48"/>
  <c r="L268" i="48"/>
  <c r="N268" i="48" s="1"/>
  <c r="AA274" i="47"/>
  <c r="Q275" i="47"/>
  <c r="AJ273" i="47"/>
  <c r="Y274" i="47"/>
  <c r="Z274" i="47"/>
  <c r="AB274" i="47" s="1"/>
  <c r="AC274" i="47" s="1"/>
  <c r="S274" i="47"/>
  <c r="T274" i="47" s="1"/>
  <c r="D274" i="47"/>
  <c r="M268" i="48" l="1"/>
  <c r="D268" i="48"/>
  <c r="F269" i="48"/>
  <c r="G269" i="48"/>
  <c r="E269" i="48"/>
  <c r="Y145" i="48"/>
  <c r="AB145" i="48"/>
  <c r="AC145" i="48" s="1"/>
  <c r="Z275" i="47"/>
  <c r="F275" i="47"/>
  <c r="G275" i="47"/>
  <c r="E275" i="47"/>
  <c r="AH273" i="47"/>
  <c r="AK273" i="47"/>
  <c r="AL273" i="47" s="1"/>
  <c r="H275" i="47" l="1"/>
  <c r="AJ145" i="48"/>
  <c r="Z146" i="48"/>
  <c r="I269" i="48"/>
  <c r="H269" i="48"/>
  <c r="AI274" i="47"/>
  <c r="AJ274" i="47"/>
  <c r="AH274" i="47" s="1"/>
  <c r="I275" i="47"/>
  <c r="AK274" i="47" l="1"/>
  <c r="AL274" i="47" s="1"/>
  <c r="L269" i="48"/>
  <c r="M269" i="48" s="1"/>
  <c r="AH145" i="48"/>
  <c r="AK145" i="48"/>
  <c r="AL145" i="48" s="1"/>
  <c r="AI275" i="47"/>
  <c r="L275" i="47"/>
  <c r="M275" i="47" s="1"/>
  <c r="N275" i="47" l="1"/>
  <c r="R275" i="47" s="1"/>
  <c r="D269" i="48"/>
  <c r="AI146" i="48"/>
  <c r="N269" i="48"/>
  <c r="P275" i="47"/>
  <c r="S275" i="47"/>
  <c r="T275" i="47" s="1"/>
  <c r="D275" i="47"/>
  <c r="R146" i="48" l="1"/>
  <c r="G270" i="48"/>
  <c r="F270" i="48"/>
  <c r="E270" i="48"/>
  <c r="G276" i="47"/>
  <c r="F276" i="47"/>
  <c r="E276" i="47"/>
  <c r="AA275" i="47"/>
  <c r="Q276" i="47"/>
  <c r="P146" i="48" l="1"/>
  <c r="S146" i="48"/>
  <c r="T146" i="48" s="1"/>
  <c r="I270" i="48"/>
  <c r="H270" i="48"/>
  <c r="Y275" i="47"/>
  <c r="AB275" i="47"/>
  <c r="AC275" i="47" s="1"/>
  <c r="I276" i="47"/>
  <c r="H276" i="47"/>
  <c r="L270" i="48" l="1"/>
  <c r="N270" i="48" s="1"/>
  <c r="AA146" i="48"/>
  <c r="Q147" i="48"/>
  <c r="L276" i="47"/>
  <c r="N276" i="47" s="1"/>
  <c r="R276" i="47" s="1"/>
  <c r="M276" i="47"/>
  <c r="AJ275" i="47"/>
  <c r="Z276" i="47"/>
  <c r="M270" i="48" l="1"/>
  <c r="D270" i="48"/>
  <c r="G271" i="48" s="1"/>
  <c r="F271" i="48"/>
  <c r="E271" i="48"/>
  <c r="Y146" i="48"/>
  <c r="AB146" i="48"/>
  <c r="AC146" i="48" s="1"/>
  <c r="P276" i="47"/>
  <c r="S276" i="47"/>
  <c r="T276" i="47" s="1"/>
  <c r="D276" i="47"/>
  <c r="AH275" i="47"/>
  <c r="AK275" i="47"/>
  <c r="AL275" i="47" s="1"/>
  <c r="H271" i="48" l="1"/>
  <c r="I271" i="48"/>
  <c r="AJ146" i="48"/>
  <c r="Z147" i="48"/>
  <c r="F277" i="47"/>
  <c r="G277" i="47"/>
  <c r="E277" i="47"/>
  <c r="AI276" i="47"/>
  <c r="AA276" i="47"/>
  <c r="Q277" i="47"/>
  <c r="AH146" i="48" l="1"/>
  <c r="AK146" i="48"/>
  <c r="AL146" i="48" s="1"/>
  <c r="L271" i="48"/>
  <c r="M271" i="48" s="1"/>
  <c r="Y276" i="47"/>
  <c r="AB276" i="47"/>
  <c r="AC276" i="47" s="1"/>
  <c r="I277" i="47"/>
  <c r="H277" i="47"/>
  <c r="N271" i="48" l="1"/>
  <c r="D271" i="48"/>
  <c r="AI147" i="48"/>
  <c r="AJ276" i="47"/>
  <c r="Z277" i="47"/>
  <c r="L277" i="47"/>
  <c r="N277" i="47" s="1"/>
  <c r="R277" i="47" s="1"/>
  <c r="D277" i="47"/>
  <c r="M277" i="47"/>
  <c r="G272" i="48" l="1"/>
  <c r="F272" i="48"/>
  <c r="E272" i="48"/>
  <c r="R147" i="48"/>
  <c r="P277" i="47"/>
  <c r="S277" i="47"/>
  <c r="T277" i="47" s="1"/>
  <c r="G278" i="47"/>
  <c r="F278" i="47"/>
  <c r="H278" i="47" s="1"/>
  <c r="E278" i="47"/>
  <c r="AH276" i="47"/>
  <c r="AK276" i="47"/>
  <c r="AL276" i="47" s="1"/>
  <c r="H272" i="48" l="1"/>
  <c r="P147" i="48"/>
  <c r="S147" i="48"/>
  <c r="T147" i="48" s="1"/>
  <c r="I272" i="48"/>
  <c r="I278" i="47"/>
  <c r="AI277" i="47"/>
  <c r="AA277" i="47"/>
  <c r="Q278" i="47"/>
  <c r="L272" i="48" l="1"/>
  <c r="N272" i="48" s="1"/>
  <c r="AA147" i="48"/>
  <c r="Q148" i="48"/>
  <c r="Y277" i="47"/>
  <c r="AB277" i="47"/>
  <c r="AC277" i="47" s="1"/>
  <c r="L278" i="47"/>
  <c r="M278" i="47" s="1"/>
  <c r="D278" i="47"/>
  <c r="M272" i="48" l="1"/>
  <c r="D272" i="48"/>
  <c r="Y147" i="48"/>
  <c r="AB147" i="48"/>
  <c r="AC147" i="48" s="1"/>
  <c r="F279" i="47"/>
  <c r="G279" i="47"/>
  <c r="E279" i="47"/>
  <c r="N278" i="47"/>
  <c r="R278" i="47" s="1"/>
  <c r="AJ277" i="47"/>
  <c r="Z278" i="47"/>
  <c r="AJ147" i="48" l="1"/>
  <c r="Z148" i="48"/>
  <c r="F273" i="48"/>
  <c r="G273" i="48"/>
  <c r="E273" i="48"/>
  <c r="P278" i="47"/>
  <c r="S278" i="47"/>
  <c r="T278" i="47" s="1"/>
  <c r="H279" i="47"/>
  <c r="AH277" i="47"/>
  <c r="AK277" i="47"/>
  <c r="AL277" i="47" s="1"/>
  <c r="I279" i="47"/>
  <c r="I273" i="48" l="1"/>
  <c r="H273" i="48"/>
  <c r="AH147" i="48"/>
  <c r="AK147" i="48"/>
  <c r="AL147" i="48" s="1"/>
  <c r="L279" i="47"/>
  <c r="N279" i="47" s="1"/>
  <c r="R279" i="47" s="1"/>
  <c r="P279" i="47" s="1"/>
  <c r="D279" i="47"/>
  <c r="AA278" i="47"/>
  <c r="Q279" i="47"/>
  <c r="AI278" i="47"/>
  <c r="M279" i="47"/>
  <c r="L273" i="48" l="1"/>
  <c r="N273" i="48" s="1"/>
  <c r="AI148" i="48"/>
  <c r="Q280" i="47"/>
  <c r="S279" i="47"/>
  <c r="T279" i="47" s="1"/>
  <c r="F280" i="47"/>
  <c r="G280" i="47"/>
  <c r="E280" i="47"/>
  <c r="Y278" i="47"/>
  <c r="AB278" i="47"/>
  <c r="AC278" i="47" s="1"/>
  <c r="H280" i="47" l="1"/>
  <c r="M273" i="48"/>
  <c r="D273" i="48"/>
  <c r="R148" i="48"/>
  <c r="AJ278" i="47"/>
  <c r="Z279" i="47"/>
  <c r="I280" i="47"/>
  <c r="AA279" i="47"/>
  <c r="Y279" i="47" s="1"/>
  <c r="G274" i="48" l="1"/>
  <c r="F274" i="48"/>
  <c r="H274" i="48" s="1"/>
  <c r="E274" i="48"/>
  <c r="P148" i="48"/>
  <c r="S148" i="48"/>
  <c r="T148" i="48" s="1"/>
  <c r="Z280" i="47"/>
  <c r="AB279" i="47"/>
  <c r="AC279" i="47" s="1"/>
  <c r="L280" i="47"/>
  <c r="M280" i="47" s="1"/>
  <c r="D280" i="47"/>
  <c r="AH278" i="47"/>
  <c r="AK278" i="47"/>
  <c r="AL278" i="47" s="1"/>
  <c r="AA148" i="48" l="1"/>
  <c r="Q149" i="48"/>
  <c r="I274" i="48"/>
  <c r="AI279" i="47"/>
  <c r="G281" i="47"/>
  <c r="F281" i="47"/>
  <c r="E281" i="47"/>
  <c r="N280" i="47"/>
  <c r="R280" i="47" s="1"/>
  <c r="AJ279" i="47"/>
  <c r="AH279" i="47" s="1"/>
  <c r="Y148" i="48" l="1"/>
  <c r="AB148" i="48"/>
  <c r="AC148" i="48" s="1"/>
  <c r="L274" i="48"/>
  <c r="M274" i="48" s="1"/>
  <c r="AI280" i="47"/>
  <c r="AK279" i="47"/>
  <c r="AL279" i="47" s="1"/>
  <c r="I281" i="47"/>
  <c r="H281" i="47"/>
  <c r="P280" i="47"/>
  <c r="S280" i="47"/>
  <c r="T280" i="47" s="1"/>
  <c r="N274" i="48" l="1"/>
  <c r="AJ148" i="48"/>
  <c r="Z149" i="48"/>
  <c r="D274" i="48"/>
  <c r="AA280" i="47"/>
  <c r="Q281" i="47"/>
  <c r="L281" i="47"/>
  <c r="M281" i="47" s="1"/>
  <c r="N281" i="47" l="1"/>
  <c r="R281" i="47" s="1"/>
  <c r="P281" i="47" s="1"/>
  <c r="AH148" i="48"/>
  <c r="AK148" i="48"/>
  <c r="AL148" i="48" s="1"/>
  <c r="F275" i="48"/>
  <c r="G275" i="48"/>
  <c r="E275" i="48"/>
  <c r="Q282" i="47"/>
  <c r="Y280" i="47"/>
  <c r="AB280" i="47"/>
  <c r="AC280" i="47" s="1"/>
  <c r="D281" i="47"/>
  <c r="S281" i="47"/>
  <c r="T281" i="47" s="1"/>
  <c r="H275" i="48" l="1"/>
  <c r="I275" i="48"/>
  <c r="AI149" i="48"/>
  <c r="F282" i="47"/>
  <c r="G282" i="47"/>
  <c r="E282" i="47"/>
  <c r="AJ280" i="47"/>
  <c r="Z281" i="47"/>
  <c r="AA281" i="47"/>
  <c r="Y281" i="47" s="1"/>
  <c r="R149" i="48" l="1"/>
  <c r="L275" i="48"/>
  <c r="M275" i="48" s="1"/>
  <c r="Z282" i="47"/>
  <c r="AB281" i="47"/>
  <c r="AC281" i="47" s="1"/>
  <c r="AH280" i="47"/>
  <c r="AK280" i="47"/>
  <c r="AL280" i="47" s="1"/>
  <c r="I282" i="47"/>
  <c r="H282" i="47"/>
  <c r="N275" i="48" l="1"/>
  <c r="P149" i="48"/>
  <c r="S149" i="48"/>
  <c r="T149" i="48" s="1"/>
  <c r="D275" i="48"/>
  <c r="L282" i="47"/>
  <c r="N282" i="47" s="1"/>
  <c r="R282" i="47" s="1"/>
  <c r="AI281" i="47"/>
  <c r="AJ281" i="47"/>
  <c r="AH281" i="47" s="1"/>
  <c r="M282" i="47" l="1"/>
  <c r="G276" i="48"/>
  <c r="F276" i="48"/>
  <c r="E276" i="48"/>
  <c r="AA149" i="48"/>
  <c r="Q150" i="48"/>
  <c r="P282" i="47"/>
  <c r="S282" i="47"/>
  <c r="T282" i="47" s="1"/>
  <c r="AI282" i="47"/>
  <c r="D282" i="47"/>
  <c r="AK281" i="47"/>
  <c r="AL281" i="47" s="1"/>
  <c r="Y149" i="48" l="1"/>
  <c r="AB149" i="48"/>
  <c r="AC149" i="48" s="1"/>
  <c r="H276" i="48"/>
  <c r="I276" i="48"/>
  <c r="F283" i="47"/>
  <c r="G283" i="47"/>
  <c r="E283" i="47"/>
  <c r="AA282" i="47"/>
  <c r="Q283" i="47"/>
  <c r="H283" i="47" l="1"/>
  <c r="L276" i="48"/>
  <c r="M276" i="48" s="1"/>
  <c r="AJ149" i="48"/>
  <c r="Z150" i="48"/>
  <c r="I283" i="47"/>
  <c r="Y282" i="47"/>
  <c r="AB282" i="47"/>
  <c r="AC282" i="47" s="1"/>
  <c r="D276" i="48" l="1"/>
  <c r="AH149" i="48"/>
  <c r="AK149" i="48"/>
  <c r="AL149" i="48" s="1"/>
  <c r="N276" i="48"/>
  <c r="AJ282" i="47"/>
  <c r="Z283" i="47"/>
  <c r="L283" i="47"/>
  <c r="M283" i="47" s="1"/>
  <c r="AI150" i="48" l="1"/>
  <c r="G277" i="48"/>
  <c r="F277" i="48"/>
  <c r="E277" i="48"/>
  <c r="AH282" i="47"/>
  <c r="AK282" i="47"/>
  <c r="AL282" i="47" s="1"/>
  <c r="D283" i="47"/>
  <c r="N283" i="47"/>
  <c r="R283" i="47" s="1"/>
  <c r="H277" i="48" l="1"/>
  <c r="R150" i="48"/>
  <c r="I277" i="48"/>
  <c r="G284" i="47"/>
  <c r="F284" i="47"/>
  <c r="H284" i="47" s="1"/>
  <c r="E284" i="47"/>
  <c r="AI283" i="47"/>
  <c r="P283" i="47"/>
  <c r="S283" i="47"/>
  <c r="T283" i="47" s="1"/>
  <c r="L277" i="48" l="1"/>
  <c r="N277" i="48" s="1"/>
  <c r="P150" i="48"/>
  <c r="S150" i="48"/>
  <c r="T150" i="48" s="1"/>
  <c r="AA283" i="47"/>
  <c r="Q284" i="47"/>
  <c r="I284" i="47"/>
  <c r="AA150" i="48" l="1"/>
  <c r="Q151" i="48"/>
  <c r="M277" i="48"/>
  <c r="D277" i="48"/>
  <c r="Y283" i="47"/>
  <c r="AB283" i="47"/>
  <c r="AC283" i="47" s="1"/>
  <c r="L284" i="47"/>
  <c r="D284" i="47" s="1"/>
  <c r="Y150" i="48" l="1"/>
  <c r="AB150" i="48"/>
  <c r="AC150" i="48" s="1"/>
  <c r="G278" i="48"/>
  <c r="F278" i="48"/>
  <c r="E278" i="48"/>
  <c r="G285" i="47"/>
  <c r="F285" i="47"/>
  <c r="H285" i="47" s="1"/>
  <c r="E285" i="47"/>
  <c r="M284" i="47"/>
  <c r="N284" i="47"/>
  <c r="R284" i="47" s="1"/>
  <c r="AJ283" i="47"/>
  <c r="Z284" i="47"/>
  <c r="AJ150" i="48" l="1"/>
  <c r="Z151" i="48"/>
  <c r="I278" i="48"/>
  <c r="H278" i="48"/>
  <c r="P284" i="47"/>
  <c r="S284" i="47"/>
  <c r="T284" i="47" s="1"/>
  <c r="AH283" i="47"/>
  <c r="AK283" i="47"/>
  <c r="AL283" i="47" s="1"/>
  <c r="I285" i="47"/>
  <c r="AH150" i="48" l="1"/>
  <c r="AK150" i="48"/>
  <c r="AL150" i="48" s="1"/>
  <c r="L278" i="48"/>
  <c r="N278" i="48" s="1"/>
  <c r="AI284" i="47"/>
  <c r="L285" i="47"/>
  <c r="M285" i="47" s="1"/>
  <c r="AA284" i="47"/>
  <c r="Q285" i="47"/>
  <c r="D278" i="48" l="1"/>
  <c r="G279" i="48" s="1"/>
  <c r="M278" i="48"/>
  <c r="AI151" i="48"/>
  <c r="N285" i="47"/>
  <c r="R285" i="47" s="1"/>
  <c r="P285" i="47" s="1"/>
  <c r="Y284" i="47"/>
  <c r="AB284" i="47"/>
  <c r="AC284" i="47" s="1"/>
  <c r="S285" i="47"/>
  <c r="T285" i="47" s="1"/>
  <c r="D285" i="47"/>
  <c r="F279" i="48" l="1"/>
  <c r="E279" i="48"/>
  <c r="I279" i="48" s="1"/>
  <c r="R151" i="48"/>
  <c r="H279" i="48"/>
  <c r="AJ284" i="47"/>
  <c r="Z285" i="47"/>
  <c r="G286" i="47"/>
  <c r="F286" i="47"/>
  <c r="H286" i="47" s="1"/>
  <c r="E286" i="47"/>
  <c r="AA285" i="47"/>
  <c r="Y285" i="47" s="1"/>
  <c r="Q286" i="47"/>
  <c r="L279" i="48" l="1"/>
  <c r="N279" i="48" s="1"/>
  <c r="P151" i="48"/>
  <c r="S151" i="48"/>
  <c r="T151" i="48" s="1"/>
  <c r="M279" i="48"/>
  <c r="Z286" i="47"/>
  <c r="AB285" i="47"/>
  <c r="AC285" i="47" s="1"/>
  <c r="AH284" i="47"/>
  <c r="AK284" i="47"/>
  <c r="AL284" i="47" s="1"/>
  <c r="I286" i="47"/>
  <c r="D279" i="48" l="1"/>
  <c r="F280" i="48" s="1"/>
  <c r="AA151" i="48"/>
  <c r="Q152" i="48"/>
  <c r="G280" i="48"/>
  <c r="E280" i="48"/>
  <c r="AI285" i="47"/>
  <c r="L286" i="47"/>
  <c r="M286" i="47" s="1"/>
  <c r="AJ285" i="47"/>
  <c r="AH285" i="47" s="1"/>
  <c r="AK285" i="47" l="1"/>
  <c r="AL285" i="47" s="1"/>
  <c r="H280" i="48"/>
  <c r="Y151" i="48"/>
  <c r="AB151" i="48"/>
  <c r="AC151" i="48" s="1"/>
  <c r="I280" i="48"/>
  <c r="AI286" i="47"/>
  <c r="N286" i="47"/>
  <c r="R286" i="47" s="1"/>
  <c r="D286" i="47"/>
  <c r="AJ151" i="48" l="1"/>
  <c r="Z152" i="48"/>
  <c r="L280" i="48"/>
  <c r="N280" i="48" s="1"/>
  <c r="M280" i="48"/>
  <c r="P286" i="47"/>
  <c r="S286" i="47"/>
  <c r="T286" i="47" s="1"/>
  <c r="G287" i="47"/>
  <c r="F287" i="47"/>
  <c r="E287" i="47"/>
  <c r="H287" i="47" l="1"/>
  <c r="D280" i="48"/>
  <c r="F281" i="48"/>
  <c r="G281" i="48"/>
  <c r="E281" i="48"/>
  <c r="AH151" i="48"/>
  <c r="AK151" i="48"/>
  <c r="AL151" i="48" s="1"/>
  <c r="I287" i="47"/>
  <c r="AA286" i="47"/>
  <c r="Q287" i="47"/>
  <c r="H281" i="48" l="1"/>
  <c r="I281" i="48"/>
  <c r="AI152" i="48"/>
  <c r="Y286" i="47"/>
  <c r="AB286" i="47"/>
  <c r="AC286" i="47" s="1"/>
  <c r="L287" i="47"/>
  <c r="M287" i="47" s="1"/>
  <c r="D287" i="47"/>
  <c r="N287" i="47" l="1"/>
  <c r="R287" i="47" s="1"/>
  <c r="P287" i="47" s="1"/>
  <c r="AA287" i="47" s="1"/>
  <c r="Y287" i="47" s="1"/>
  <c r="R152" i="48"/>
  <c r="L281" i="48"/>
  <c r="M281" i="48" s="1"/>
  <c r="S287" i="47"/>
  <c r="T287" i="47" s="1"/>
  <c r="F288" i="47"/>
  <c r="G288" i="47"/>
  <c r="E288" i="47"/>
  <c r="AJ286" i="47"/>
  <c r="Z287" i="47"/>
  <c r="Q288" i="47" l="1"/>
  <c r="AB287" i="47"/>
  <c r="AC287" i="47" s="1"/>
  <c r="H288" i="47"/>
  <c r="D281" i="48"/>
  <c r="F282" i="48" s="1"/>
  <c r="E282" i="48"/>
  <c r="N281" i="48"/>
  <c r="P152" i="48"/>
  <c r="S152" i="48"/>
  <c r="T152" i="48" s="1"/>
  <c r="AH286" i="47"/>
  <c r="AK286" i="47"/>
  <c r="AL286" i="47" s="1"/>
  <c r="I288" i="47"/>
  <c r="AJ287" i="47"/>
  <c r="Z288" i="47"/>
  <c r="G282" i="48" l="1"/>
  <c r="AA152" i="48"/>
  <c r="Q153" i="48"/>
  <c r="H282" i="48"/>
  <c r="I282" i="48"/>
  <c r="L288" i="47"/>
  <c r="N288" i="47" s="1"/>
  <c r="R288" i="47" s="1"/>
  <c r="D288" i="47"/>
  <c r="M288" i="47"/>
  <c r="AI287" i="47"/>
  <c r="AK287" i="47" s="1"/>
  <c r="AL287" i="47" s="1"/>
  <c r="AH287" i="47"/>
  <c r="Y152" i="48" l="1"/>
  <c r="AB152" i="48"/>
  <c r="AC152" i="48" s="1"/>
  <c r="L282" i="48"/>
  <c r="D282" i="48" s="1"/>
  <c r="P288" i="47"/>
  <c r="S288" i="47"/>
  <c r="T288" i="47" s="1"/>
  <c r="F289" i="47"/>
  <c r="G289" i="47"/>
  <c r="E289" i="47"/>
  <c r="AI288" i="47"/>
  <c r="H289" i="47" l="1"/>
  <c r="G283" i="48"/>
  <c r="F283" i="48"/>
  <c r="E283" i="48"/>
  <c r="M282" i="48"/>
  <c r="N282" i="48"/>
  <c r="AJ152" i="48"/>
  <c r="Z153" i="48"/>
  <c r="I289" i="47"/>
  <c r="AA288" i="47"/>
  <c r="Q289" i="47"/>
  <c r="H283" i="48" l="1"/>
  <c r="AH152" i="48"/>
  <c r="AK152" i="48"/>
  <c r="AL152" i="48" s="1"/>
  <c r="I283" i="48"/>
  <c r="Y288" i="47"/>
  <c r="AB288" i="47"/>
  <c r="AC288" i="47" s="1"/>
  <c r="L289" i="47"/>
  <c r="M289" i="47" s="1"/>
  <c r="D289" i="47"/>
  <c r="N289" i="47" l="1"/>
  <c r="R289" i="47" s="1"/>
  <c r="P289" i="47" s="1"/>
  <c r="AA289" i="47" s="1"/>
  <c r="Y289" i="47" s="1"/>
  <c r="AI153" i="48"/>
  <c r="L283" i="48"/>
  <c r="M283" i="48" s="1"/>
  <c r="D283" i="48"/>
  <c r="G290" i="47"/>
  <c r="F290" i="47"/>
  <c r="H290" i="47" s="1"/>
  <c r="E290" i="47"/>
  <c r="AJ288" i="47"/>
  <c r="Z289" i="47"/>
  <c r="AB289" i="47" l="1"/>
  <c r="AC289" i="47" s="1"/>
  <c r="S289" i="47"/>
  <c r="T289" i="47" s="1"/>
  <c r="Q290" i="47"/>
  <c r="N283" i="48"/>
  <c r="R153" i="48"/>
  <c r="G284" i="48"/>
  <c r="F284" i="48"/>
  <c r="E284" i="48"/>
  <c r="I290" i="47"/>
  <c r="AH288" i="47"/>
  <c r="AK288" i="47"/>
  <c r="AL288" i="47" s="1"/>
  <c r="AJ289" i="47"/>
  <c r="Z290" i="47"/>
  <c r="P153" i="48" l="1"/>
  <c r="S153" i="48"/>
  <c r="T153" i="48" s="1"/>
  <c r="I284" i="48"/>
  <c r="H284" i="48"/>
  <c r="L290" i="47"/>
  <c r="M290" i="47" s="1"/>
  <c r="AH289" i="47"/>
  <c r="AI289" i="47"/>
  <c r="AK289" i="47" s="1"/>
  <c r="AL289" i="47" s="1"/>
  <c r="D290" i="47" l="1"/>
  <c r="F291" i="47" s="1"/>
  <c r="L284" i="48"/>
  <c r="N284" i="48" s="1"/>
  <c r="D284" i="48"/>
  <c r="AA153" i="48"/>
  <c r="Q154" i="48"/>
  <c r="E291" i="47"/>
  <c r="N290" i="47"/>
  <c r="R290" i="47" s="1"/>
  <c r="AI290" i="47"/>
  <c r="G291" i="47" l="1"/>
  <c r="H291" i="47" s="1"/>
  <c r="F285" i="48"/>
  <c r="G285" i="48"/>
  <c r="E285" i="48"/>
  <c r="Y153" i="48"/>
  <c r="AB153" i="48"/>
  <c r="AC153" i="48" s="1"/>
  <c r="M284" i="48"/>
  <c r="P290" i="47"/>
  <c r="S290" i="47"/>
  <c r="T290" i="47" s="1"/>
  <c r="I291" i="47"/>
  <c r="AJ153" i="48" l="1"/>
  <c r="Z154" i="48"/>
  <c r="I285" i="48"/>
  <c r="H285" i="48"/>
  <c r="L291" i="47"/>
  <c r="M291" i="47" s="1"/>
  <c r="AA290" i="47"/>
  <c r="Q291" i="47"/>
  <c r="L285" i="48" l="1"/>
  <c r="N285" i="48" s="1"/>
  <c r="AH153" i="48"/>
  <c r="AK153" i="48"/>
  <c r="AL153" i="48" s="1"/>
  <c r="D291" i="47"/>
  <c r="N291" i="47"/>
  <c r="R291" i="47" s="1"/>
  <c r="P291" i="47" s="1"/>
  <c r="Y290" i="47"/>
  <c r="AB290" i="47"/>
  <c r="AC290" i="47" s="1"/>
  <c r="M285" i="48" l="1"/>
  <c r="D285" i="48"/>
  <c r="AI154" i="48"/>
  <c r="G286" i="48"/>
  <c r="F286" i="48"/>
  <c r="H286" i="48" s="1"/>
  <c r="E286" i="48"/>
  <c r="AJ290" i="47"/>
  <c r="Z291" i="47"/>
  <c r="AA291" i="47"/>
  <c r="Y291" i="47" s="1"/>
  <c r="Q292" i="47"/>
  <c r="G292" i="47"/>
  <c r="F292" i="47"/>
  <c r="H292" i="47" s="1"/>
  <c r="E292" i="47"/>
  <c r="S291" i="47"/>
  <c r="T291" i="47" s="1"/>
  <c r="R154" i="48" l="1"/>
  <c r="I286" i="48"/>
  <c r="Z292" i="47"/>
  <c r="AB291" i="47"/>
  <c r="AC291" i="47" s="1"/>
  <c r="I292" i="47"/>
  <c r="AH290" i="47"/>
  <c r="AK290" i="47"/>
  <c r="AL290" i="47" s="1"/>
  <c r="L286" i="48" l="1"/>
  <c r="N286" i="48" s="1"/>
  <c r="P154" i="48"/>
  <c r="S154" i="48"/>
  <c r="T154" i="48" s="1"/>
  <c r="AI291" i="47"/>
  <c r="L292" i="47"/>
  <c r="M292" i="47" s="1"/>
  <c r="AJ291" i="47"/>
  <c r="AH291" i="47" s="1"/>
  <c r="AK291" i="47" l="1"/>
  <c r="AL291" i="47" s="1"/>
  <c r="AA154" i="48"/>
  <c r="Q155" i="48"/>
  <c r="M286" i="48"/>
  <c r="D286" i="48"/>
  <c r="AI292" i="47"/>
  <c r="D292" i="47"/>
  <c r="N292" i="47"/>
  <c r="R292" i="47" s="1"/>
  <c r="Y154" i="48" l="1"/>
  <c r="AB154" i="48"/>
  <c r="AC154" i="48" s="1"/>
  <c r="G287" i="48"/>
  <c r="F287" i="48"/>
  <c r="E287" i="48"/>
  <c r="F293" i="47"/>
  <c r="G293" i="47"/>
  <c r="E293" i="47"/>
  <c r="P292" i="47"/>
  <c r="S292" i="47"/>
  <c r="T292" i="47" s="1"/>
  <c r="AJ154" i="48" l="1"/>
  <c r="Z155" i="48"/>
  <c r="I287" i="48"/>
  <c r="H287" i="48"/>
  <c r="AA292" i="47"/>
  <c r="Q293" i="47"/>
  <c r="I293" i="47"/>
  <c r="H293" i="47"/>
  <c r="AH154" i="48" l="1"/>
  <c r="AK154" i="48"/>
  <c r="AL154" i="48" s="1"/>
  <c r="L287" i="48"/>
  <c r="N287" i="48" s="1"/>
  <c r="L293" i="47"/>
  <c r="M293" i="47" s="1"/>
  <c r="Y292" i="47"/>
  <c r="AB292" i="47"/>
  <c r="AC292" i="47" s="1"/>
  <c r="M287" i="48" l="1"/>
  <c r="D287" i="48"/>
  <c r="AI155" i="48"/>
  <c r="G288" i="48"/>
  <c r="F288" i="48"/>
  <c r="H288" i="48" s="1"/>
  <c r="E288" i="48"/>
  <c r="D293" i="47"/>
  <c r="AJ292" i="47"/>
  <c r="Z293" i="47"/>
  <c r="N293" i="47"/>
  <c r="R293" i="47" s="1"/>
  <c r="R155" i="48" l="1"/>
  <c r="I288" i="48"/>
  <c r="AH292" i="47"/>
  <c r="AK292" i="47"/>
  <c r="AL292" i="47" s="1"/>
  <c r="P293" i="47"/>
  <c r="S293" i="47"/>
  <c r="T293" i="47" s="1"/>
  <c r="G294" i="47"/>
  <c r="F294" i="47"/>
  <c r="E294" i="47"/>
  <c r="L288" i="48" l="1"/>
  <c r="N288" i="48" s="1"/>
  <c r="P155" i="48"/>
  <c r="S155" i="48"/>
  <c r="T155" i="48" s="1"/>
  <c r="I294" i="47"/>
  <c r="AI293" i="47"/>
  <c r="AA293" i="47"/>
  <c r="Q294" i="47"/>
  <c r="H294" i="47"/>
  <c r="M288" i="48" l="1"/>
  <c r="D288" i="48"/>
  <c r="G289" i="48" s="1"/>
  <c r="F289" i="48"/>
  <c r="AA155" i="48"/>
  <c r="Q156" i="48"/>
  <c r="L294" i="47"/>
  <c r="N294" i="47" s="1"/>
  <c r="R294" i="47" s="1"/>
  <c r="D294" i="47"/>
  <c r="Y293" i="47"/>
  <c r="AB293" i="47"/>
  <c r="AC293" i="47" s="1"/>
  <c r="E289" i="48" l="1"/>
  <c r="I289" i="48" s="1"/>
  <c r="Y155" i="48"/>
  <c r="AB155" i="48"/>
  <c r="AC155" i="48" s="1"/>
  <c r="H289" i="48"/>
  <c r="P294" i="47"/>
  <c r="S294" i="47"/>
  <c r="T294" i="47" s="1"/>
  <c r="AJ293" i="47"/>
  <c r="Z294" i="47"/>
  <c r="G295" i="47"/>
  <c r="F295" i="47"/>
  <c r="E295" i="47"/>
  <c r="M294" i="47"/>
  <c r="AJ155" i="48" l="1"/>
  <c r="Z156" i="48"/>
  <c r="L289" i="48"/>
  <c r="M289" i="48" s="1"/>
  <c r="I295" i="47"/>
  <c r="AH293" i="47"/>
  <c r="AK293" i="47"/>
  <c r="AL293" i="47" s="1"/>
  <c r="H295" i="47"/>
  <c r="AA294" i="47"/>
  <c r="Y294" i="47" s="1"/>
  <c r="Q295" i="47"/>
  <c r="AB294" i="47" l="1"/>
  <c r="AC294" i="47" s="1"/>
  <c r="D289" i="48"/>
  <c r="G290" i="48" s="1"/>
  <c r="F290" i="48"/>
  <c r="E290" i="48"/>
  <c r="N289" i="48"/>
  <c r="AH155" i="48"/>
  <c r="AK155" i="48"/>
  <c r="AL155" i="48" s="1"/>
  <c r="AI294" i="47"/>
  <c r="AJ294" i="47"/>
  <c r="AH294" i="47" s="1"/>
  <c r="Z295" i="47"/>
  <c r="L295" i="47"/>
  <c r="M295" i="47" s="1"/>
  <c r="D295" i="47"/>
  <c r="AK294" i="47" l="1"/>
  <c r="AL294" i="47" s="1"/>
  <c r="I290" i="48"/>
  <c r="AI156" i="48"/>
  <c r="H290" i="48"/>
  <c r="AI295" i="47"/>
  <c r="G296" i="47"/>
  <c r="F296" i="47"/>
  <c r="H296" i="47" s="1"/>
  <c r="E296" i="47"/>
  <c r="N295" i="47"/>
  <c r="R295" i="47" s="1"/>
  <c r="L290" i="48" l="1"/>
  <c r="N290" i="48" s="1"/>
  <c r="R156" i="48"/>
  <c r="P295" i="47"/>
  <c r="S295" i="47"/>
  <c r="T295" i="47" s="1"/>
  <c r="I296" i="47"/>
  <c r="M290" i="48" l="1"/>
  <c r="D290" i="48"/>
  <c r="G291" i="48"/>
  <c r="F291" i="48"/>
  <c r="E291" i="48"/>
  <c r="P156" i="48"/>
  <c r="S156" i="48"/>
  <c r="T156" i="48" s="1"/>
  <c r="L296" i="47"/>
  <c r="N296" i="47" s="1"/>
  <c r="R296" i="47" s="1"/>
  <c r="P296" i="47" s="1"/>
  <c r="D296" i="47"/>
  <c r="AA295" i="47"/>
  <c r="Q296" i="47"/>
  <c r="H291" i="48" l="1"/>
  <c r="AA156" i="48"/>
  <c r="Q157" i="48"/>
  <c r="I291" i="48"/>
  <c r="Q297" i="47"/>
  <c r="Y295" i="47"/>
  <c r="AB295" i="47"/>
  <c r="AC295" i="47" s="1"/>
  <c r="S296" i="47"/>
  <c r="T296" i="47" s="1"/>
  <c r="G297" i="47"/>
  <c r="F297" i="47"/>
  <c r="E297" i="47"/>
  <c r="M296" i="47"/>
  <c r="H297" i="47" l="1"/>
  <c r="L291" i="48"/>
  <c r="N291" i="48" s="1"/>
  <c r="Y156" i="48"/>
  <c r="AB156" i="48"/>
  <c r="AC156" i="48" s="1"/>
  <c r="I297" i="47"/>
  <c r="AJ295" i="47"/>
  <c r="Z296" i="47"/>
  <c r="AA296" i="47"/>
  <c r="Y296" i="47" s="1"/>
  <c r="D291" i="48" l="1"/>
  <c r="G292" i="48"/>
  <c r="F292" i="48"/>
  <c r="H292" i="48" s="1"/>
  <c r="E292" i="48"/>
  <c r="AJ156" i="48"/>
  <c r="Z157" i="48"/>
  <c r="M291" i="48"/>
  <c r="Z297" i="47"/>
  <c r="L297" i="47"/>
  <c r="D297" i="47" s="1"/>
  <c r="AH295" i="47"/>
  <c r="AK295" i="47"/>
  <c r="AL295" i="47" s="1"/>
  <c r="AB296" i="47"/>
  <c r="AC296" i="47" s="1"/>
  <c r="N297" i="47" l="1"/>
  <c r="R297" i="47" s="1"/>
  <c r="AH156" i="48"/>
  <c r="AK156" i="48"/>
  <c r="AL156" i="48" s="1"/>
  <c r="I292" i="48"/>
  <c r="G298" i="47"/>
  <c r="F298" i="47"/>
  <c r="E298" i="47"/>
  <c r="P297" i="47"/>
  <c r="S297" i="47"/>
  <c r="T297" i="47" s="1"/>
  <c r="AI296" i="47"/>
  <c r="M297" i="47"/>
  <c r="AJ296" i="47"/>
  <c r="AH296" i="47" s="1"/>
  <c r="H298" i="47" l="1"/>
  <c r="L292" i="48"/>
  <c r="N292" i="48" s="1"/>
  <c r="AI157" i="48"/>
  <c r="AI297" i="47"/>
  <c r="AA297" i="47"/>
  <c r="Q298" i="47"/>
  <c r="AK296" i="47"/>
  <c r="AL296" i="47" s="1"/>
  <c r="I298" i="47"/>
  <c r="M292" i="48" l="1"/>
  <c r="D292" i="48"/>
  <c r="G293" i="48" s="1"/>
  <c r="E293" i="48"/>
  <c r="R157" i="48"/>
  <c r="L298" i="47"/>
  <c r="M298" i="47" s="1"/>
  <c r="Y297" i="47"/>
  <c r="AB297" i="47"/>
  <c r="AC297" i="47" s="1"/>
  <c r="F293" i="48" l="1"/>
  <c r="P157" i="48"/>
  <c r="S157" i="48"/>
  <c r="T157" i="48" s="1"/>
  <c r="I293" i="48"/>
  <c r="H293" i="48"/>
  <c r="N298" i="47"/>
  <c r="R298" i="47" s="1"/>
  <c r="AJ297" i="47"/>
  <c r="Z298" i="47"/>
  <c r="D298" i="47"/>
  <c r="L293" i="48" l="1"/>
  <c r="N293" i="48" s="1"/>
  <c r="AA157" i="48"/>
  <c r="Q158" i="48"/>
  <c r="M293" i="48"/>
  <c r="AH297" i="47"/>
  <c r="AK297" i="47"/>
  <c r="AL297" i="47" s="1"/>
  <c r="G299" i="47"/>
  <c r="F299" i="47"/>
  <c r="H299" i="47" s="1"/>
  <c r="E299" i="47"/>
  <c r="P298" i="47"/>
  <c r="S298" i="47"/>
  <c r="T298" i="47" s="1"/>
  <c r="D293" i="48" l="1"/>
  <c r="F294" i="48" s="1"/>
  <c r="Y157" i="48"/>
  <c r="AB157" i="48"/>
  <c r="AC157" i="48" s="1"/>
  <c r="I299" i="47"/>
  <c r="AA298" i="47"/>
  <c r="Q299" i="47"/>
  <c r="AI298" i="47"/>
  <c r="E294" i="48" l="1"/>
  <c r="I294" i="48" s="1"/>
  <c r="G294" i="48"/>
  <c r="AJ157" i="48"/>
  <c r="Z158" i="48"/>
  <c r="H294" i="48"/>
  <c r="Y298" i="47"/>
  <c r="AB298" i="47"/>
  <c r="AC298" i="47" s="1"/>
  <c r="L299" i="47"/>
  <c r="D299" i="47" s="1"/>
  <c r="M299" i="47"/>
  <c r="N299" i="47" l="1"/>
  <c r="R299" i="47" s="1"/>
  <c r="P299" i="47" s="1"/>
  <c r="AA299" i="47" s="1"/>
  <c r="Y299" i="47" s="1"/>
  <c r="L294" i="48"/>
  <c r="M294" i="48" s="1"/>
  <c r="AH157" i="48"/>
  <c r="AK157" i="48"/>
  <c r="AL157" i="48" s="1"/>
  <c r="Q300" i="47"/>
  <c r="AJ298" i="47"/>
  <c r="Z299" i="47"/>
  <c r="S299" i="47"/>
  <c r="T299" i="47" s="1"/>
  <c r="F300" i="47"/>
  <c r="G300" i="47"/>
  <c r="E300" i="47"/>
  <c r="AB299" i="47" l="1"/>
  <c r="AC299" i="47" s="1"/>
  <c r="D294" i="48"/>
  <c r="F295" i="48" s="1"/>
  <c r="AI158" i="48"/>
  <c r="N294" i="48"/>
  <c r="Z300" i="47"/>
  <c r="I300" i="47"/>
  <c r="H300" i="47"/>
  <c r="AH298" i="47"/>
  <c r="AJ299" i="47" s="1"/>
  <c r="AK298" i="47"/>
  <c r="AL298" i="47" s="1"/>
  <c r="E295" i="48" l="1"/>
  <c r="I295" i="48" s="1"/>
  <c r="G295" i="48"/>
  <c r="H295" i="48"/>
  <c r="R158" i="48"/>
  <c r="L300" i="47"/>
  <c r="M300" i="47" s="1"/>
  <c r="AI299" i="47"/>
  <c r="AK299" i="47" s="1"/>
  <c r="AL299" i="47" s="1"/>
  <c r="AH299" i="47"/>
  <c r="L295" i="48" l="1"/>
  <c r="N295" i="48" s="1"/>
  <c r="P158" i="48"/>
  <c r="S158" i="48"/>
  <c r="T158" i="48" s="1"/>
  <c r="M295" i="48"/>
  <c r="D300" i="47"/>
  <c r="N300" i="47"/>
  <c r="R300" i="47" s="1"/>
  <c r="AI300" i="47"/>
  <c r="AA158" i="48" l="1"/>
  <c r="Q159" i="48"/>
  <c r="D295" i="48"/>
  <c r="P300" i="47"/>
  <c r="S300" i="47"/>
  <c r="T300" i="47" s="1"/>
  <c r="F301" i="47"/>
  <c r="G301" i="47"/>
  <c r="E301" i="47"/>
  <c r="H301" i="47" l="1"/>
  <c r="Y158" i="48"/>
  <c r="AB158" i="48"/>
  <c r="AC158" i="48" s="1"/>
  <c r="G296" i="48"/>
  <c r="F296" i="48"/>
  <c r="E296" i="48"/>
  <c r="I301" i="47"/>
  <c r="AA300" i="47"/>
  <c r="Q301" i="47"/>
  <c r="H296" i="48" l="1"/>
  <c r="AJ158" i="48"/>
  <c r="Z159" i="48"/>
  <c r="I296" i="48"/>
  <c r="Y300" i="47"/>
  <c r="AB300" i="47"/>
  <c r="AC300" i="47" s="1"/>
  <c r="L301" i="47"/>
  <c r="M301" i="47" s="1"/>
  <c r="N301" i="47" l="1"/>
  <c r="R301" i="47" s="1"/>
  <c r="P301" i="47" s="1"/>
  <c r="AA301" i="47" s="1"/>
  <c r="Y301" i="47" s="1"/>
  <c r="AH158" i="48"/>
  <c r="AK158" i="48"/>
  <c r="AL158" i="48" s="1"/>
  <c r="L296" i="48"/>
  <c r="M296" i="48" s="1"/>
  <c r="Q302" i="47"/>
  <c r="AJ300" i="47"/>
  <c r="Z301" i="47"/>
  <c r="D301" i="47"/>
  <c r="S301" i="47"/>
  <c r="T301" i="47" s="1"/>
  <c r="AB301" i="47" l="1"/>
  <c r="AC301" i="47" s="1"/>
  <c r="D296" i="48"/>
  <c r="F297" i="48" s="1"/>
  <c r="N296" i="48"/>
  <c r="AI159" i="48"/>
  <c r="Z302" i="47"/>
  <c r="AH300" i="47"/>
  <c r="AK300" i="47"/>
  <c r="AL300" i="47" s="1"/>
  <c r="F302" i="47"/>
  <c r="G302" i="47"/>
  <c r="E302" i="47"/>
  <c r="E297" i="48" l="1"/>
  <c r="I297" i="48" s="1"/>
  <c r="G297" i="48"/>
  <c r="H297" i="48" s="1"/>
  <c r="R159" i="48"/>
  <c r="H302" i="47"/>
  <c r="AI301" i="47"/>
  <c r="I302" i="47"/>
  <c r="AJ301" i="47"/>
  <c r="AH301" i="47" s="1"/>
  <c r="P159" i="48" l="1"/>
  <c r="S159" i="48"/>
  <c r="T159" i="48" s="1"/>
  <c r="L297" i="48"/>
  <c r="M297" i="48" s="1"/>
  <c r="AI302" i="47"/>
  <c r="L302" i="47"/>
  <c r="D302" i="47" s="1"/>
  <c r="M302" i="47"/>
  <c r="AK301" i="47"/>
  <c r="AL301" i="47" s="1"/>
  <c r="N302" i="47" l="1"/>
  <c r="R302" i="47" s="1"/>
  <c r="D297" i="48"/>
  <c r="G298" i="48" s="1"/>
  <c r="F298" i="48"/>
  <c r="E298" i="48"/>
  <c r="N297" i="48"/>
  <c r="AA159" i="48"/>
  <c r="Q160" i="48"/>
  <c r="F303" i="47"/>
  <c r="G303" i="47"/>
  <c r="E303" i="47"/>
  <c r="P302" i="47"/>
  <c r="S302" i="47"/>
  <c r="T302" i="47" s="1"/>
  <c r="H298" i="48" l="1"/>
  <c r="Y159" i="48"/>
  <c r="AB159" i="48"/>
  <c r="AC159" i="48" s="1"/>
  <c r="I298" i="48"/>
  <c r="AA302" i="47"/>
  <c r="Q303" i="47"/>
  <c r="H303" i="47"/>
  <c r="I303" i="47"/>
  <c r="L298" i="48" l="1"/>
  <c r="M298" i="48" s="1"/>
  <c r="AJ159" i="48"/>
  <c r="Z160" i="48"/>
  <c r="Y302" i="47"/>
  <c r="AB302" i="47"/>
  <c r="AC302" i="47" s="1"/>
  <c r="L303" i="47"/>
  <c r="M303" i="47" s="1"/>
  <c r="D303" i="47"/>
  <c r="D298" i="48" l="1"/>
  <c r="F299" i="48" s="1"/>
  <c r="N298" i="48"/>
  <c r="AH159" i="48"/>
  <c r="AK159" i="48"/>
  <c r="AL159" i="48" s="1"/>
  <c r="AJ302" i="47"/>
  <c r="Z303" i="47"/>
  <c r="G304" i="47"/>
  <c r="F304" i="47"/>
  <c r="H304" i="47" s="1"/>
  <c r="E304" i="47"/>
  <c r="N303" i="47"/>
  <c r="R303" i="47" s="1"/>
  <c r="E299" i="48" l="1"/>
  <c r="G299" i="48"/>
  <c r="H299" i="48" s="1"/>
  <c r="AI160" i="48"/>
  <c r="I299" i="48"/>
  <c r="AH302" i="47"/>
  <c r="AK302" i="47"/>
  <c r="AL302" i="47" s="1"/>
  <c r="P303" i="47"/>
  <c r="S303" i="47"/>
  <c r="T303" i="47" s="1"/>
  <c r="I304" i="47"/>
  <c r="L299" i="48" l="1"/>
  <c r="N299" i="48" s="1"/>
  <c r="R160" i="48"/>
  <c r="M299" i="48"/>
  <c r="AI303" i="47"/>
  <c r="L304" i="47"/>
  <c r="M304" i="47" s="1"/>
  <c r="D304" i="47"/>
  <c r="AA303" i="47"/>
  <c r="Q304" i="47"/>
  <c r="D299" i="48" l="1"/>
  <c r="G300" i="48" s="1"/>
  <c r="P160" i="48"/>
  <c r="S160" i="48"/>
  <c r="T160" i="48" s="1"/>
  <c r="N304" i="47"/>
  <c r="R304" i="47" s="1"/>
  <c r="P304" i="47" s="1"/>
  <c r="F305" i="47"/>
  <c r="G305" i="47"/>
  <c r="E305" i="47"/>
  <c r="Y303" i="47"/>
  <c r="AB303" i="47"/>
  <c r="AC303" i="47" s="1"/>
  <c r="E300" i="48" l="1"/>
  <c r="F300" i="48"/>
  <c r="H300" i="48" s="1"/>
  <c r="AA160" i="48"/>
  <c r="Q161" i="48"/>
  <c r="I300" i="48"/>
  <c r="AA304" i="47"/>
  <c r="Q305" i="47"/>
  <c r="S304" i="47"/>
  <c r="T304" i="47" s="1"/>
  <c r="I305" i="47"/>
  <c r="AJ303" i="47"/>
  <c r="Y304" i="47"/>
  <c r="Z304" i="47"/>
  <c r="AB304" i="47" s="1"/>
  <c r="AC304" i="47" s="1"/>
  <c r="H305" i="47"/>
  <c r="Y160" i="48" l="1"/>
  <c r="AB160" i="48"/>
  <c r="AC160" i="48" s="1"/>
  <c r="L300" i="48"/>
  <c r="D300" i="48" s="1"/>
  <c r="L305" i="47"/>
  <c r="N305" i="47" s="1"/>
  <c r="R305" i="47" s="1"/>
  <c r="AH303" i="47"/>
  <c r="AK303" i="47"/>
  <c r="AL303" i="47" s="1"/>
  <c r="M305" i="47"/>
  <c r="AJ304" i="47"/>
  <c r="Z305" i="47"/>
  <c r="M300" i="48" l="1"/>
  <c r="N300" i="48"/>
  <c r="F301" i="48"/>
  <c r="G301" i="48"/>
  <c r="E301" i="48"/>
  <c r="AJ160" i="48"/>
  <c r="Z161" i="48"/>
  <c r="P305" i="47"/>
  <c r="S305" i="47"/>
  <c r="T305" i="47" s="1"/>
  <c r="AI304" i="47"/>
  <c r="AK304" i="47" s="1"/>
  <c r="AL304" i="47" s="1"/>
  <c r="AH304" i="47"/>
  <c r="D305" i="47"/>
  <c r="AH160" i="48" l="1"/>
  <c r="AK160" i="48"/>
  <c r="AL160" i="48" s="1"/>
  <c r="I301" i="48"/>
  <c r="H301" i="48"/>
  <c r="F306" i="47"/>
  <c r="G306" i="47"/>
  <c r="E306" i="47"/>
  <c r="AI305" i="47"/>
  <c r="AA305" i="47"/>
  <c r="Q306" i="47"/>
  <c r="L301" i="48" l="1"/>
  <c r="M301" i="48" s="1"/>
  <c r="AI161" i="48"/>
  <c r="Y305" i="47"/>
  <c r="AB305" i="47"/>
  <c r="AC305" i="47" s="1"/>
  <c r="I306" i="47"/>
  <c r="H306" i="47"/>
  <c r="D301" i="48" l="1"/>
  <c r="N301" i="48"/>
  <c r="G302" i="48"/>
  <c r="F302" i="48"/>
  <c r="E302" i="48"/>
  <c r="R161" i="48"/>
  <c r="AJ305" i="47"/>
  <c r="Z306" i="47"/>
  <c r="L306" i="47"/>
  <c r="N306" i="47" s="1"/>
  <c r="R306" i="47" s="1"/>
  <c r="M306" i="47" l="1"/>
  <c r="H302" i="48"/>
  <c r="P161" i="48"/>
  <c r="S161" i="48"/>
  <c r="T161" i="48" s="1"/>
  <c r="I302" i="48"/>
  <c r="P306" i="47"/>
  <c r="S306" i="47"/>
  <c r="T306" i="47" s="1"/>
  <c r="AH305" i="47"/>
  <c r="AK305" i="47"/>
  <c r="AL305" i="47" s="1"/>
  <c r="D306" i="47"/>
  <c r="L302" i="48" l="1"/>
  <c r="N302" i="48" s="1"/>
  <c r="AA161" i="48"/>
  <c r="Q162" i="48"/>
  <c r="AI306" i="47"/>
  <c r="F307" i="47"/>
  <c r="G307" i="47"/>
  <c r="E307" i="47"/>
  <c r="I307" i="47" s="1"/>
  <c r="AA306" i="47"/>
  <c r="Q307" i="47"/>
  <c r="M302" i="48" l="1"/>
  <c r="Y161" i="48"/>
  <c r="AB161" i="48"/>
  <c r="AC161" i="48" s="1"/>
  <c r="D302" i="48"/>
  <c r="L307" i="47"/>
  <c r="N307" i="47" s="1"/>
  <c r="R307" i="47" s="1"/>
  <c r="M307" i="47"/>
  <c r="Y306" i="47"/>
  <c r="AB306" i="47"/>
  <c r="AC306" i="47" s="1"/>
  <c r="D307" i="47"/>
  <c r="H307" i="47"/>
  <c r="AJ161" i="48" l="1"/>
  <c r="Z162" i="48"/>
  <c r="G303" i="48"/>
  <c r="F303" i="48"/>
  <c r="H303" i="48" s="1"/>
  <c r="E303" i="48"/>
  <c r="P307" i="47"/>
  <c r="AA307" i="47" s="1"/>
  <c r="S307" i="47"/>
  <c r="T307" i="47" s="1"/>
  <c r="AJ306" i="47"/>
  <c r="Z307" i="47"/>
  <c r="AB307" i="47" s="1"/>
  <c r="AC307" i="47" s="1"/>
  <c r="Y307" i="47"/>
  <c r="AH161" i="48" l="1"/>
  <c r="AK161" i="48"/>
  <c r="AL161" i="48" s="1"/>
  <c r="I303" i="48"/>
  <c r="AC21" i="47"/>
  <c r="AH306" i="47"/>
  <c r="AK306" i="47"/>
  <c r="AL306" i="47" s="1"/>
  <c r="T21" i="47"/>
  <c r="AJ307" i="47"/>
  <c r="AI162" i="48" l="1"/>
  <c r="L303" i="48"/>
  <c r="M303" i="48" s="1"/>
  <c r="D303" i="48"/>
  <c r="AH307" i="47"/>
  <c r="AI307" i="47"/>
  <c r="AK307" i="47" s="1"/>
  <c r="AL307" i="47" s="1"/>
  <c r="AE23" i="47"/>
  <c r="AE24" i="47"/>
  <c r="AE25" i="47"/>
  <c r="AE26" i="47"/>
  <c r="AE27" i="47"/>
  <c r="AE28" i="47"/>
  <c r="AE29" i="47"/>
  <c r="AE30" i="47"/>
  <c r="AE31" i="47"/>
  <c r="AE32" i="47"/>
  <c r="AE33" i="47"/>
  <c r="AE34" i="47"/>
  <c r="AE35" i="47"/>
  <c r="AE36" i="47"/>
  <c r="AE37" i="47"/>
  <c r="AE38" i="47"/>
  <c r="AE39" i="47"/>
  <c r="AE40" i="47"/>
  <c r="AE41" i="47"/>
  <c r="AE42" i="47"/>
  <c r="AE43" i="47"/>
  <c r="AE44" i="47"/>
  <c r="AE45" i="47"/>
  <c r="AE46" i="47"/>
  <c r="AE47" i="47"/>
  <c r="AE48" i="47"/>
  <c r="AE49" i="47"/>
  <c r="AE50" i="47"/>
  <c r="AE51" i="47"/>
  <c r="AE52" i="47"/>
  <c r="AE53" i="47"/>
  <c r="AE54" i="47"/>
  <c r="AE55" i="47"/>
  <c r="AE56" i="47"/>
  <c r="AE57" i="47"/>
  <c r="AE58" i="47"/>
  <c r="AE59" i="47"/>
  <c r="AE60" i="47"/>
  <c r="AE61" i="47"/>
  <c r="AE62" i="47"/>
  <c r="AE63" i="47"/>
  <c r="AE64" i="47"/>
  <c r="AE65" i="47"/>
  <c r="AE66" i="47"/>
  <c r="AE67" i="47"/>
  <c r="AE68" i="47"/>
  <c r="AE69" i="47"/>
  <c r="AE70" i="47"/>
  <c r="AE71" i="47"/>
  <c r="AE72" i="47"/>
  <c r="AE73" i="47"/>
  <c r="AE74" i="47"/>
  <c r="AE75" i="47"/>
  <c r="AE76" i="47"/>
  <c r="AE77" i="47"/>
  <c r="AE78" i="47"/>
  <c r="AE79" i="47"/>
  <c r="AE80" i="47"/>
  <c r="AE81" i="47"/>
  <c r="AE82" i="47"/>
  <c r="AE83" i="47"/>
  <c r="AE84" i="47"/>
  <c r="AE85" i="47"/>
  <c r="AE86" i="47"/>
  <c r="AE87" i="47"/>
  <c r="AE88" i="47"/>
  <c r="AE89" i="47"/>
  <c r="AE90" i="47"/>
  <c r="AE91" i="47"/>
  <c r="AE92" i="47"/>
  <c r="AE93" i="47"/>
  <c r="AE94" i="47"/>
  <c r="AE95" i="47"/>
  <c r="AE96" i="47"/>
  <c r="AE97" i="47"/>
  <c r="AE98" i="47"/>
  <c r="AE99" i="47"/>
  <c r="AE100" i="47"/>
  <c r="AE101" i="47"/>
  <c r="AE102" i="47"/>
  <c r="AE103" i="47"/>
  <c r="AE104" i="47"/>
  <c r="AE105" i="47"/>
  <c r="AE106" i="47"/>
  <c r="AE107" i="47"/>
  <c r="AE108" i="47"/>
  <c r="AE109" i="47"/>
  <c r="AE110" i="47"/>
  <c r="AE111" i="47"/>
  <c r="AE112" i="47"/>
  <c r="AE113" i="47"/>
  <c r="AE114" i="47"/>
  <c r="AE115" i="47"/>
  <c r="AE116" i="47"/>
  <c r="AE117" i="47"/>
  <c r="AE118" i="47"/>
  <c r="AE119" i="47"/>
  <c r="AE120" i="47"/>
  <c r="AE121" i="47"/>
  <c r="AE122" i="47"/>
  <c r="AE123" i="47"/>
  <c r="AE124" i="47"/>
  <c r="AE125" i="47"/>
  <c r="AE126" i="47"/>
  <c r="AE127" i="47"/>
  <c r="AE128" i="47"/>
  <c r="AE129" i="47"/>
  <c r="AE130" i="47"/>
  <c r="AE131" i="47"/>
  <c r="AE132" i="47"/>
  <c r="AE133" i="47"/>
  <c r="AE134" i="47"/>
  <c r="AE135" i="47"/>
  <c r="AE136" i="47"/>
  <c r="AE137" i="47"/>
  <c r="AE138" i="47"/>
  <c r="AE139" i="47"/>
  <c r="AE140" i="47"/>
  <c r="AE141" i="47"/>
  <c r="AE142" i="47"/>
  <c r="AE143" i="47"/>
  <c r="AE144" i="47"/>
  <c r="AE145" i="47"/>
  <c r="AE146" i="47"/>
  <c r="AE147" i="47"/>
  <c r="AE148" i="47"/>
  <c r="AE149" i="47"/>
  <c r="AE150" i="47"/>
  <c r="AE151" i="47"/>
  <c r="AE152" i="47"/>
  <c r="AE153" i="47"/>
  <c r="AE154" i="47"/>
  <c r="AE155" i="47"/>
  <c r="AE156" i="47"/>
  <c r="AE157" i="47"/>
  <c r="AE158" i="47"/>
  <c r="AE159" i="47"/>
  <c r="AE160" i="47"/>
  <c r="AE161" i="47"/>
  <c r="AE162" i="47"/>
  <c r="AE163" i="47"/>
  <c r="AE164" i="47"/>
  <c r="AE165" i="47"/>
  <c r="AE166" i="47"/>
  <c r="AE167" i="47"/>
  <c r="AE168" i="47"/>
  <c r="AE169" i="47"/>
  <c r="AE170" i="47"/>
  <c r="AE171" i="47"/>
  <c r="AE172" i="47"/>
  <c r="AE173" i="47"/>
  <c r="AE174" i="47"/>
  <c r="AE175" i="47"/>
  <c r="AE176" i="47"/>
  <c r="AE177" i="47"/>
  <c r="AE178" i="47"/>
  <c r="AE179" i="47"/>
  <c r="AE180" i="47"/>
  <c r="AE181" i="47"/>
  <c r="AE182" i="47"/>
  <c r="AE183" i="47"/>
  <c r="AE184" i="47"/>
  <c r="AE185" i="47"/>
  <c r="AE186" i="47"/>
  <c r="AE187" i="47"/>
  <c r="AE188" i="47"/>
  <c r="AE189" i="47"/>
  <c r="AE190" i="47"/>
  <c r="AE191" i="47"/>
  <c r="AE192" i="47"/>
  <c r="AE193" i="47"/>
  <c r="AE194" i="47"/>
  <c r="AE195" i="47"/>
  <c r="AE196" i="47"/>
  <c r="AE197" i="47"/>
  <c r="AE198" i="47"/>
  <c r="AE199" i="47"/>
  <c r="AE200" i="47"/>
  <c r="AE201" i="47"/>
  <c r="AE202" i="47"/>
  <c r="AE203" i="47"/>
  <c r="AE204" i="47"/>
  <c r="AE205" i="47"/>
  <c r="AE206" i="47"/>
  <c r="AE207" i="47"/>
  <c r="AE208" i="47"/>
  <c r="AE209" i="47"/>
  <c r="AE210" i="47"/>
  <c r="AE211" i="47"/>
  <c r="AE212" i="47"/>
  <c r="AE213" i="47"/>
  <c r="AE214" i="47"/>
  <c r="AE215" i="47"/>
  <c r="AE216" i="47"/>
  <c r="AE217" i="47"/>
  <c r="AE218" i="47"/>
  <c r="AE219" i="47"/>
  <c r="AE220" i="47"/>
  <c r="AE221" i="47"/>
  <c r="AE222" i="47"/>
  <c r="AE223" i="47"/>
  <c r="AE224" i="47"/>
  <c r="AE225" i="47"/>
  <c r="AE226" i="47"/>
  <c r="AE227" i="47"/>
  <c r="AE228" i="47"/>
  <c r="AE229" i="47"/>
  <c r="AE230" i="47"/>
  <c r="AE231" i="47"/>
  <c r="AE232" i="47"/>
  <c r="AE233" i="47"/>
  <c r="AE234" i="47"/>
  <c r="AE235" i="47"/>
  <c r="AE236" i="47"/>
  <c r="AE237" i="47"/>
  <c r="AE238" i="47"/>
  <c r="AE239" i="47"/>
  <c r="AE240" i="47"/>
  <c r="AE241" i="47"/>
  <c r="AE242" i="47"/>
  <c r="AE243" i="47"/>
  <c r="AE244" i="47"/>
  <c r="AE245" i="47"/>
  <c r="AE246" i="47"/>
  <c r="AE247" i="47"/>
  <c r="AE248" i="47"/>
  <c r="AE249" i="47"/>
  <c r="AE250" i="47"/>
  <c r="AE251" i="47"/>
  <c r="AE252" i="47"/>
  <c r="AE253" i="47"/>
  <c r="AE254" i="47"/>
  <c r="AE255" i="47"/>
  <c r="AE256" i="47"/>
  <c r="AE257" i="47"/>
  <c r="AE258" i="47"/>
  <c r="AE259" i="47"/>
  <c r="AE260" i="47"/>
  <c r="AE261" i="47"/>
  <c r="AE262" i="47"/>
  <c r="AE263" i="47"/>
  <c r="AE264" i="47"/>
  <c r="AE265" i="47"/>
  <c r="AE266" i="47"/>
  <c r="AE267" i="47"/>
  <c r="AE268" i="47"/>
  <c r="AE269" i="47"/>
  <c r="AE270" i="47"/>
  <c r="AE271" i="47"/>
  <c r="AE272" i="47"/>
  <c r="AE273" i="47"/>
  <c r="AE274" i="47"/>
  <c r="AE275" i="47"/>
  <c r="AE276" i="47"/>
  <c r="AE277" i="47"/>
  <c r="AE278" i="47"/>
  <c r="AE279" i="47"/>
  <c r="AE280" i="47"/>
  <c r="AE281" i="47"/>
  <c r="AE282" i="47"/>
  <c r="AE283" i="47"/>
  <c r="AE284" i="47"/>
  <c r="AE285" i="47"/>
  <c r="AE286" i="47"/>
  <c r="AE287" i="47"/>
  <c r="AE288" i="47"/>
  <c r="AE289" i="47"/>
  <c r="AE290" i="47"/>
  <c r="AE291" i="47"/>
  <c r="AE292" i="47"/>
  <c r="AE293" i="47"/>
  <c r="AE294" i="47"/>
  <c r="AE295" i="47"/>
  <c r="AE296" i="47"/>
  <c r="AE297" i="47"/>
  <c r="AE298" i="47"/>
  <c r="AE299" i="47"/>
  <c r="AE300" i="47"/>
  <c r="AE301" i="47"/>
  <c r="AE302" i="47"/>
  <c r="AE303" i="47"/>
  <c r="AE304" i="47"/>
  <c r="AE305" i="47"/>
  <c r="AE306" i="47"/>
  <c r="V23" i="47"/>
  <c r="V24" i="47"/>
  <c r="V25" i="47"/>
  <c r="V26" i="47"/>
  <c r="V27" i="47"/>
  <c r="V28" i="47"/>
  <c r="V29" i="47"/>
  <c r="V30" i="47"/>
  <c r="V31" i="47"/>
  <c r="V32" i="47"/>
  <c r="V33" i="47"/>
  <c r="V34" i="47"/>
  <c r="V35" i="47"/>
  <c r="V36" i="47"/>
  <c r="V37" i="47"/>
  <c r="V38" i="47"/>
  <c r="V39" i="47"/>
  <c r="V40" i="47"/>
  <c r="V41" i="47"/>
  <c r="V42" i="47"/>
  <c r="V43" i="47"/>
  <c r="V44" i="47"/>
  <c r="V45" i="47"/>
  <c r="V46" i="47"/>
  <c r="V47" i="47"/>
  <c r="V48" i="47"/>
  <c r="V49" i="47"/>
  <c r="V50" i="47"/>
  <c r="V51" i="47"/>
  <c r="V52" i="47"/>
  <c r="V53" i="47"/>
  <c r="V54" i="47"/>
  <c r="V55" i="47"/>
  <c r="V56" i="47"/>
  <c r="V57" i="47"/>
  <c r="V58" i="47"/>
  <c r="V59" i="47"/>
  <c r="V60" i="47"/>
  <c r="V61" i="47"/>
  <c r="V62" i="47"/>
  <c r="V63" i="47"/>
  <c r="V64" i="47"/>
  <c r="V65" i="47"/>
  <c r="V66" i="47"/>
  <c r="V67" i="47"/>
  <c r="V68" i="47"/>
  <c r="V69" i="47"/>
  <c r="V70" i="47"/>
  <c r="V71" i="47"/>
  <c r="V72" i="47"/>
  <c r="V73" i="47"/>
  <c r="V74" i="47"/>
  <c r="V75" i="47"/>
  <c r="V76" i="47"/>
  <c r="V77" i="47"/>
  <c r="V78" i="47"/>
  <c r="V79" i="47"/>
  <c r="V80" i="47"/>
  <c r="V81" i="47"/>
  <c r="V82" i="47"/>
  <c r="V83" i="47"/>
  <c r="V84" i="47"/>
  <c r="V85" i="47"/>
  <c r="V86" i="47"/>
  <c r="V87" i="47"/>
  <c r="V88" i="47"/>
  <c r="V89" i="47"/>
  <c r="V90" i="47"/>
  <c r="V91" i="47"/>
  <c r="V92" i="47"/>
  <c r="V93" i="47"/>
  <c r="V94" i="47"/>
  <c r="V95" i="47"/>
  <c r="V96" i="47"/>
  <c r="V97" i="47"/>
  <c r="V98" i="47"/>
  <c r="V99" i="47"/>
  <c r="V100" i="47"/>
  <c r="V101" i="47"/>
  <c r="V102" i="47"/>
  <c r="V103" i="47"/>
  <c r="V104" i="47"/>
  <c r="V105" i="47"/>
  <c r="V106" i="47"/>
  <c r="V107" i="47"/>
  <c r="V108" i="47"/>
  <c r="V109" i="47"/>
  <c r="V110" i="47"/>
  <c r="V111" i="47"/>
  <c r="V112" i="47"/>
  <c r="V113" i="47"/>
  <c r="V114" i="47"/>
  <c r="V115" i="47"/>
  <c r="V116" i="47"/>
  <c r="V117" i="47"/>
  <c r="V118" i="47"/>
  <c r="V119" i="47"/>
  <c r="V120" i="47"/>
  <c r="V121" i="47"/>
  <c r="V122" i="47"/>
  <c r="V123" i="47"/>
  <c r="V124" i="47"/>
  <c r="V125" i="47"/>
  <c r="V126" i="47"/>
  <c r="V127" i="47"/>
  <c r="V128" i="47"/>
  <c r="V129" i="47"/>
  <c r="V130" i="47"/>
  <c r="V131" i="47"/>
  <c r="V132" i="47"/>
  <c r="V133" i="47"/>
  <c r="V134" i="47"/>
  <c r="V135" i="47"/>
  <c r="V136" i="47"/>
  <c r="V137" i="47"/>
  <c r="V138" i="47"/>
  <c r="V139" i="47"/>
  <c r="V140" i="47"/>
  <c r="V141" i="47"/>
  <c r="V142" i="47"/>
  <c r="V143" i="47"/>
  <c r="V144" i="47"/>
  <c r="V145" i="47"/>
  <c r="V146" i="47"/>
  <c r="V147" i="47"/>
  <c r="V148" i="47"/>
  <c r="V149" i="47"/>
  <c r="V150" i="47"/>
  <c r="V151" i="47"/>
  <c r="V152" i="47"/>
  <c r="V153" i="47"/>
  <c r="V154" i="47"/>
  <c r="V155" i="47"/>
  <c r="V156" i="47"/>
  <c r="V157" i="47"/>
  <c r="V158" i="47"/>
  <c r="V159" i="47"/>
  <c r="V160" i="47"/>
  <c r="V161" i="47"/>
  <c r="V162" i="47"/>
  <c r="V163" i="47"/>
  <c r="V164" i="47"/>
  <c r="V165" i="47"/>
  <c r="V166" i="47"/>
  <c r="V167" i="47"/>
  <c r="V168" i="47"/>
  <c r="V169" i="47"/>
  <c r="V170" i="47"/>
  <c r="V171" i="47"/>
  <c r="V172" i="47"/>
  <c r="V173" i="47"/>
  <c r="V174" i="47"/>
  <c r="V175" i="47"/>
  <c r="V176" i="47"/>
  <c r="V177" i="47"/>
  <c r="V178" i="47"/>
  <c r="V179" i="47"/>
  <c r="V180" i="47"/>
  <c r="V181" i="47"/>
  <c r="V182" i="47"/>
  <c r="V183" i="47"/>
  <c r="V184" i="47"/>
  <c r="V185" i="47"/>
  <c r="V186" i="47"/>
  <c r="V187" i="47"/>
  <c r="V188" i="47"/>
  <c r="V189" i="47"/>
  <c r="V190" i="47"/>
  <c r="V191" i="47"/>
  <c r="V192" i="47"/>
  <c r="V193" i="47"/>
  <c r="V194" i="47"/>
  <c r="V195" i="47"/>
  <c r="V196" i="47"/>
  <c r="V197" i="47"/>
  <c r="V198" i="47"/>
  <c r="V199" i="47"/>
  <c r="V200" i="47"/>
  <c r="V201" i="47"/>
  <c r="V202" i="47"/>
  <c r="V203" i="47"/>
  <c r="V204" i="47"/>
  <c r="V205" i="47"/>
  <c r="V206" i="47"/>
  <c r="V207" i="47"/>
  <c r="V208" i="47"/>
  <c r="V209" i="47"/>
  <c r="V210" i="47"/>
  <c r="V211" i="47"/>
  <c r="V212" i="47"/>
  <c r="V213" i="47"/>
  <c r="V214" i="47"/>
  <c r="V215" i="47"/>
  <c r="V216" i="47"/>
  <c r="V217" i="47"/>
  <c r="V218" i="47"/>
  <c r="V219" i="47"/>
  <c r="V220" i="47"/>
  <c r="V221" i="47"/>
  <c r="V222" i="47"/>
  <c r="V223" i="47"/>
  <c r="V224" i="47"/>
  <c r="V225" i="47"/>
  <c r="V226" i="47"/>
  <c r="V227" i="47"/>
  <c r="V228" i="47"/>
  <c r="V229" i="47"/>
  <c r="V230" i="47"/>
  <c r="V231" i="47"/>
  <c r="V232" i="47"/>
  <c r="V233" i="47"/>
  <c r="V234" i="47"/>
  <c r="V235" i="47"/>
  <c r="V236" i="47"/>
  <c r="V237" i="47"/>
  <c r="V238" i="47"/>
  <c r="V239" i="47"/>
  <c r="V240" i="47"/>
  <c r="V241" i="47"/>
  <c r="V242" i="47"/>
  <c r="V243" i="47"/>
  <c r="V244" i="47"/>
  <c r="V245" i="47"/>
  <c r="V246" i="47"/>
  <c r="V247" i="47"/>
  <c r="V248" i="47"/>
  <c r="V249" i="47"/>
  <c r="V250" i="47"/>
  <c r="V251" i="47"/>
  <c r="V252" i="47"/>
  <c r="V253" i="47"/>
  <c r="V254" i="47"/>
  <c r="V255" i="47"/>
  <c r="V256" i="47"/>
  <c r="V257" i="47"/>
  <c r="V258" i="47"/>
  <c r="V259" i="47"/>
  <c r="V260" i="47"/>
  <c r="V261" i="47"/>
  <c r="V262" i="47"/>
  <c r="V263" i="47"/>
  <c r="V264" i="47"/>
  <c r="V265" i="47"/>
  <c r="V266" i="47"/>
  <c r="V267" i="47"/>
  <c r="V268" i="47"/>
  <c r="V269" i="47"/>
  <c r="V270" i="47"/>
  <c r="V271" i="47"/>
  <c r="V272" i="47"/>
  <c r="V273" i="47"/>
  <c r="V274" i="47"/>
  <c r="V275" i="47"/>
  <c r="V276" i="47"/>
  <c r="V277" i="47"/>
  <c r="V278" i="47"/>
  <c r="V279" i="47"/>
  <c r="V280" i="47"/>
  <c r="V281" i="47"/>
  <c r="V282" i="47"/>
  <c r="V283" i="47"/>
  <c r="V284" i="47"/>
  <c r="V285" i="47"/>
  <c r="V286" i="47"/>
  <c r="V287" i="47"/>
  <c r="V288" i="47"/>
  <c r="V289" i="47"/>
  <c r="V290" i="47"/>
  <c r="V291" i="47"/>
  <c r="V292" i="47"/>
  <c r="V293" i="47"/>
  <c r="V294" i="47"/>
  <c r="V295" i="47"/>
  <c r="V296" i="47"/>
  <c r="V297" i="47"/>
  <c r="V298" i="47"/>
  <c r="V299" i="47"/>
  <c r="V300" i="47"/>
  <c r="V301" i="47"/>
  <c r="V302" i="47"/>
  <c r="V303" i="47"/>
  <c r="V304" i="47"/>
  <c r="V305" i="47"/>
  <c r="V306" i="47"/>
  <c r="V307" i="47"/>
  <c r="AE307" i="47"/>
  <c r="N303" i="48" l="1"/>
  <c r="G304" i="48"/>
  <c r="F304" i="48"/>
  <c r="E304" i="48"/>
  <c r="R162" i="48"/>
  <c r="V18" i="47"/>
  <c r="W18" i="47"/>
  <c r="V16" i="47"/>
  <c r="AE18" i="47"/>
  <c r="AF18" i="47"/>
  <c r="AE16" i="47"/>
  <c r="AL21" i="47"/>
  <c r="AN307" i="47" s="1"/>
  <c r="P162" i="48" l="1"/>
  <c r="S162" i="48"/>
  <c r="T162" i="48" s="1"/>
  <c r="I304" i="48"/>
  <c r="H304" i="48"/>
  <c r="AN23" i="47"/>
  <c r="AN24" i="47"/>
  <c r="AN25" i="47"/>
  <c r="AN26" i="47"/>
  <c r="AN27" i="47"/>
  <c r="AN28" i="47"/>
  <c r="AN29" i="47"/>
  <c r="AN30" i="47"/>
  <c r="AN31" i="47"/>
  <c r="AN32" i="47"/>
  <c r="AN33" i="47"/>
  <c r="AN34" i="47"/>
  <c r="AN35" i="47"/>
  <c r="AN36" i="47"/>
  <c r="AN37" i="47"/>
  <c r="AN38" i="47"/>
  <c r="AN39" i="47"/>
  <c r="AN40" i="47"/>
  <c r="AN41" i="47"/>
  <c r="AN42" i="47"/>
  <c r="AN43" i="47"/>
  <c r="AN44" i="47"/>
  <c r="AN45" i="47"/>
  <c r="AN46" i="47"/>
  <c r="AN47" i="47"/>
  <c r="AN48" i="47"/>
  <c r="AN49" i="47"/>
  <c r="AN50" i="47"/>
  <c r="AN51" i="47"/>
  <c r="AN52" i="47"/>
  <c r="AN53" i="47"/>
  <c r="AN54" i="47"/>
  <c r="AN55" i="47"/>
  <c r="AN56" i="47"/>
  <c r="AN57" i="47"/>
  <c r="AN58" i="47"/>
  <c r="AN59" i="47"/>
  <c r="AN60" i="47"/>
  <c r="AN61" i="47"/>
  <c r="AN62" i="47"/>
  <c r="AN63" i="47"/>
  <c r="AN64" i="47"/>
  <c r="AN65" i="47"/>
  <c r="AN66" i="47"/>
  <c r="AN67" i="47"/>
  <c r="AN68" i="47"/>
  <c r="AN69" i="47"/>
  <c r="AN70" i="47"/>
  <c r="AN71" i="47"/>
  <c r="AN72" i="47"/>
  <c r="AN73" i="47"/>
  <c r="AN74" i="47"/>
  <c r="AN75" i="47"/>
  <c r="AN76" i="47"/>
  <c r="AN77" i="47"/>
  <c r="AN78" i="47"/>
  <c r="AN79" i="47"/>
  <c r="AN80" i="47"/>
  <c r="AN81" i="47"/>
  <c r="AN82" i="47"/>
  <c r="AN83" i="47"/>
  <c r="AN84" i="47"/>
  <c r="AN85" i="47"/>
  <c r="AN86" i="47"/>
  <c r="AN87" i="47"/>
  <c r="AN88" i="47"/>
  <c r="AN89" i="47"/>
  <c r="AN90" i="47"/>
  <c r="AN91" i="47"/>
  <c r="AN92" i="47"/>
  <c r="AN93" i="47"/>
  <c r="AN94" i="47"/>
  <c r="AN95" i="47"/>
  <c r="AN96" i="47"/>
  <c r="AN97" i="47"/>
  <c r="AN98" i="47"/>
  <c r="AN99" i="47"/>
  <c r="AN100" i="47"/>
  <c r="AN101" i="47"/>
  <c r="AN102" i="47"/>
  <c r="AN103" i="47"/>
  <c r="AN104" i="47"/>
  <c r="AN105" i="47"/>
  <c r="AN106" i="47"/>
  <c r="AN107" i="47"/>
  <c r="AN108" i="47"/>
  <c r="AN109" i="47"/>
  <c r="AN110" i="47"/>
  <c r="AN111" i="47"/>
  <c r="AN112" i="47"/>
  <c r="AN113" i="47"/>
  <c r="AN114" i="47"/>
  <c r="AN115" i="47"/>
  <c r="AN116" i="47"/>
  <c r="AN117" i="47"/>
  <c r="AN118" i="47"/>
  <c r="AN119" i="47"/>
  <c r="AN120" i="47"/>
  <c r="AN121" i="47"/>
  <c r="AN122" i="47"/>
  <c r="AN123" i="47"/>
  <c r="AN124" i="47"/>
  <c r="AN125" i="47"/>
  <c r="AN126" i="47"/>
  <c r="AN127" i="47"/>
  <c r="AN128" i="47"/>
  <c r="AN129" i="47"/>
  <c r="AN130" i="47"/>
  <c r="AN131" i="47"/>
  <c r="AN132" i="47"/>
  <c r="AN133" i="47"/>
  <c r="AN134" i="47"/>
  <c r="AN135" i="47"/>
  <c r="AN136" i="47"/>
  <c r="AN137" i="47"/>
  <c r="AN138" i="47"/>
  <c r="AN139" i="47"/>
  <c r="AN140" i="47"/>
  <c r="AN141" i="47"/>
  <c r="AN142" i="47"/>
  <c r="AN143" i="47"/>
  <c r="AN144" i="47"/>
  <c r="AN145" i="47"/>
  <c r="AN146" i="47"/>
  <c r="AN147" i="47"/>
  <c r="AN148" i="47"/>
  <c r="AN149" i="47"/>
  <c r="AN150" i="47"/>
  <c r="AN151" i="47"/>
  <c r="AN152" i="47"/>
  <c r="AN153" i="47"/>
  <c r="AN154" i="47"/>
  <c r="AN155" i="47"/>
  <c r="AN156" i="47"/>
  <c r="AN157" i="47"/>
  <c r="AN158" i="47"/>
  <c r="AN159" i="47"/>
  <c r="AN160" i="47"/>
  <c r="AN161" i="47"/>
  <c r="AN162" i="47"/>
  <c r="AN163" i="47"/>
  <c r="AN164" i="47"/>
  <c r="AN165" i="47"/>
  <c r="AN166" i="47"/>
  <c r="AN167" i="47"/>
  <c r="AN168" i="47"/>
  <c r="AN169" i="47"/>
  <c r="AN170" i="47"/>
  <c r="AN171" i="47"/>
  <c r="AN172" i="47"/>
  <c r="AN173" i="47"/>
  <c r="AN174" i="47"/>
  <c r="AN175" i="47"/>
  <c r="AN176" i="47"/>
  <c r="AN177" i="47"/>
  <c r="AN178" i="47"/>
  <c r="AN179" i="47"/>
  <c r="AN180" i="47"/>
  <c r="AN181" i="47"/>
  <c r="AN182" i="47"/>
  <c r="AN183" i="47"/>
  <c r="AN184" i="47"/>
  <c r="AN185" i="47"/>
  <c r="AN186" i="47"/>
  <c r="AN187" i="47"/>
  <c r="AN188" i="47"/>
  <c r="AN189" i="47"/>
  <c r="AN190" i="47"/>
  <c r="AN191" i="47"/>
  <c r="AN192" i="47"/>
  <c r="AN193" i="47"/>
  <c r="AN194" i="47"/>
  <c r="AN195" i="47"/>
  <c r="AN196" i="47"/>
  <c r="AN197" i="47"/>
  <c r="AN198" i="47"/>
  <c r="AN199" i="47"/>
  <c r="AN200" i="47"/>
  <c r="AN201" i="47"/>
  <c r="AN202" i="47"/>
  <c r="AN203" i="47"/>
  <c r="AN204" i="47"/>
  <c r="AN205" i="47"/>
  <c r="AN206" i="47"/>
  <c r="AN207" i="47"/>
  <c r="AN208" i="47"/>
  <c r="AN209" i="47"/>
  <c r="AN210" i="47"/>
  <c r="AN211" i="47"/>
  <c r="AN212" i="47"/>
  <c r="AN213" i="47"/>
  <c r="AN214" i="47"/>
  <c r="AN215" i="47"/>
  <c r="AN216" i="47"/>
  <c r="AN217" i="47"/>
  <c r="AN218" i="47"/>
  <c r="AN219" i="47"/>
  <c r="AN220" i="47"/>
  <c r="AN221" i="47"/>
  <c r="AN222" i="47"/>
  <c r="AN223" i="47"/>
  <c r="AN224" i="47"/>
  <c r="AN225" i="47"/>
  <c r="AN226" i="47"/>
  <c r="AN227" i="47"/>
  <c r="AN228" i="47"/>
  <c r="AN229" i="47"/>
  <c r="AN230" i="47"/>
  <c r="AN231" i="47"/>
  <c r="AN232" i="47"/>
  <c r="AN233" i="47"/>
  <c r="AN234" i="47"/>
  <c r="AN235" i="47"/>
  <c r="AN236" i="47"/>
  <c r="AN237" i="47"/>
  <c r="AN238" i="47"/>
  <c r="AN239" i="47"/>
  <c r="AN240" i="47"/>
  <c r="AN241" i="47"/>
  <c r="AN242" i="47"/>
  <c r="AN243" i="47"/>
  <c r="AN244" i="47"/>
  <c r="AN245" i="47"/>
  <c r="AN246" i="47"/>
  <c r="AN247" i="47"/>
  <c r="AN248" i="47"/>
  <c r="AN249" i="47"/>
  <c r="AN250" i="47"/>
  <c r="AN251" i="47"/>
  <c r="AN252" i="47"/>
  <c r="AN253" i="47"/>
  <c r="AN254" i="47"/>
  <c r="AN255" i="47"/>
  <c r="AN256" i="47"/>
  <c r="AN257" i="47"/>
  <c r="AN258" i="47"/>
  <c r="AN259" i="47"/>
  <c r="AN260" i="47"/>
  <c r="AN261" i="47"/>
  <c r="AN262" i="47"/>
  <c r="AN263" i="47"/>
  <c r="AN264" i="47"/>
  <c r="AN265" i="47"/>
  <c r="AN266" i="47"/>
  <c r="AN267" i="47"/>
  <c r="AN268" i="47"/>
  <c r="AN269" i="47"/>
  <c r="AN270" i="47"/>
  <c r="AN271" i="47"/>
  <c r="AN272" i="47"/>
  <c r="AN273" i="47"/>
  <c r="AN274" i="47"/>
  <c r="AN275" i="47"/>
  <c r="AN276" i="47"/>
  <c r="AN277" i="47"/>
  <c r="AN278" i="47"/>
  <c r="AN279" i="47"/>
  <c r="AN280" i="47"/>
  <c r="AN281" i="47"/>
  <c r="AN282" i="47"/>
  <c r="AN283" i="47"/>
  <c r="AN284" i="47"/>
  <c r="AN285" i="47"/>
  <c r="AN286" i="47"/>
  <c r="AN287" i="47"/>
  <c r="AN288" i="47"/>
  <c r="AN289" i="47"/>
  <c r="AN290" i="47"/>
  <c r="AN291" i="47"/>
  <c r="AN292" i="47"/>
  <c r="AN293" i="47"/>
  <c r="AN294" i="47"/>
  <c r="AN295" i="47"/>
  <c r="AN296" i="47"/>
  <c r="AN297" i="47"/>
  <c r="AN298" i="47"/>
  <c r="AN299" i="47"/>
  <c r="AN300" i="47"/>
  <c r="AN301" i="47"/>
  <c r="AN302" i="47"/>
  <c r="AN303" i="47"/>
  <c r="AN304" i="47"/>
  <c r="AN305" i="47"/>
  <c r="AN306" i="47"/>
  <c r="L304" i="48" l="1"/>
  <c r="N304" i="48" s="1"/>
  <c r="AA162" i="48"/>
  <c r="Q163" i="48"/>
  <c r="AN18" i="47"/>
  <c r="AO18" i="47"/>
  <c r="AN16" i="47"/>
  <c r="M304" i="48" l="1"/>
  <c r="D304" i="48"/>
  <c r="G305" i="48" s="1"/>
  <c r="Y162" i="48"/>
  <c r="AB162" i="48"/>
  <c r="AC162" i="48" s="1"/>
  <c r="F305" i="48" l="1"/>
  <c r="E305" i="48"/>
  <c r="AJ162" i="48"/>
  <c r="Z163" i="48"/>
  <c r="I305" i="48"/>
  <c r="H305" i="48"/>
  <c r="AH162" i="48" l="1"/>
  <c r="AK162" i="48"/>
  <c r="AL162" i="48" s="1"/>
  <c r="L305" i="48"/>
  <c r="N305" i="48" s="1"/>
  <c r="M305" i="48" l="1"/>
  <c r="D305" i="48"/>
  <c r="G306" i="48" s="1"/>
  <c r="F306" i="48"/>
  <c r="E306" i="48"/>
  <c r="AI163" i="48"/>
  <c r="I306" i="48" l="1"/>
  <c r="R163" i="48"/>
  <c r="H306" i="48"/>
  <c r="L306" i="48" l="1"/>
  <c r="N306" i="48" s="1"/>
  <c r="P163" i="48"/>
  <c r="S163" i="48"/>
  <c r="T163" i="48" s="1"/>
  <c r="M306" i="48" l="1"/>
  <c r="D306" i="48"/>
  <c r="G307" i="48" s="1"/>
  <c r="AA163" i="48"/>
  <c r="Q164" i="48"/>
  <c r="E307" i="48" l="1"/>
  <c r="F307" i="48"/>
  <c r="H307" i="48" s="1"/>
  <c r="Y163" i="48"/>
  <c r="AB163" i="48"/>
  <c r="AC163" i="48" s="1"/>
  <c r="I307" i="48" l="1"/>
  <c r="L307" i="48" s="1"/>
  <c r="M307" i="48" s="1"/>
  <c r="AJ163" i="48"/>
  <c r="Z164" i="48"/>
  <c r="D307" i="48" l="1"/>
  <c r="N307" i="48"/>
  <c r="AH163" i="48"/>
  <c r="AK163" i="48"/>
  <c r="AL163" i="48" s="1"/>
  <c r="AI164" i="48" l="1"/>
  <c r="R164" i="48" l="1"/>
  <c r="P164" i="48" l="1"/>
  <c r="S164" i="48"/>
  <c r="T164" i="48" s="1"/>
  <c r="AA164" i="48" l="1"/>
  <c r="Q165" i="48"/>
  <c r="Y164" i="48" l="1"/>
  <c r="AB164" i="48"/>
  <c r="AC164" i="48" s="1"/>
  <c r="AJ164" i="48" l="1"/>
  <c r="Z165" i="48"/>
  <c r="AH164" i="48" l="1"/>
  <c r="AK164" i="48"/>
  <c r="AL164" i="48" s="1"/>
  <c r="AI165" i="48" l="1"/>
  <c r="R165" i="48" l="1"/>
  <c r="P165" i="48" l="1"/>
  <c r="S165" i="48"/>
  <c r="T165" i="48" s="1"/>
  <c r="AA165" i="48" l="1"/>
  <c r="Q166" i="48"/>
  <c r="Y165" i="48" l="1"/>
  <c r="AB165" i="48"/>
  <c r="AC165" i="48" s="1"/>
  <c r="AJ165" i="48" l="1"/>
  <c r="Z166" i="48"/>
  <c r="AH165" i="48" l="1"/>
  <c r="AK165" i="48"/>
  <c r="AL165" i="48" s="1"/>
  <c r="AI166" i="48" l="1"/>
  <c r="R166" i="48" l="1"/>
  <c r="P166" i="48" l="1"/>
  <c r="S166" i="48"/>
  <c r="T166" i="48" s="1"/>
  <c r="AA166" i="48" l="1"/>
  <c r="Q167" i="48"/>
  <c r="Y166" i="48" l="1"/>
  <c r="AB166" i="48"/>
  <c r="AC166" i="48" s="1"/>
  <c r="AJ166" i="48" l="1"/>
  <c r="Z167" i="48"/>
  <c r="AH166" i="48" l="1"/>
  <c r="AK166" i="48"/>
  <c r="AL166" i="48" s="1"/>
  <c r="AI167" i="48" l="1"/>
  <c r="R167" i="48" l="1"/>
  <c r="P167" i="48" l="1"/>
  <c r="S167" i="48"/>
  <c r="T167" i="48" s="1"/>
  <c r="AA167" i="48" l="1"/>
  <c r="Q168" i="48"/>
  <c r="Y167" i="48" l="1"/>
  <c r="AB167" i="48"/>
  <c r="AC167" i="48" s="1"/>
  <c r="AJ167" i="48" l="1"/>
  <c r="Z168" i="48"/>
  <c r="AH167" i="48" l="1"/>
  <c r="AK167" i="48"/>
  <c r="AL167" i="48" s="1"/>
  <c r="AI168" i="48" l="1"/>
  <c r="R168" i="48" l="1"/>
  <c r="P168" i="48" l="1"/>
  <c r="S168" i="48"/>
  <c r="T168" i="48" s="1"/>
  <c r="AA168" i="48" l="1"/>
  <c r="Q169" i="48"/>
  <c r="Y168" i="48" l="1"/>
  <c r="AB168" i="48"/>
  <c r="AC168" i="48" s="1"/>
  <c r="AJ168" i="48" l="1"/>
  <c r="Z169" i="48"/>
  <c r="AH168" i="48" l="1"/>
  <c r="AK168" i="48"/>
  <c r="AL168" i="48" s="1"/>
  <c r="AI169" i="48" l="1"/>
  <c r="R169" i="48" l="1"/>
  <c r="P169" i="48" l="1"/>
  <c r="S169" i="48"/>
  <c r="T169" i="48" s="1"/>
  <c r="AA169" i="48" l="1"/>
  <c r="Q170" i="48"/>
  <c r="Y169" i="48" l="1"/>
  <c r="AB169" i="48"/>
  <c r="AC169" i="48" s="1"/>
  <c r="AJ169" i="48" l="1"/>
  <c r="Z170" i="48"/>
  <c r="AH169" i="48" l="1"/>
  <c r="AK169" i="48"/>
  <c r="AL169" i="48" s="1"/>
  <c r="AI170" i="48" l="1"/>
  <c r="R170" i="48" l="1"/>
  <c r="P170" i="48" l="1"/>
  <c r="S170" i="48"/>
  <c r="T170" i="48" s="1"/>
  <c r="AA170" i="48" l="1"/>
  <c r="Q171" i="48"/>
  <c r="Y170" i="48" l="1"/>
  <c r="AB170" i="48"/>
  <c r="AC170" i="48" s="1"/>
  <c r="AJ170" i="48" l="1"/>
  <c r="Z171" i="48"/>
  <c r="AH170" i="48" l="1"/>
  <c r="AK170" i="48"/>
  <c r="AL170" i="48" s="1"/>
  <c r="AI171" i="48" l="1"/>
  <c r="R171" i="48" l="1"/>
  <c r="P171" i="48" l="1"/>
  <c r="S171" i="48"/>
  <c r="T171" i="48" s="1"/>
  <c r="AA171" i="48" l="1"/>
  <c r="Q172" i="48"/>
  <c r="Y171" i="48" l="1"/>
  <c r="AB171" i="48"/>
  <c r="AC171" i="48" s="1"/>
  <c r="AJ171" i="48" l="1"/>
  <c r="Z172" i="48"/>
  <c r="AH171" i="48" l="1"/>
  <c r="AK171" i="48"/>
  <c r="AL171" i="48" s="1"/>
  <c r="AI172" i="48" l="1"/>
  <c r="R172" i="48" l="1"/>
  <c r="P172" i="48" l="1"/>
  <c r="S172" i="48"/>
  <c r="T172" i="48" s="1"/>
  <c r="AA172" i="48" l="1"/>
  <c r="Q173" i="48"/>
  <c r="Y172" i="48" l="1"/>
  <c r="AB172" i="48"/>
  <c r="AC172" i="48" s="1"/>
  <c r="AJ172" i="48" l="1"/>
  <c r="Z173" i="48"/>
  <c r="AH172" i="48" l="1"/>
  <c r="AK172" i="48"/>
  <c r="AL172" i="48" s="1"/>
  <c r="AI173" i="48" l="1"/>
  <c r="R173" i="48" l="1"/>
  <c r="P173" i="48" l="1"/>
  <c r="S173" i="48"/>
  <c r="T173" i="48" s="1"/>
  <c r="AA173" i="48" l="1"/>
  <c r="Q174" i="48"/>
  <c r="Y173" i="48" l="1"/>
  <c r="AB173" i="48"/>
  <c r="AC173" i="48" s="1"/>
  <c r="AJ173" i="48" l="1"/>
  <c r="Z174" i="48"/>
  <c r="AH173" i="48" l="1"/>
  <c r="AK173" i="48"/>
  <c r="AL173" i="48" s="1"/>
  <c r="AI174" i="48" l="1"/>
  <c r="R174" i="48" l="1"/>
  <c r="P174" i="48" l="1"/>
  <c r="S174" i="48"/>
  <c r="T174" i="48" s="1"/>
  <c r="AA174" i="48" l="1"/>
  <c r="Q175" i="48"/>
  <c r="Y174" i="48" l="1"/>
  <c r="AB174" i="48"/>
  <c r="AC174" i="48" s="1"/>
  <c r="AJ174" i="48" l="1"/>
  <c r="Z175" i="48"/>
  <c r="AH174" i="48" l="1"/>
  <c r="AK174" i="48"/>
  <c r="AL174" i="48" s="1"/>
  <c r="AI175" i="48" l="1"/>
  <c r="R175" i="48" l="1"/>
  <c r="P175" i="48" l="1"/>
  <c r="S175" i="48"/>
  <c r="T175" i="48" s="1"/>
  <c r="AA175" i="48" l="1"/>
  <c r="Q176" i="48"/>
  <c r="Y175" i="48" l="1"/>
  <c r="AB175" i="48"/>
  <c r="AC175" i="48" s="1"/>
  <c r="AJ175" i="48" l="1"/>
  <c r="Z176" i="48"/>
  <c r="AH175" i="48" l="1"/>
  <c r="AK175" i="48"/>
  <c r="AL175" i="48" s="1"/>
  <c r="AI176" i="48" l="1"/>
  <c r="R176" i="48" l="1"/>
  <c r="P176" i="48" l="1"/>
  <c r="S176" i="48"/>
  <c r="T176" i="48" s="1"/>
  <c r="AA176" i="48" l="1"/>
  <c r="Q177" i="48"/>
  <c r="Y176" i="48" l="1"/>
  <c r="AB176" i="48"/>
  <c r="AC176" i="48" s="1"/>
  <c r="AJ176" i="48" l="1"/>
  <c r="Z177" i="48"/>
  <c r="AH176" i="48" l="1"/>
  <c r="AK176" i="48"/>
  <c r="AL176" i="48" s="1"/>
  <c r="AI177" i="48" l="1"/>
  <c r="R177" i="48" l="1"/>
  <c r="P177" i="48" l="1"/>
  <c r="S177" i="48"/>
  <c r="T177" i="48" s="1"/>
  <c r="AA177" i="48" l="1"/>
  <c r="Q178" i="48"/>
  <c r="Y177" i="48" l="1"/>
  <c r="AB177" i="48"/>
  <c r="AC177" i="48" s="1"/>
  <c r="AJ177" i="48" l="1"/>
  <c r="Z178" i="48"/>
  <c r="AH177" i="48" l="1"/>
  <c r="AK177" i="48"/>
  <c r="AL177" i="48" s="1"/>
  <c r="AI178" i="48" l="1"/>
  <c r="R178" i="48" l="1"/>
  <c r="P178" i="48" l="1"/>
  <c r="S178" i="48"/>
  <c r="T178" i="48" s="1"/>
  <c r="AA178" i="48" l="1"/>
  <c r="Q179" i="48"/>
  <c r="Y178" i="48" l="1"/>
  <c r="AB178" i="48"/>
  <c r="AC178" i="48" s="1"/>
  <c r="AJ178" i="48" l="1"/>
  <c r="Z179" i="48"/>
  <c r="AH178" i="48" l="1"/>
  <c r="AK178" i="48"/>
  <c r="AL178" i="48" s="1"/>
  <c r="AI179" i="48" l="1"/>
  <c r="R179" i="48" l="1"/>
  <c r="P179" i="48" l="1"/>
  <c r="S179" i="48"/>
  <c r="T179" i="48" s="1"/>
  <c r="AA179" i="48" l="1"/>
  <c r="Q180" i="48"/>
  <c r="Y179" i="48" l="1"/>
  <c r="AB179" i="48"/>
  <c r="AC179" i="48" s="1"/>
  <c r="AJ179" i="48" l="1"/>
  <c r="Z180" i="48"/>
  <c r="AH179" i="48" l="1"/>
  <c r="AK179" i="48"/>
  <c r="AL179" i="48" s="1"/>
  <c r="AI180" i="48" l="1"/>
  <c r="R180" i="48" l="1"/>
  <c r="P180" i="48" l="1"/>
  <c r="S180" i="48"/>
  <c r="T180" i="48" s="1"/>
  <c r="AA180" i="48" l="1"/>
  <c r="Q181" i="48"/>
  <c r="Y180" i="48" l="1"/>
  <c r="AB180" i="48"/>
  <c r="AC180" i="48" s="1"/>
  <c r="AJ180" i="48" l="1"/>
  <c r="Z181" i="48"/>
  <c r="AH180" i="48" l="1"/>
  <c r="AK180" i="48"/>
  <c r="AL180" i="48" s="1"/>
  <c r="AI181" i="48" l="1"/>
  <c r="R181" i="48" l="1"/>
  <c r="P181" i="48" l="1"/>
  <c r="S181" i="48"/>
  <c r="T181" i="48" s="1"/>
  <c r="AA181" i="48" l="1"/>
  <c r="Q182" i="48"/>
  <c r="Y181" i="48" l="1"/>
  <c r="AB181" i="48"/>
  <c r="AC181" i="48" s="1"/>
  <c r="AJ181" i="48" l="1"/>
  <c r="Z182" i="48"/>
  <c r="AH181" i="48" l="1"/>
  <c r="AK181" i="48"/>
  <c r="AL181" i="48" s="1"/>
  <c r="AI182" i="48" l="1"/>
  <c r="R182" i="48" l="1"/>
  <c r="P182" i="48" l="1"/>
  <c r="S182" i="48"/>
  <c r="T182" i="48" s="1"/>
  <c r="AA182" i="48" l="1"/>
  <c r="Q183" i="48"/>
  <c r="Y182" i="48" l="1"/>
  <c r="AB182" i="48"/>
  <c r="AC182" i="48" s="1"/>
  <c r="AJ182" i="48" l="1"/>
  <c r="Z183" i="48"/>
  <c r="AH182" i="48" l="1"/>
  <c r="AK182" i="48"/>
  <c r="AL182" i="48" s="1"/>
  <c r="AI183" i="48" l="1"/>
  <c r="R183" i="48" l="1"/>
  <c r="P183" i="48" l="1"/>
  <c r="S183" i="48"/>
  <c r="T183" i="48" s="1"/>
  <c r="AA183" i="48" l="1"/>
  <c r="Q184" i="48"/>
  <c r="Y183" i="48" l="1"/>
  <c r="AB183" i="48"/>
  <c r="AC183" i="48" s="1"/>
  <c r="AJ183" i="48" l="1"/>
  <c r="Z184" i="48"/>
  <c r="AH183" i="48" l="1"/>
  <c r="AK183" i="48"/>
  <c r="AL183" i="48" s="1"/>
  <c r="AI184" i="48" l="1"/>
  <c r="R184" i="48" l="1"/>
  <c r="P184" i="48" l="1"/>
  <c r="S184" i="48"/>
  <c r="T184" i="48" s="1"/>
  <c r="AA184" i="48" l="1"/>
  <c r="Q185" i="48"/>
  <c r="Y184" i="48" l="1"/>
  <c r="AB184" i="48"/>
  <c r="AC184" i="48" s="1"/>
  <c r="AJ184" i="48" l="1"/>
  <c r="Z185" i="48"/>
  <c r="AH184" i="48" l="1"/>
  <c r="AK184" i="48"/>
  <c r="AL184" i="48" s="1"/>
  <c r="AI185" i="48" l="1"/>
  <c r="R185" i="48" l="1"/>
  <c r="P185" i="48" l="1"/>
  <c r="S185" i="48"/>
  <c r="T185" i="48" s="1"/>
  <c r="AA185" i="48" l="1"/>
  <c r="Q186" i="48"/>
  <c r="Y185" i="48" l="1"/>
  <c r="AB185" i="48"/>
  <c r="AC185" i="48" s="1"/>
  <c r="AJ185" i="48" l="1"/>
  <c r="Z186" i="48"/>
  <c r="AH185" i="48" l="1"/>
  <c r="AK185" i="48"/>
  <c r="AL185" i="48" s="1"/>
  <c r="AI186" i="48" l="1"/>
  <c r="R186" i="48" l="1"/>
  <c r="P186" i="48" l="1"/>
  <c r="S186" i="48"/>
  <c r="T186" i="48" s="1"/>
  <c r="AA186" i="48" l="1"/>
  <c r="Q187" i="48"/>
  <c r="Y186" i="48" l="1"/>
  <c r="AB186" i="48"/>
  <c r="AC186" i="48" s="1"/>
  <c r="AJ186" i="48" l="1"/>
  <c r="Z187" i="48"/>
  <c r="AH186" i="48" l="1"/>
  <c r="AK186" i="48"/>
  <c r="AL186" i="48" s="1"/>
  <c r="AI187" i="48" l="1"/>
  <c r="R187" i="48" l="1"/>
  <c r="P187" i="48" l="1"/>
  <c r="S187" i="48"/>
  <c r="T187" i="48" s="1"/>
  <c r="AA187" i="48" l="1"/>
  <c r="Q188" i="48"/>
  <c r="Y187" i="48" l="1"/>
  <c r="AB187" i="48"/>
  <c r="AC187" i="48" s="1"/>
  <c r="AJ187" i="48" l="1"/>
  <c r="Z188" i="48"/>
  <c r="AH187" i="48" l="1"/>
  <c r="AK187" i="48"/>
  <c r="AL187" i="48" s="1"/>
  <c r="AI188" i="48" l="1"/>
  <c r="R188" i="48" l="1"/>
  <c r="P188" i="48" l="1"/>
  <c r="S188" i="48"/>
  <c r="T188" i="48" s="1"/>
  <c r="AA188" i="48" l="1"/>
  <c r="Q189" i="48"/>
  <c r="Y188" i="48" l="1"/>
  <c r="AB188" i="48"/>
  <c r="AC188" i="48" s="1"/>
  <c r="AJ188" i="48" l="1"/>
  <c r="Z189" i="48"/>
  <c r="AH188" i="48" l="1"/>
  <c r="AK188" i="48"/>
  <c r="AL188" i="48" s="1"/>
  <c r="AI189" i="48" l="1"/>
  <c r="R189" i="48" l="1"/>
  <c r="P189" i="48" l="1"/>
  <c r="S189" i="48"/>
  <c r="T189" i="48" s="1"/>
  <c r="AA189" i="48" l="1"/>
  <c r="Q190" i="48"/>
  <c r="Y189" i="48" l="1"/>
  <c r="AB189" i="48"/>
  <c r="AC189" i="48" s="1"/>
  <c r="AJ189" i="48" l="1"/>
  <c r="Z190" i="48"/>
  <c r="AH189" i="48" l="1"/>
  <c r="AK189" i="48"/>
  <c r="AL189" i="48" s="1"/>
  <c r="AI190" i="48" l="1"/>
  <c r="R190" i="48" l="1"/>
  <c r="P190" i="48" l="1"/>
  <c r="S190" i="48"/>
  <c r="T190" i="48" s="1"/>
  <c r="AA190" i="48" l="1"/>
  <c r="Q191" i="48"/>
  <c r="Y190" i="48" l="1"/>
  <c r="AB190" i="48"/>
  <c r="AC190" i="48" s="1"/>
  <c r="AJ190" i="48" l="1"/>
  <c r="Z191" i="48"/>
  <c r="AH190" i="48" l="1"/>
  <c r="AK190" i="48"/>
  <c r="AL190" i="48" s="1"/>
  <c r="AI191" i="48" l="1"/>
  <c r="R191" i="48" l="1"/>
  <c r="P191" i="48" l="1"/>
  <c r="S191" i="48"/>
  <c r="T191" i="48" s="1"/>
  <c r="AA191" i="48" l="1"/>
  <c r="Q192" i="48"/>
  <c r="Y191" i="48" l="1"/>
  <c r="AB191" i="48"/>
  <c r="AC191" i="48" s="1"/>
  <c r="AJ191" i="48" l="1"/>
  <c r="Z192" i="48"/>
  <c r="AH191" i="48" l="1"/>
  <c r="AK191" i="48"/>
  <c r="AL191" i="48" s="1"/>
  <c r="AI192" i="48" l="1"/>
  <c r="R192" i="48" l="1"/>
  <c r="P192" i="48" l="1"/>
  <c r="S192" i="48"/>
  <c r="T192" i="48" s="1"/>
  <c r="AA192" i="48" l="1"/>
  <c r="Q193" i="48"/>
  <c r="Y192" i="48" l="1"/>
  <c r="AB192" i="48"/>
  <c r="AC192" i="48" s="1"/>
  <c r="AJ192" i="48" l="1"/>
  <c r="Z193" i="48"/>
  <c r="AH192" i="48" l="1"/>
  <c r="AK192" i="48"/>
  <c r="AL192" i="48" s="1"/>
  <c r="AI193" i="48" l="1"/>
  <c r="R193" i="48" l="1"/>
  <c r="P193" i="48" l="1"/>
  <c r="S193" i="48"/>
  <c r="T193" i="48" s="1"/>
  <c r="AA193" i="48" l="1"/>
  <c r="Q194" i="48"/>
  <c r="Y193" i="48" l="1"/>
  <c r="AB193" i="48"/>
  <c r="AC193" i="48" s="1"/>
  <c r="AJ193" i="48" l="1"/>
  <c r="Z194" i="48"/>
  <c r="AH193" i="48" l="1"/>
  <c r="AK193" i="48"/>
  <c r="AL193" i="48" s="1"/>
  <c r="AI194" i="48" l="1"/>
  <c r="R194" i="48" l="1"/>
  <c r="P194" i="48" l="1"/>
  <c r="S194" i="48"/>
  <c r="T194" i="48" s="1"/>
  <c r="AA194" i="48" l="1"/>
  <c r="Q195" i="48"/>
  <c r="Y194" i="48" l="1"/>
  <c r="AB194" i="48"/>
  <c r="AC194" i="48" s="1"/>
  <c r="AJ194" i="48" l="1"/>
  <c r="Z195" i="48"/>
  <c r="AH194" i="48" l="1"/>
  <c r="AK194" i="48"/>
  <c r="AL194" i="48" s="1"/>
  <c r="AI195" i="48" l="1"/>
  <c r="R195" i="48" l="1"/>
  <c r="P195" i="48" l="1"/>
  <c r="S195" i="48"/>
  <c r="T195" i="48" s="1"/>
  <c r="AA195" i="48" l="1"/>
  <c r="Q196" i="48"/>
  <c r="Y195" i="48" l="1"/>
  <c r="AB195" i="48"/>
  <c r="AC195" i="48" s="1"/>
  <c r="AJ195" i="48" l="1"/>
  <c r="Z196" i="48"/>
  <c r="AH195" i="48" l="1"/>
  <c r="AK195" i="48"/>
  <c r="AL195" i="48" s="1"/>
  <c r="AI196" i="48" l="1"/>
  <c r="R196" i="48" l="1"/>
  <c r="P196" i="48" l="1"/>
  <c r="S196" i="48"/>
  <c r="T196" i="48" s="1"/>
  <c r="AA196" i="48" l="1"/>
  <c r="Q197" i="48"/>
  <c r="Y196" i="48" l="1"/>
  <c r="AB196" i="48"/>
  <c r="AC196" i="48" s="1"/>
  <c r="AJ196" i="48" l="1"/>
  <c r="Z197" i="48"/>
  <c r="AH196" i="48" l="1"/>
  <c r="AK196" i="48"/>
  <c r="AL196" i="48" s="1"/>
  <c r="AI197" i="48" l="1"/>
  <c r="R197" i="48" l="1"/>
  <c r="P197" i="48" l="1"/>
  <c r="S197" i="48"/>
  <c r="T197" i="48" s="1"/>
  <c r="AA197" i="48" l="1"/>
  <c r="Q198" i="48"/>
  <c r="Y197" i="48" l="1"/>
  <c r="AB197" i="48"/>
  <c r="AC197" i="48" s="1"/>
  <c r="AJ197" i="48" l="1"/>
  <c r="Z198" i="48"/>
  <c r="AH197" i="48" l="1"/>
  <c r="AK197" i="48"/>
  <c r="AL197" i="48" s="1"/>
  <c r="AI198" i="48" l="1"/>
  <c r="R198" i="48" l="1"/>
  <c r="P198" i="48" l="1"/>
  <c r="S198" i="48"/>
  <c r="T198" i="48" s="1"/>
  <c r="AA198" i="48" l="1"/>
  <c r="Q199" i="48"/>
  <c r="Y198" i="48" l="1"/>
  <c r="AB198" i="48"/>
  <c r="AC198" i="48" s="1"/>
  <c r="AJ198" i="48" l="1"/>
  <c r="Z199" i="48"/>
  <c r="AH198" i="48" l="1"/>
  <c r="AK198" i="48"/>
  <c r="AL198" i="48" s="1"/>
  <c r="AI199" i="48" l="1"/>
  <c r="R199" i="48" l="1"/>
  <c r="P199" i="48" l="1"/>
  <c r="S199" i="48"/>
  <c r="T199" i="48" s="1"/>
  <c r="AA199" i="48" l="1"/>
  <c r="Q200" i="48"/>
  <c r="Y199" i="48" l="1"/>
  <c r="AB199" i="48"/>
  <c r="AC199" i="48" s="1"/>
  <c r="AJ199" i="48" l="1"/>
  <c r="Z200" i="48"/>
  <c r="AH199" i="48" l="1"/>
  <c r="AK199" i="48"/>
  <c r="AL199" i="48" s="1"/>
  <c r="AI200" i="48" l="1"/>
  <c r="R200" i="48" l="1"/>
  <c r="P200" i="48" l="1"/>
  <c r="S200" i="48"/>
  <c r="T200" i="48" s="1"/>
  <c r="AA200" i="48" l="1"/>
  <c r="Q201" i="48"/>
  <c r="Y200" i="48" l="1"/>
  <c r="AB200" i="48"/>
  <c r="AC200" i="48" s="1"/>
  <c r="AJ200" i="48" l="1"/>
  <c r="Z201" i="48"/>
  <c r="AH200" i="48" l="1"/>
  <c r="AK200" i="48"/>
  <c r="AL200" i="48" s="1"/>
  <c r="AI201" i="48" l="1"/>
  <c r="R201" i="48" l="1"/>
  <c r="P201" i="48" l="1"/>
  <c r="S201" i="48"/>
  <c r="T201" i="48" s="1"/>
  <c r="AA201" i="48" l="1"/>
  <c r="Q202" i="48"/>
  <c r="Y201" i="48" l="1"/>
  <c r="AB201" i="48"/>
  <c r="AC201" i="48" s="1"/>
  <c r="AJ201" i="48" l="1"/>
  <c r="Z202" i="48"/>
  <c r="AH201" i="48" l="1"/>
  <c r="AK201" i="48"/>
  <c r="AL201" i="48" s="1"/>
  <c r="AI202" i="48" l="1"/>
  <c r="R202" i="48" l="1"/>
  <c r="P202" i="48" l="1"/>
  <c r="S202" i="48"/>
  <c r="T202" i="48" s="1"/>
  <c r="AA202" i="48" l="1"/>
  <c r="Q203" i="48"/>
  <c r="Y202" i="48" l="1"/>
  <c r="AB202" i="48"/>
  <c r="AC202" i="48" s="1"/>
  <c r="AJ202" i="48" l="1"/>
  <c r="Z203" i="48"/>
  <c r="AH202" i="48" l="1"/>
  <c r="AK202" i="48"/>
  <c r="AL202" i="48" s="1"/>
  <c r="AI203" i="48" l="1"/>
  <c r="R203" i="48" l="1"/>
  <c r="P203" i="48" l="1"/>
  <c r="S203" i="48"/>
  <c r="T203" i="48" s="1"/>
  <c r="AA203" i="48" l="1"/>
  <c r="Q204" i="48"/>
  <c r="Y203" i="48" l="1"/>
  <c r="AB203" i="48"/>
  <c r="AC203" i="48" s="1"/>
  <c r="AJ203" i="48" l="1"/>
  <c r="Z204" i="48"/>
  <c r="AH203" i="48" l="1"/>
  <c r="AK203" i="48"/>
  <c r="AL203" i="48" s="1"/>
  <c r="AI204" i="48" l="1"/>
  <c r="R204" i="48" l="1"/>
  <c r="P204" i="48" l="1"/>
  <c r="S204" i="48"/>
  <c r="T204" i="48" s="1"/>
  <c r="AA204" i="48" l="1"/>
  <c r="Q205" i="48"/>
  <c r="Y204" i="48" l="1"/>
  <c r="AB204" i="48"/>
  <c r="AC204" i="48" s="1"/>
  <c r="AJ204" i="48" l="1"/>
  <c r="Z205" i="48"/>
  <c r="AH204" i="48" l="1"/>
  <c r="AK204" i="48"/>
  <c r="AL204" i="48" s="1"/>
  <c r="AI205" i="48" l="1"/>
  <c r="R205" i="48" l="1"/>
  <c r="P205" i="48" l="1"/>
  <c r="S205" i="48"/>
  <c r="T205" i="48" s="1"/>
  <c r="AA205" i="48" l="1"/>
  <c r="Q206" i="48"/>
  <c r="Y205" i="48" l="1"/>
  <c r="AB205" i="48"/>
  <c r="AC205" i="48" s="1"/>
  <c r="AJ205" i="48" l="1"/>
  <c r="Z206" i="48"/>
  <c r="AH205" i="48" l="1"/>
  <c r="AK205" i="48"/>
  <c r="AL205" i="48" s="1"/>
  <c r="AI206" i="48" l="1"/>
  <c r="R206" i="48" l="1"/>
  <c r="P206" i="48" l="1"/>
  <c r="S206" i="48"/>
  <c r="T206" i="48" s="1"/>
  <c r="AA206" i="48" l="1"/>
  <c r="Q207" i="48"/>
  <c r="Y206" i="48" l="1"/>
  <c r="AB206" i="48"/>
  <c r="AC206" i="48" s="1"/>
  <c r="AJ206" i="48" l="1"/>
  <c r="Z207" i="48"/>
  <c r="AH206" i="48" l="1"/>
  <c r="AK206" i="48"/>
  <c r="AL206" i="48" s="1"/>
  <c r="AI207" i="48" l="1"/>
  <c r="R207" i="48" l="1"/>
  <c r="P207" i="48" l="1"/>
  <c r="S207" i="48"/>
  <c r="T207" i="48" s="1"/>
  <c r="AA207" i="48" l="1"/>
  <c r="Q208" i="48"/>
  <c r="Y207" i="48" l="1"/>
  <c r="AB207" i="48"/>
  <c r="AC207" i="48" s="1"/>
  <c r="AJ207" i="48" l="1"/>
  <c r="Z208" i="48"/>
  <c r="AH207" i="48" l="1"/>
  <c r="AK207" i="48"/>
  <c r="AL207" i="48" s="1"/>
  <c r="AI208" i="48" l="1"/>
  <c r="R208" i="48" l="1"/>
  <c r="P208" i="48" l="1"/>
  <c r="S208" i="48"/>
  <c r="T208" i="48" s="1"/>
  <c r="AA208" i="48" l="1"/>
  <c r="Q209" i="48"/>
  <c r="Y208" i="48" l="1"/>
  <c r="AB208" i="48"/>
  <c r="AC208" i="48" s="1"/>
  <c r="AJ208" i="48" l="1"/>
  <c r="Z209" i="48"/>
  <c r="AH208" i="48" l="1"/>
  <c r="AK208" i="48"/>
  <c r="AL208" i="48" s="1"/>
  <c r="AI209" i="48" l="1"/>
  <c r="R209" i="48" l="1"/>
  <c r="P209" i="48" l="1"/>
  <c r="S209" i="48"/>
  <c r="T209" i="48" s="1"/>
  <c r="AA209" i="48" l="1"/>
  <c r="Q210" i="48"/>
  <c r="Y209" i="48" l="1"/>
  <c r="AB209" i="48"/>
  <c r="AC209" i="48" s="1"/>
  <c r="AJ209" i="48" l="1"/>
  <c r="Z210" i="48"/>
  <c r="AH209" i="48" l="1"/>
  <c r="AK209" i="48"/>
  <c r="AL209" i="48" s="1"/>
  <c r="AI210" i="48" l="1"/>
  <c r="R210" i="48" l="1"/>
  <c r="P210" i="48" l="1"/>
  <c r="S210" i="48"/>
  <c r="T210" i="48" s="1"/>
  <c r="AA210" i="48" l="1"/>
  <c r="Q211" i="48"/>
  <c r="Y210" i="48" l="1"/>
  <c r="AB210" i="48"/>
  <c r="AC210" i="48" s="1"/>
  <c r="AJ210" i="48" l="1"/>
  <c r="Z211" i="48"/>
  <c r="AH210" i="48" l="1"/>
  <c r="AK210" i="48"/>
  <c r="AL210" i="48" s="1"/>
  <c r="AI211" i="48" l="1"/>
  <c r="R211" i="48" l="1"/>
  <c r="P211" i="48" l="1"/>
  <c r="S211" i="48"/>
  <c r="T211" i="48" s="1"/>
  <c r="AA211" i="48" l="1"/>
  <c r="Q212" i="48"/>
  <c r="Y211" i="48" l="1"/>
  <c r="AB211" i="48"/>
  <c r="AC211" i="48" s="1"/>
  <c r="AJ211" i="48" l="1"/>
  <c r="Z212" i="48"/>
  <c r="AH211" i="48" l="1"/>
  <c r="AK211" i="48"/>
  <c r="AL211" i="48" s="1"/>
  <c r="AI212" i="48" l="1"/>
  <c r="R212" i="48" l="1"/>
  <c r="P212" i="48" l="1"/>
  <c r="S212" i="48"/>
  <c r="T212" i="48" s="1"/>
  <c r="AA212" i="48" l="1"/>
  <c r="Q213" i="48"/>
  <c r="Y212" i="48" l="1"/>
  <c r="AB212" i="48"/>
  <c r="AC212" i="48" s="1"/>
  <c r="AJ212" i="48" l="1"/>
  <c r="Z213" i="48"/>
  <c r="AH212" i="48" l="1"/>
  <c r="AK212" i="48"/>
  <c r="AL212" i="48" s="1"/>
  <c r="AI213" i="48" l="1"/>
  <c r="R213" i="48" l="1"/>
  <c r="P213" i="48" l="1"/>
  <c r="S213" i="48"/>
  <c r="T213" i="48" s="1"/>
  <c r="AA213" i="48" l="1"/>
  <c r="Q214" i="48"/>
  <c r="Y213" i="48" l="1"/>
  <c r="AB213" i="48"/>
  <c r="AC213" i="48" s="1"/>
  <c r="AJ213" i="48" l="1"/>
  <c r="Z214" i="48"/>
  <c r="AH213" i="48" l="1"/>
  <c r="AK213" i="48"/>
  <c r="AL213" i="48" s="1"/>
  <c r="AI214" i="48" l="1"/>
  <c r="R214" i="48" l="1"/>
  <c r="P214" i="48" l="1"/>
  <c r="S214" i="48"/>
  <c r="T214" i="48" s="1"/>
  <c r="AA214" i="48" l="1"/>
  <c r="Q215" i="48"/>
  <c r="Y214" i="48" l="1"/>
  <c r="AB214" i="48"/>
  <c r="AC214" i="48" s="1"/>
  <c r="AJ214" i="48" l="1"/>
  <c r="Z215" i="48"/>
  <c r="AH214" i="48" l="1"/>
  <c r="AK214" i="48"/>
  <c r="AL214" i="48" s="1"/>
  <c r="AI215" i="48" l="1"/>
  <c r="R215" i="48" l="1"/>
  <c r="P215" i="48" l="1"/>
  <c r="S215" i="48"/>
  <c r="T215" i="48" s="1"/>
  <c r="AA215" i="48" l="1"/>
  <c r="Q216" i="48"/>
  <c r="Y215" i="48" l="1"/>
  <c r="AB215" i="48"/>
  <c r="AC215" i="48" s="1"/>
  <c r="AJ215" i="48" l="1"/>
  <c r="Z216" i="48"/>
  <c r="AH215" i="48" l="1"/>
  <c r="AK215" i="48"/>
  <c r="AL215" i="48" s="1"/>
  <c r="AI216" i="48" l="1"/>
  <c r="R216" i="48" l="1"/>
  <c r="P216" i="48" l="1"/>
  <c r="S216" i="48"/>
  <c r="T216" i="48" s="1"/>
  <c r="AA216" i="48" l="1"/>
  <c r="Q217" i="48"/>
  <c r="Y216" i="48" l="1"/>
  <c r="AB216" i="48"/>
  <c r="AC216" i="48" s="1"/>
  <c r="AJ216" i="48" l="1"/>
  <c r="Z217" i="48"/>
  <c r="AH216" i="48" l="1"/>
  <c r="AK216" i="48"/>
  <c r="AL216" i="48" s="1"/>
  <c r="AI217" i="48" l="1"/>
  <c r="R217" i="48" l="1"/>
  <c r="P217" i="48" l="1"/>
  <c r="S217" i="48"/>
  <c r="T217" i="48" s="1"/>
  <c r="AA217" i="48" l="1"/>
  <c r="Q218" i="48"/>
  <c r="Y217" i="48" l="1"/>
  <c r="AB217" i="48"/>
  <c r="AC217" i="48" s="1"/>
  <c r="AJ217" i="48" l="1"/>
  <c r="Z218" i="48"/>
  <c r="AH217" i="48" l="1"/>
  <c r="AK217" i="48"/>
  <c r="AL217" i="48" s="1"/>
  <c r="AI218" i="48" l="1"/>
  <c r="R218" i="48" l="1"/>
  <c r="P218" i="48" l="1"/>
  <c r="S218" i="48"/>
  <c r="T218" i="48" s="1"/>
  <c r="AA218" i="48" l="1"/>
  <c r="Q219" i="48"/>
  <c r="Y218" i="48" l="1"/>
  <c r="AB218" i="48"/>
  <c r="AC218" i="48" s="1"/>
  <c r="AJ218" i="48" l="1"/>
  <c r="Z219" i="48"/>
  <c r="AH218" i="48" l="1"/>
  <c r="AK218" i="48"/>
  <c r="AL218" i="48" s="1"/>
  <c r="AI219" i="48" l="1"/>
  <c r="R219" i="48" l="1"/>
  <c r="P219" i="48" l="1"/>
  <c r="S219" i="48"/>
  <c r="T219" i="48" s="1"/>
  <c r="AA219" i="48" l="1"/>
  <c r="Q220" i="48"/>
  <c r="Y219" i="48" l="1"/>
  <c r="AB219" i="48"/>
  <c r="AC219" i="48" s="1"/>
  <c r="AJ219" i="48" l="1"/>
  <c r="Z220" i="48"/>
  <c r="AH219" i="48" l="1"/>
  <c r="AK219" i="48"/>
  <c r="AL219" i="48" s="1"/>
  <c r="AI220" i="48" l="1"/>
  <c r="R220" i="48" l="1"/>
  <c r="P220" i="48" l="1"/>
  <c r="S220" i="48"/>
  <c r="T220" i="48" s="1"/>
  <c r="AA220" i="48" l="1"/>
  <c r="Q221" i="48"/>
  <c r="Y220" i="48" l="1"/>
  <c r="AB220" i="48"/>
  <c r="AC220" i="48" s="1"/>
  <c r="AJ220" i="48" l="1"/>
  <c r="Z221" i="48"/>
  <c r="AH220" i="48" l="1"/>
  <c r="AK220" i="48"/>
  <c r="AL220" i="48" s="1"/>
  <c r="AI221" i="48" l="1"/>
  <c r="R221" i="48" l="1"/>
  <c r="P221" i="48" l="1"/>
  <c r="S221" i="48"/>
  <c r="T221" i="48" s="1"/>
  <c r="AA221" i="48" l="1"/>
  <c r="Q222" i="48"/>
  <c r="Y221" i="48" l="1"/>
  <c r="AB221" i="48"/>
  <c r="AC221" i="48" s="1"/>
  <c r="AJ221" i="48" l="1"/>
  <c r="Z222" i="48"/>
  <c r="AH221" i="48" l="1"/>
  <c r="AK221" i="48"/>
  <c r="AL221" i="48" s="1"/>
  <c r="AI222" i="48" l="1"/>
  <c r="R222" i="48" l="1"/>
  <c r="P222" i="48" l="1"/>
  <c r="S222" i="48"/>
  <c r="T222" i="48" s="1"/>
  <c r="AA222" i="48" l="1"/>
  <c r="Q223" i="48"/>
  <c r="Y222" i="48" l="1"/>
  <c r="AB222" i="48"/>
  <c r="AC222" i="48" s="1"/>
  <c r="AJ222" i="48" l="1"/>
  <c r="Z223" i="48"/>
  <c r="AH222" i="48" l="1"/>
  <c r="AK222" i="48"/>
  <c r="AL222" i="48" s="1"/>
  <c r="AI223" i="48" l="1"/>
  <c r="R223" i="48" l="1"/>
  <c r="P223" i="48" l="1"/>
  <c r="S223" i="48"/>
  <c r="T223" i="48" s="1"/>
  <c r="AA223" i="48" l="1"/>
  <c r="Q224" i="48"/>
  <c r="Y223" i="48" l="1"/>
  <c r="AB223" i="48"/>
  <c r="AC223" i="48" s="1"/>
  <c r="AJ223" i="48" l="1"/>
  <c r="Z224" i="48"/>
  <c r="AH223" i="48" l="1"/>
  <c r="AK223" i="48"/>
  <c r="AL223" i="48" s="1"/>
  <c r="AI224" i="48" l="1"/>
  <c r="R224" i="48" l="1"/>
  <c r="P224" i="48" l="1"/>
  <c r="S224" i="48"/>
  <c r="T224" i="48" s="1"/>
  <c r="AA224" i="48" l="1"/>
  <c r="Q225" i="48"/>
  <c r="Y224" i="48" l="1"/>
  <c r="AB224" i="48"/>
  <c r="AC224" i="48" s="1"/>
  <c r="AJ224" i="48" l="1"/>
  <c r="Z225" i="48"/>
  <c r="AH224" i="48" l="1"/>
  <c r="AK224" i="48"/>
  <c r="AL224" i="48" s="1"/>
  <c r="AI225" i="48" l="1"/>
  <c r="R225" i="48" l="1"/>
  <c r="P225" i="48" l="1"/>
  <c r="S225" i="48"/>
  <c r="T225" i="48" s="1"/>
  <c r="AA225" i="48" l="1"/>
  <c r="Q226" i="48"/>
  <c r="Y225" i="48" l="1"/>
  <c r="AB225" i="48"/>
  <c r="AC225" i="48" s="1"/>
  <c r="AJ225" i="48" l="1"/>
  <c r="Z226" i="48"/>
  <c r="AH225" i="48" l="1"/>
  <c r="AK225" i="48"/>
  <c r="AL225" i="48" s="1"/>
  <c r="AI226" i="48" l="1"/>
  <c r="R226" i="48" l="1"/>
  <c r="P226" i="48" l="1"/>
  <c r="S226" i="48"/>
  <c r="T226" i="48" s="1"/>
  <c r="AA226" i="48" l="1"/>
  <c r="Q227" i="48"/>
  <c r="Y226" i="48" l="1"/>
  <c r="AB226" i="48"/>
  <c r="AC226" i="48" s="1"/>
  <c r="AJ226" i="48" l="1"/>
  <c r="Z227" i="48"/>
  <c r="AH226" i="48" l="1"/>
  <c r="AK226" i="48"/>
  <c r="AL226" i="48" s="1"/>
  <c r="AI227" i="48" l="1"/>
  <c r="R227" i="48" l="1"/>
  <c r="P227" i="48" l="1"/>
  <c r="S227" i="48"/>
  <c r="T227" i="48" s="1"/>
  <c r="AA227" i="48" l="1"/>
  <c r="Q228" i="48"/>
  <c r="Y227" i="48" l="1"/>
  <c r="AB227" i="48"/>
  <c r="AC227" i="48" s="1"/>
  <c r="AJ227" i="48" l="1"/>
  <c r="Z228" i="48"/>
  <c r="AH227" i="48" l="1"/>
  <c r="AK227" i="48"/>
  <c r="AL227" i="48" s="1"/>
  <c r="AI228" i="48" l="1"/>
  <c r="R228" i="48" l="1"/>
  <c r="P228" i="48" l="1"/>
  <c r="S228" i="48"/>
  <c r="T228" i="48" s="1"/>
  <c r="AA228" i="48" l="1"/>
  <c r="Q229" i="48"/>
  <c r="Y228" i="48" l="1"/>
  <c r="AB228" i="48"/>
  <c r="AC228" i="48" s="1"/>
  <c r="AJ228" i="48" l="1"/>
  <c r="Z229" i="48"/>
  <c r="AH228" i="48" l="1"/>
  <c r="AK228" i="48"/>
  <c r="AL228" i="48" s="1"/>
  <c r="AI229" i="48" l="1"/>
  <c r="R229" i="48" l="1"/>
  <c r="P229" i="48" l="1"/>
  <c r="S229" i="48"/>
  <c r="T229" i="48" s="1"/>
  <c r="AA229" i="48" l="1"/>
  <c r="Q230" i="48"/>
  <c r="Y229" i="48" l="1"/>
  <c r="AB229" i="48"/>
  <c r="AC229" i="48" s="1"/>
  <c r="AJ229" i="48" l="1"/>
  <c r="Z230" i="48"/>
  <c r="AH229" i="48" l="1"/>
  <c r="AK229" i="48"/>
  <c r="AL229" i="48" s="1"/>
  <c r="AI230" i="48" l="1"/>
  <c r="R230" i="48" l="1"/>
  <c r="P230" i="48" l="1"/>
  <c r="S230" i="48"/>
  <c r="T230" i="48" s="1"/>
  <c r="AA230" i="48" l="1"/>
  <c r="Q231" i="48"/>
  <c r="Y230" i="48" l="1"/>
  <c r="AB230" i="48"/>
  <c r="AC230" i="48" s="1"/>
  <c r="AJ230" i="48" l="1"/>
  <c r="Z231" i="48"/>
  <c r="AH230" i="48" l="1"/>
  <c r="AK230" i="48"/>
  <c r="AL230" i="48" s="1"/>
  <c r="AI231" i="48" l="1"/>
  <c r="R231" i="48" l="1"/>
  <c r="P231" i="48" l="1"/>
  <c r="S231" i="48"/>
  <c r="T231" i="48" s="1"/>
  <c r="AA231" i="48" l="1"/>
  <c r="Q232" i="48"/>
  <c r="Y231" i="48" l="1"/>
  <c r="AB231" i="48"/>
  <c r="AC231" i="48" s="1"/>
  <c r="AJ231" i="48" l="1"/>
  <c r="Z232" i="48"/>
  <c r="AH231" i="48" l="1"/>
  <c r="AK231" i="48"/>
  <c r="AL231" i="48" s="1"/>
  <c r="AI232" i="48" l="1"/>
  <c r="R232" i="48" l="1"/>
  <c r="P232" i="48" l="1"/>
  <c r="S232" i="48"/>
  <c r="T232" i="48" s="1"/>
  <c r="AA232" i="48" l="1"/>
  <c r="Q233" i="48"/>
  <c r="Y232" i="48" l="1"/>
  <c r="AB232" i="48"/>
  <c r="AC232" i="48" s="1"/>
  <c r="AJ232" i="48" l="1"/>
  <c r="Z233" i="48"/>
  <c r="AH232" i="48" l="1"/>
  <c r="AK232" i="48"/>
  <c r="AL232" i="48" s="1"/>
  <c r="AI233" i="48" l="1"/>
  <c r="R233" i="48" l="1"/>
  <c r="P233" i="48" l="1"/>
  <c r="S233" i="48"/>
  <c r="T233" i="48" s="1"/>
  <c r="AA233" i="48" l="1"/>
  <c r="Q234" i="48"/>
  <c r="Y233" i="48" l="1"/>
  <c r="AB233" i="48"/>
  <c r="AC233" i="48" s="1"/>
  <c r="AJ233" i="48" l="1"/>
  <c r="Z234" i="48"/>
  <c r="AH233" i="48" l="1"/>
  <c r="AK233" i="48"/>
  <c r="AL233" i="48" s="1"/>
  <c r="AI234" i="48" l="1"/>
  <c r="R234" i="48" l="1"/>
  <c r="P234" i="48" l="1"/>
  <c r="S234" i="48"/>
  <c r="T234" i="48" s="1"/>
  <c r="AA234" i="48" l="1"/>
  <c r="Q235" i="48"/>
  <c r="Y234" i="48" l="1"/>
  <c r="AB234" i="48"/>
  <c r="AC234" i="48" s="1"/>
  <c r="AJ234" i="48" l="1"/>
  <c r="Z235" i="48"/>
  <c r="AH234" i="48" l="1"/>
  <c r="AK234" i="48"/>
  <c r="AL234" i="48" s="1"/>
  <c r="AI235" i="48" l="1"/>
  <c r="R235" i="48" l="1"/>
  <c r="P235" i="48" l="1"/>
  <c r="S235" i="48"/>
  <c r="T235" i="48" s="1"/>
  <c r="AA235" i="48" l="1"/>
  <c r="Q236" i="48"/>
  <c r="Y235" i="48" l="1"/>
  <c r="AB235" i="48"/>
  <c r="AC235" i="48" s="1"/>
  <c r="AJ235" i="48" l="1"/>
  <c r="Z236" i="48"/>
  <c r="AH235" i="48" l="1"/>
  <c r="AK235" i="48"/>
  <c r="AL235" i="48" s="1"/>
  <c r="AI236" i="48" l="1"/>
  <c r="R236" i="48" l="1"/>
  <c r="P236" i="48" l="1"/>
  <c r="S236" i="48"/>
  <c r="T236" i="48" s="1"/>
  <c r="AA236" i="48" l="1"/>
  <c r="Q237" i="48"/>
  <c r="Y236" i="48" l="1"/>
  <c r="AB236" i="48"/>
  <c r="AC236" i="48" s="1"/>
  <c r="AJ236" i="48" l="1"/>
  <c r="Z237" i="48"/>
  <c r="AH236" i="48" l="1"/>
  <c r="AK236" i="48"/>
  <c r="AL236" i="48" s="1"/>
  <c r="AI237" i="48" l="1"/>
  <c r="R237" i="48" l="1"/>
  <c r="P237" i="48" l="1"/>
  <c r="S237" i="48"/>
  <c r="T237" i="48" s="1"/>
  <c r="AA237" i="48" l="1"/>
  <c r="Q238" i="48"/>
  <c r="Y237" i="48" l="1"/>
  <c r="AB237" i="48"/>
  <c r="AC237" i="48" s="1"/>
  <c r="AJ237" i="48" l="1"/>
  <c r="Z238" i="48"/>
  <c r="AH237" i="48" l="1"/>
  <c r="AK237" i="48"/>
  <c r="AL237" i="48" s="1"/>
  <c r="AI238" i="48" l="1"/>
  <c r="R238" i="48" l="1"/>
  <c r="P238" i="48" l="1"/>
  <c r="S238" i="48"/>
  <c r="T238" i="48" s="1"/>
  <c r="AA238" i="48" l="1"/>
  <c r="Q239" i="48"/>
  <c r="Y238" i="48" l="1"/>
  <c r="AB238" i="48"/>
  <c r="AC238" i="48" s="1"/>
  <c r="AJ238" i="48" l="1"/>
  <c r="Z239" i="48"/>
  <c r="AH238" i="48" l="1"/>
  <c r="AK238" i="48"/>
  <c r="AL238" i="48" s="1"/>
  <c r="AI239" i="48" l="1"/>
  <c r="R239" i="48" l="1"/>
  <c r="P239" i="48" l="1"/>
  <c r="S239" i="48"/>
  <c r="T239" i="48" s="1"/>
  <c r="AA239" i="48" l="1"/>
  <c r="Q240" i="48"/>
  <c r="Y239" i="48" l="1"/>
  <c r="AB239" i="48"/>
  <c r="AC239" i="48" s="1"/>
  <c r="AJ239" i="48" l="1"/>
  <c r="Z240" i="48"/>
  <c r="AH239" i="48" l="1"/>
  <c r="AK239" i="48"/>
  <c r="AL239" i="48" s="1"/>
  <c r="AI240" i="48" l="1"/>
  <c r="R240" i="48" l="1"/>
  <c r="P240" i="48" l="1"/>
  <c r="S240" i="48"/>
  <c r="T240" i="48" s="1"/>
  <c r="AA240" i="48" l="1"/>
  <c r="Q241" i="48"/>
  <c r="Y240" i="48" l="1"/>
  <c r="AB240" i="48"/>
  <c r="AC240" i="48" s="1"/>
  <c r="AJ240" i="48" l="1"/>
  <c r="Z241" i="48"/>
  <c r="AH240" i="48" l="1"/>
  <c r="AK240" i="48"/>
  <c r="AL240" i="48" s="1"/>
  <c r="AI241" i="48" l="1"/>
  <c r="R241" i="48" l="1"/>
  <c r="P241" i="48" l="1"/>
  <c r="S241" i="48"/>
  <c r="T241" i="48" s="1"/>
  <c r="AA241" i="48" l="1"/>
  <c r="Q242" i="48"/>
  <c r="Y241" i="48" l="1"/>
  <c r="AB241" i="48"/>
  <c r="AC241" i="48" s="1"/>
  <c r="AJ241" i="48" l="1"/>
  <c r="Z242" i="48"/>
  <c r="AH241" i="48" l="1"/>
  <c r="AK241" i="48"/>
  <c r="AL241" i="48" s="1"/>
  <c r="AI242" i="48" l="1"/>
  <c r="R242" i="48" l="1"/>
  <c r="P242" i="48" l="1"/>
  <c r="S242" i="48"/>
  <c r="T242" i="48" s="1"/>
  <c r="AA242" i="48" l="1"/>
  <c r="Q243" i="48"/>
  <c r="Y242" i="48" l="1"/>
  <c r="AB242" i="48"/>
  <c r="AC242" i="48" s="1"/>
  <c r="AJ242" i="48" l="1"/>
  <c r="Z243" i="48"/>
  <c r="AH242" i="48" l="1"/>
  <c r="AK242" i="48"/>
  <c r="AL242" i="48" s="1"/>
  <c r="AI243" i="48" l="1"/>
  <c r="R243" i="48" l="1"/>
  <c r="P243" i="48" l="1"/>
  <c r="S243" i="48"/>
  <c r="T243" i="48" s="1"/>
  <c r="AA243" i="48" l="1"/>
  <c r="Q244" i="48"/>
  <c r="Y243" i="48" l="1"/>
  <c r="AB243" i="48"/>
  <c r="AC243" i="48" s="1"/>
  <c r="AJ243" i="48" l="1"/>
  <c r="Z244" i="48"/>
  <c r="AH243" i="48" l="1"/>
  <c r="AK243" i="48"/>
  <c r="AL243" i="48" s="1"/>
  <c r="AI244" i="48" l="1"/>
  <c r="R244" i="48" l="1"/>
  <c r="P244" i="48" l="1"/>
  <c r="S244" i="48"/>
  <c r="T244" i="48" s="1"/>
  <c r="AA244" i="48" l="1"/>
  <c r="Q245" i="48"/>
  <c r="Y244" i="48" l="1"/>
  <c r="AB244" i="48"/>
  <c r="AC244" i="48" s="1"/>
  <c r="AJ244" i="48" l="1"/>
  <c r="Z245" i="48"/>
  <c r="AH244" i="48" l="1"/>
  <c r="AK244" i="48"/>
  <c r="AL244" i="48" s="1"/>
  <c r="AI245" i="48" l="1"/>
  <c r="R245" i="48" l="1"/>
  <c r="P245" i="48" l="1"/>
  <c r="S245" i="48"/>
  <c r="T245" i="48" s="1"/>
  <c r="AA245" i="48" l="1"/>
  <c r="Q246" i="48"/>
  <c r="Y245" i="48" l="1"/>
  <c r="AB245" i="48"/>
  <c r="AC245" i="48" s="1"/>
  <c r="AJ245" i="48" l="1"/>
  <c r="Z246" i="48"/>
  <c r="AH245" i="48" l="1"/>
  <c r="AK245" i="48"/>
  <c r="AL245" i="48" s="1"/>
  <c r="AI246" i="48" l="1"/>
  <c r="R246" i="48" l="1"/>
  <c r="P246" i="48" l="1"/>
  <c r="S246" i="48"/>
  <c r="T246" i="48" s="1"/>
  <c r="AA246" i="48" l="1"/>
  <c r="Q247" i="48"/>
  <c r="Y246" i="48" l="1"/>
  <c r="AB246" i="48"/>
  <c r="AC246" i="48" s="1"/>
  <c r="AJ246" i="48" l="1"/>
  <c r="Z247" i="48"/>
  <c r="AH246" i="48" l="1"/>
  <c r="AK246" i="48"/>
  <c r="AL246" i="48" s="1"/>
  <c r="AI247" i="48" l="1"/>
  <c r="R247" i="48" l="1"/>
  <c r="P247" i="48" l="1"/>
  <c r="S247" i="48"/>
  <c r="T247" i="48" s="1"/>
  <c r="AA247" i="48" l="1"/>
  <c r="Q248" i="48"/>
  <c r="Y247" i="48" l="1"/>
  <c r="AB247" i="48"/>
  <c r="AC247" i="48" s="1"/>
  <c r="AJ247" i="48" l="1"/>
  <c r="Z248" i="48"/>
  <c r="AH247" i="48" l="1"/>
  <c r="AK247" i="48"/>
  <c r="AL247" i="48" s="1"/>
  <c r="AI248" i="48" l="1"/>
  <c r="R248" i="48" l="1"/>
  <c r="P248" i="48" l="1"/>
  <c r="S248" i="48"/>
  <c r="T248" i="48" s="1"/>
  <c r="AA248" i="48" l="1"/>
  <c r="Q249" i="48"/>
  <c r="Y248" i="48" l="1"/>
  <c r="AB248" i="48"/>
  <c r="AC248" i="48" s="1"/>
  <c r="AJ248" i="48" l="1"/>
  <c r="Z249" i="48"/>
  <c r="AH248" i="48" l="1"/>
  <c r="AK248" i="48"/>
  <c r="AL248" i="48" s="1"/>
  <c r="AI249" i="48" l="1"/>
  <c r="R249" i="48" l="1"/>
  <c r="P249" i="48" l="1"/>
  <c r="S249" i="48"/>
  <c r="T249" i="48" s="1"/>
  <c r="AA249" i="48" l="1"/>
  <c r="Q250" i="48"/>
  <c r="Y249" i="48" l="1"/>
  <c r="AB249" i="48"/>
  <c r="AC249" i="48" s="1"/>
  <c r="AJ249" i="48" l="1"/>
  <c r="Z250" i="48"/>
  <c r="AH249" i="48" l="1"/>
  <c r="AK249" i="48"/>
  <c r="AL249" i="48" s="1"/>
  <c r="AI250" i="48" l="1"/>
  <c r="R250" i="48" l="1"/>
  <c r="P250" i="48" l="1"/>
  <c r="S250" i="48"/>
  <c r="T250" i="48" s="1"/>
  <c r="AA250" i="48" l="1"/>
  <c r="Q251" i="48"/>
  <c r="Y250" i="48" l="1"/>
  <c r="AB250" i="48"/>
  <c r="AC250" i="48" s="1"/>
  <c r="AJ250" i="48" l="1"/>
  <c r="Z251" i="48"/>
  <c r="AH250" i="48" l="1"/>
  <c r="AK250" i="48"/>
  <c r="AL250" i="48" s="1"/>
  <c r="AI251" i="48" l="1"/>
  <c r="R251" i="48" l="1"/>
  <c r="P251" i="48" l="1"/>
  <c r="S251" i="48"/>
  <c r="T251" i="48" s="1"/>
  <c r="AA251" i="48" l="1"/>
  <c r="Q252" i="48"/>
  <c r="Y251" i="48" l="1"/>
  <c r="AB251" i="48"/>
  <c r="AC251" i="48" s="1"/>
  <c r="AJ251" i="48" l="1"/>
  <c r="Z252" i="48"/>
  <c r="AH251" i="48" l="1"/>
  <c r="AK251" i="48"/>
  <c r="AL251" i="48" s="1"/>
  <c r="AI252" i="48" l="1"/>
  <c r="R252" i="48" l="1"/>
  <c r="P252" i="48" l="1"/>
  <c r="S252" i="48"/>
  <c r="T252" i="48" s="1"/>
  <c r="AA252" i="48" l="1"/>
  <c r="Q253" i="48"/>
  <c r="Y252" i="48" l="1"/>
  <c r="AB252" i="48"/>
  <c r="AC252" i="48" s="1"/>
  <c r="AJ252" i="48" l="1"/>
  <c r="Z253" i="48"/>
  <c r="AH252" i="48" l="1"/>
  <c r="AK252" i="48"/>
  <c r="AL252" i="48" s="1"/>
  <c r="AI253" i="48" l="1"/>
  <c r="R253" i="48" l="1"/>
  <c r="P253" i="48" l="1"/>
  <c r="S253" i="48"/>
  <c r="T253" i="48" s="1"/>
  <c r="AA253" i="48" l="1"/>
  <c r="Q254" i="48"/>
  <c r="Y253" i="48" l="1"/>
  <c r="AB253" i="48"/>
  <c r="AC253" i="48" s="1"/>
  <c r="AJ253" i="48" l="1"/>
  <c r="Z254" i="48"/>
  <c r="AH253" i="48" l="1"/>
  <c r="AK253" i="48"/>
  <c r="AL253" i="48" s="1"/>
  <c r="AI254" i="48" l="1"/>
  <c r="R254" i="48" l="1"/>
  <c r="P254" i="48" l="1"/>
  <c r="S254" i="48"/>
  <c r="T254" i="48" s="1"/>
  <c r="AA254" i="48" l="1"/>
  <c r="Q255" i="48"/>
  <c r="Y254" i="48" l="1"/>
  <c r="AB254" i="48"/>
  <c r="AC254" i="48" s="1"/>
  <c r="AJ254" i="48" l="1"/>
  <c r="Z255" i="48"/>
  <c r="AH254" i="48" l="1"/>
  <c r="AK254" i="48"/>
  <c r="AL254" i="48" s="1"/>
  <c r="AI255" i="48" l="1"/>
  <c r="R255" i="48" l="1"/>
  <c r="P255" i="48" l="1"/>
  <c r="S255" i="48"/>
  <c r="T255" i="48" s="1"/>
  <c r="AA255" i="48" l="1"/>
  <c r="Q256" i="48"/>
  <c r="Y255" i="48" l="1"/>
  <c r="AB255" i="48"/>
  <c r="AC255" i="48" s="1"/>
  <c r="AJ255" i="48" l="1"/>
  <c r="Z256" i="48"/>
  <c r="AH255" i="48" l="1"/>
  <c r="AK255" i="48"/>
  <c r="AL255" i="48" s="1"/>
  <c r="AI256" i="48" l="1"/>
  <c r="R256" i="48" l="1"/>
  <c r="P256" i="48" l="1"/>
  <c r="S256" i="48"/>
  <c r="T256" i="48" s="1"/>
  <c r="AA256" i="48" l="1"/>
  <c r="Q257" i="48"/>
  <c r="Y256" i="48" l="1"/>
  <c r="AB256" i="48"/>
  <c r="AC256" i="48" s="1"/>
  <c r="AJ256" i="48" l="1"/>
  <c r="Z257" i="48"/>
  <c r="AH256" i="48" l="1"/>
  <c r="AK256" i="48"/>
  <c r="AL256" i="48" s="1"/>
  <c r="AI257" i="48" l="1"/>
  <c r="R257" i="48" l="1"/>
  <c r="P257" i="48" l="1"/>
  <c r="S257" i="48"/>
  <c r="T257" i="48" s="1"/>
  <c r="AA257" i="48" l="1"/>
  <c r="Q258" i="48"/>
  <c r="Y257" i="48" l="1"/>
  <c r="AB257" i="48"/>
  <c r="AC257" i="48" s="1"/>
  <c r="AJ257" i="48" l="1"/>
  <c r="Z258" i="48"/>
  <c r="AH257" i="48" l="1"/>
  <c r="AK257" i="48"/>
  <c r="AL257" i="48" s="1"/>
  <c r="AI258" i="48" l="1"/>
  <c r="R258" i="48" l="1"/>
  <c r="P258" i="48" l="1"/>
  <c r="S258" i="48"/>
  <c r="T258" i="48" s="1"/>
  <c r="AA258" i="48" l="1"/>
  <c r="Q259" i="48"/>
  <c r="Y258" i="48" l="1"/>
  <c r="AB258" i="48"/>
  <c r="AC258" i="48" s="1"/>
  <c r="AJ258" i="48" l="1"/>
  <c r="Z259" i="48"/>
  <c r="AH258" i="48" l="1"/>
  <c r="AK258" i="48"/>
  <c r="AL258" i="48" s="1"/>
  <c r="AI259" i="48" l="1"/>
  <c r="R259" i="48" l="1"/>
  <c r="P259" i="48" l="1"/>
  <c r="S259" i="48"/>
  <c r="T259" i="48" s="1"/>
  <c r="AA259" i="48" l="1"/>
  <c r="Q260" i="48"/>
  <c r="Y259" i="48" l="1"/>
  <c r="AB259" i="48"/>
  <c r="AC259" i="48" s="1"/>
  <c r="AJ259" i="48" l="1"/>
  <c r="Z260" i="48"/>
  <c r="AH259" i="48" l="1"/>
  <c r="AK259" i="48"/>
  <c r="AL259" i="48" s="1"/>
  <c r="AI260" i="48" l="1"/>
  <c r="R260" i="48" l="1"/>
  <c r="P260" i="48" l="1"/>
  <c r="S260" i="48"/>
  <c r="T260" i="48" s="1"/>
  <c r="AA260" i="48" l="1"/>
  <c r="Q261" i="48"/>
  <c r="Y260" i="48" l="1"/>
  <c r="AB260" i="48"/>
  <c r="AC260" i="48" s="1"/>
  <c r="AJ260" i="48" l="1"/>
  <c r="Z261" i="48"/>
  <c r="AH260" i="48" l="1"/>
  <c r="AK260" i="48"/>
  <c r="AL260" i="48" s="1"/>
  <c r="AI261" i="48" l="1"/>
  <c r="R261" i="48" l="1"/>
  <c r="P261" i="48" l="1"/>
  <c r="S261" i="48"/>
  <c r="T261" i="48" s="1"/>
  <c r="AA261" i="48" l="1"/>
  <c r="Q262" i="48"/>
  <c r="Y261" i="48" l="1"/>
  <c r="AB261" i="48"/>
  <c r="AC261" i="48" s="1"/>
  <c r="AJ261" i="48" l="1"/>
  <c r="Z262" i="48"/>
  <c r="AH261" i="48" l="1"/>
  <c r="AK261" i="48"/>
  <c r="AL261" i="48" s="1"/>
  <c r="AI262" i="48" l="1"/>
  <c r="R262" i="48" l="1"/>
  <c r="P262" i="48" l="1"/>
  <c r="S262" i="48"/>
  <c r="T262" i="48" s="1"/>
  <c r="AA262" i="48" l="1"/>
  <c r="Q263" i="48"/>
  <c r="Y262" i="48" l="1"/>
  <c r="AB262" i="48"/>
  <c r="AC262" i="48" s="1"/>
  <c r="AJ262" i="48" l="1"/>
  <c r="Z263" i="48"/>
  <c r="AH262" i="48" l="1"/>
  <c r="AK262" i="48"/>
  <c r="AL262" i="48" s="1"/>
  <c r="AI263" i="48" l="1"/>
  <c r="R263" i="48" l="1"/>
  <c r="P263" i="48" l="1"/>
  <c r="S263" i="48"/>
  <c r="T263" i="48" s="1"/>
  <c r="AA263" i="48" l="1"/>
  <c r="Q264" i="48"/>
  <c r="Y263" i="48" l="1"/>
  <c r="AB263" i="48"/>
  <c r="AC263" i="48" s="1"/>
  <c r="AJ263" i="48" l="1"/>
  <c r="Z264" i="48"/>
  <c r="AH263" i="48" l="1"/>
  <c r="AK263" i="48"/>
  <c r="AL263" i="48" s="1"/>
  <c r="AI264" i="48" l="1"/>
  <c r="R264" i="48" l="1"/>
  <c r="P264" i="48" l="1"/>
  <c r="S264" i="48"/>
  <c r="T264" i="48" s="1"/>
  <c r="AA264" i="48" l="1"/>
  <c r="Q265" i="48"/>
  <c r="Y264" i="48" l="1"/>
  <c r="AB264" i="48"/>
  <c r="AC264" i="48" s="1"/>
  <c r="AJ264" i="48" l="1"/>
  <c r="Z265" i="48"/>
  <c r="AH264" i="48" l="1"/>
  <c r="AK264" i="48"/>
  <c r="AL264" i="48" s="1"/>
  <c r="AI265" i="48" l="1"/>
  <c r="R265" i="48" l="1"/>
  <c r="P265" i="48" l="1"/>
  <c r="S265" i="48"/>
  <c r="T265" i="48" s="1"/>
  <c r="AA265" i="48" l="1"/>
  <c r="Q266" i="48"/>
  <c r="Y265" i="48" l="1"/>
  <c r="AB265" i="48"/>
  <c r="AC265" i="48" s="1"/>
  <c r="AJ265" i="48" l="1"/>
  <c r="Z266" i="48"/>
  <c r="AH265" i="48" l="1"/>
  <c r="AK265" i="48"/>
  <c r="AL265" i="48" s="1"/>
  <c r="AI266" i="48" l="1"/>
  <c r="R266" i="48" l="1"/>
  <c r="P266" i="48" l="1"/>
  <c r="S266" i="48"/>
  <c r="T266" i="48" s="1"/>
  <c r="AA266" i="48" l="1"/>
  <c r="Q267" i="48"/>
  <c r="Y266" i="48" l="1"/>
  <c r="AB266" i="48"/>
  <c r="AC266" i="48" s="1"/>
  <c r="AJ266" i="48" l="1"/>
  <c r="Z267" i="48"/>
  <c r="AH266" i="48" l="1"/>
  <c r="AK266" i="48"/>
  <c r="AL266" i="48" s="1"/>
  <c r="AI267" i="48" l="1"/>
  <c r="R267" i="48" l="1"/>
  <c r="P267" i="48" l="1"/>
  <c r="S267" i="48"/>
  <c r="T267" i="48" s="1"/>
  <c r="AA267" i="48" l="1"/>
  <c r="Q268" i="48"/>
  <c r="Y267" i="48" l="1"/>
  <c r="AB267" i="48"/>
  <c r="AC267" i="48" s="1"/>
  <c r="AJ267" i="48" l="1"/>
  <c r="Z268" i="48"/>
  <c r="AH267" i="48" l="1"/>
  <c r="AK267" i="48"/>
  <c r="AL267" i="48" s="1"/>
  <c r="AI268" i="48" l="1"/>
  <c r="R268" i="48" l="1"/>
  <c r="P268" i="48" l="1"/>
  <c r="S268" i="48"/>
  <c r="T268" i="48" s="1"/>
  <c r="AA268" i="48" l="1"/>
  <c r="Q269" i="48"/>
  <c r="Y268" i="48" l="1"/>
  <c r="AB268" i="48"/>
  <c r="AC268" i="48" s="1"/>
  <c r="AJ268" i="48" l="1"/>
  <c r="Z269" i="48"/>
  <c r="AH268" i="48" l="1"/>
  <c r="AK268" i="48"/>
  <c r="AL268" i="48" s="1"/>
  <c r="AI269" i="48" l="1"/>
  <c r="R269" i="48" l="1"/>
  <c r="P269" i="48" l="1"/>
  <c r="S269" i="48"/>
  <c r="T269" i="48" s="1"/>
  <c r="AA269" i="48" l="1"/>
  <c r="Q270" i="48"/>
  <c r="Y269" i="48" l="1"/>
  <c r="AB269" i="48"/>
  <c r="AC269" i="48" s="1"/>
  <c r="AJ269" i="48" l="1"/>
  <c r="Z270" i="48"/>
  <c r="AH269" i="48" l="1"/>
  <c r="AK269" i="48"/>
  <c r="AL269" i="48" s="1"/>
  <c r="AI270" i="48" l="1"/>
  <c r="R270" i="48" l="1"/>
  <c r="P270" i="48" l="1"/>
  <c r="S270" i="48"/>
  <c r="T270" i="48" s="1"/>
  <c r="AA270" i="48" l="1"/>
  <c r="Q271" i="48"/>
  <c r="Y270" i="48" l="1"/>
  <c r="AB270" i="48"/>
  <c r="AC270" i="48" s="1"/>
  <c r="AJ270" i="48" l="1"/>
  <c r="Z271" i="48"/>
  <c r="AH270" i="48" l="1"/>
  <c r="AK270" i="48"/>
  <c r="AL270" i="48" s="1"/>
  <c r="AI271" i="48" l="1"/>
  <c r="R271" i="48" l="1"/>
  <c r="P271" i="48" l="1"/>
  <c r="S271" i="48"/>
  <c r="T271" i="48" s="1"/>
  <c r="AA271" i="48" l="1"/>
  <c r="Q272" i="48"/>
  <c r="Y271" i="48" l="1"/>
  <c r="AB271" i="48"/>
  <c r="AC271" i="48" s="1"/>
  <c r="AJ271" i="48" l="1"/>
  <c r="Z272" i="48"/>
  <c r="AH271" i="48" l="1"/>
  <c r="AK271" i="48"/>
  <c r="AL271" i="48" s="1"/>
  <c r="AI272" i="48" l="1"/>
  <c r="R272" i="48" l="1"/>
  <c r="P272" i="48" l="1"/>
  <c r="S272" i="48"/>
  <c r="T272" i="48" s="1"/>
  <c r="AA272" i="48" l="1"/>
  <c r="Q273" i="48"/>
  <c r="Y272" i="48" l="1"/>
  <c r="AB272" i="48"/>
  <c r="AC272" i="48" s="1"/>
  <c r="AJ272" i="48" l="1"/>
  <c r="Z273" i="48"/>
  <c r="AH272" i="48" l="1"/>
  <c r="AK272" i="48"/>
  <c r="AL272" i="48" s="1"/>
  <c r="AI273" i="48" l="1"/>
  <c r="R273" i="48" l="1"/>
  <c r="P273" i="48" l="1"/>
  <c r="S273" i="48"/>
  <c r="T273" i="48" s="1"/>
  <c r="AA273" i="48" l="1"/>
  <c r="Q274" i="48"/>
  <c r="Y273" i="48" l="1"/>
  <c r="AB273" i="48"/>
  <c r="AC273" i="48" s="1"/>
  <c r="AJ273" i="48" l="1"/>
  <c r="Z274" i="48"/>
  <c r="AH273" i="48" l="1"/>
  <c r="AK273" i="48"/>
  <c r="AL273" i="48" s="1"/>
  <c r="AI274" i="48" l="1"/>
  <c r="R274" i="48" l="1"/>
  <c r="P274" i="48" l="1"/>
  <c r="S274" i="48"/>
  <c r="T274" i="48" s="1"/>
  <c r="AA274" i="48" l="1"/>
  <c r="Q275" i="48"/>
  <c r="Y274" i="48" l="1"/>
  <c r="AB274" i="48"/>
  <c r="AC274" i="48" s="1"/>
  <c r="AJ274" i="48" l="1"/>
  <c r="Z275" i="48"/>
  <c r="AH274" i="48" l="1"/>
  <c r="AK274" i="48"/>
  <c r="AL274" i="48" s="1"/>
  <c r="AI275" i="48" l="1"/>
  <c r="R275" i="48" l="1"/>
  <c r="P275" i="48" l="1"/>
  <c r="S275" i="48"/>
  <c r="T275" i="48" s="1"/>
  <c r="AA275" i="48" l="1"/>
  <c r="Q276" i="48"/>
  <c r="Y275" i="48" l="1"/>
  <c r="AB275" i="48"/>
  <c r="AC275" i="48" s="1"/>
  <c r="AJ275" i="48" l="1"/>
  <c r="Z276" i="48"/>
  <c r="AH275" i="48" l="1"/>
  <c r="AK275" i="48"/>
  <c r="AL275" i="48" s="1"/>
  <c r="AI276" i="48" l="1"/>
  <c r="R276" i="48" l="1"/>
  <c r="P276" i="48" l="1"/>
  <c r="S276" i="48"/>
  <c r="T276" i="48" s="1"/>
  <c r="AA276" i="48" l="1"/>
  <c r="Q277" i="48"/>
  <c r="Y276" i="48" l="1"/>
  <c r="AB276" i="48"/>
  <c r="AC276" i="48" s="1"/>
  <c r="AJ276" i="48" l="1"/>
  <c r="Z277" i="48"/>
  <c r="AH276" i="48" l="1"/>
  <c r="AK276" i="48"/>
  <c r="AL276" i="48" s="1"/>
  <c r="AI277" i="48" l="1"/>
  <c r="R277" i="48" l="1"/>
  <c r="P277" i="48" l="1"/>
  <c r="S277" i="48"/>
  <c r="T277" i="48" s="1"/>
  <c r="AA277" i="48" l="1"/>
  <c r="Q278" i="48"/>
  <c r="Y277" i="48" l="1"/>
  <c r="AB277" i="48"/>
  <c r="AC277" i="48" s="1"/>
  <c r="AJ277" i="48" l="1"/>
  <c r="Z278" i="48"/>
  <c r="AH277" i="48" l="1"/>
  <c r="AK277" i="48"/>
  <c r="AL277" i="48" s="1"/>
  <c r="AI278" i="48" l="1"/>
  <c r="R278" i="48" l="1"/>
  <c r="P278" i="48" l="1"/>
  <c r="S278" i="48"/>
  <c r="T278" i="48" s="1"/>
  <c r="AA278" i="48" l="1"/>
  <c r="Q279" i="48"/>
  <c r="Y278" i="48" l="1"/>
  <c r="AB278" i="48"/>
  <c r="AC278" i="48" s="1"/>
  <c r="AJ278" i="48" l="1"/>
  <c r="Z279" i="48"/>
  <c r="AH278" i="48" l="1"/>
  <c r="AK278" i="48"/>
  <c r="AL278" i="48" s="1"/>
  <c r="AI279" i="48" l="1"/>
  <c r="R279" i="48" l="1"/>
  <c r="P279" i="48" l="1"/>
  <c r="S279" i="48"/>
  <c r="T279" i="48" s="1"/>
  <c r="AA279" i="48" l="1"/>
  <c r="Q280" i="48"/>
  <c r="Y279" i="48" l="1"/>
  <c r="AB279" i="48"/>
  <c r="AC279" i="48" s="1"/>
  <c r="AJ279" i="48" l="1"/>
  <c r="Z280" i="48"/>
  <c r="AH279" i="48" l="1"/>
  <c r="AK279" i="48"/>
  <c r="AL279" i="48" s="1"/>
  <c r="AI280" i="48" l="1"/>
  <c r="R280" i="48" l="1"/>
  <c r="P280" i="48" l="1"/>
  <c r="S280" i="48"/>
  <c r="T280" i="48" s="1"/>
  <c r="AA280" i="48" l="1"/>
  <c r="Q281" i="48"/>
  <c r="Y280" i="48" l="1"/>
  <c r="AB280" i="48"/>
  <c r="AC280" i="48" s="1"/>
  <c r="AJ280" i="48" l="1"/>
  <c r="Z281" i="48"/>
  <c r="AH280" i="48" l="1"/>
  <c r="AK280" i="48"/>
  <c r="AL280" i="48" s="1"/>
  <c r="AI281" i="48" l="1"/>
  <c r="R281" i="48" l="1"/>
  <c r="P281" i="48" l="1"/>
  <c r="S281" i="48"/>
  <c r="T281" i="48" s="1"/>
  <c r="AA281" i="48" l="1"/>
  <c r="Q282" i="48"/>
  <c r="Y281" i="48" l="1"/>
  <c r="AB281" i="48"/>
  <c r="AC281" i="48" s="1"/>
  <c r="AJ281" i="48" l="1"/>
  <c r="Z282" i="48"/>
  <c r="AH281" i="48" l="1"/>
  <c r="AK281" i="48"/>
  <c r="AL281" i="48" s="1"/>
  <c r="AI282" i="48" l="1"/>
  <c r="R282" i="48" l="1"/>
  <c r="P282" i="48" l="1"/>
  <c r="S282" i="48"/>
  <c r="T282" i="48" s="1"/>
  <c r="AA282" i="48" l="1"/>
  <c r="Q283" i="48"/>
  <c r="Y282" i="48" l="1"/>
  <c r="AB282" i="48"/>
  <c r="AC282" i="48" s="1"/>
  <c r="AJ282" i="48" l="1"/>
  <c r="Z283" i="48"/>
  <c r="AH282" i="48" l="1"/>
  <c r="AK282" i="48"/>
  <c r="AL282" i="48" s="1"/>
  <c r="AI283" i="48" l="1"/>
  <c r="R283" i="48" l="1"/>
  <c r="P283" i="48" l="1"/>
  <c r="S283" i="48"/>
  <c r="T283" i="48" s="1"/>
  <c r="AA283" i="48" l="1"/>
  <c r="Q284" i="48"/>
  <c r="Y283" i="48" l="1"/>
  <c r="AB283" i="48"/>
  <c r="AC283" i="48" s="1"/>
  <c r="AJ283" i="48" l="1"/>
  <c r="Z284" i="48"/>
  <c r="AH283" i="48" l="1"/>
  <c r="AK283" i="48"/>
  <c r="AL283" i="48" s="1"/>
  <c r="AI284" i="48" l="1"/>
  <c r="R284" i="48" l="1"/>
  <c r="P284" i="48" l="1"/>
  <c r="S284" i="48"/>
  <c r="T284" i="48" s="1"/>
  <c r="AA284" i="48" l="1"/>
  <c r="Q285" i="48"/>
  <c r="Y284" i="48" l="1"/>
  <c r="AB284" i="48"/>
  <c r="AC284" i="48" s="1"/>
  <c r="AJ284" i="48" l="1"/>
  <c r="Z285" i="48"/>
  <c r="AH284" i="48" l="1"/>
  <c r="AK284" i="48"/>
  <c r="AL284" i="48" s="1"/>
  <c r="AI285" i="48" l="1"/>
  <c r="R285" i="48" l="1"/>
  <c r="P285" i="48" l="1"/>
  <c r="S285" i="48"/>
  <c r="T285" i="48" s="1"/>
  <c r="AA285" i="48" l="1"/>
  <c r="Q286" i="48"/>
  <c r="Y285" i="48" l="1"/>
  <c r="AB285" i="48"/>
  <c r="AC285" i="48" s="1"/>
  <c r="AJ285" i="48" l="1"/>
  <c r="Z286" i="48"/>
  <c r="AH285" i="48" l="1"/>
  <c r="AK285" i="48"/>
  <c r="AL285" i="48" s="1"/>
  <c r="AI286" i="48" l="1"/>
  <c r="R286" i="48" l="1"/>
  <c r="P286" i="48" l="1"/>
  <c r="S286" i="48"/>
  <c r="T286" i="48" s="1"/>
  <c r="AA286" i="48" l="1"/>
  <c r="Q287" i="48"/>
  <c r="Y286" i="48" l="1"/>
  <c r="AB286" i="48"/>
  <c r="AC286" i="48" s="1"/>
  <c r="AJ286" i="48" l="1"/>
  <c r="Z287" i="48"/>
  <c r="AH286" i="48" l="1"/>
  <c r="AK286" i="48"/>
  <c r="AL286" i="48" s="1"/>
  <c r="AI287" i="48" l="1"/>
  <c r="R287" i="48" l="1"/>
  <c r="P287" i="48" l="1"/>
  <c r="S287" i="48"/>
  <c r="T287" i="48" s="1"/>
  <c r="AA287" i="48" l="1"/>
  <c r="Q288" i="48"/>
  <c r="Y287" i="48" l="1"/>
  <c r="AB287" i="48"/>
  <c r="AC287" i="48" s="1"/>
  <c r="AJ287" i="48" l="1"/>
  <c r="Z288" i="48"/>
  <c r="AH287" i="48" l="1"/>
  <c r="AK287" i="48"/>
  <c r="AL287" i="48" s="1"/>
  <c r="AI288" i="48" l="1"/>
  <c r="R288" i="48" l="1"/>
  <c r="P288" i="48" l="1"/>
  <c r="S288" i="48"/>
  <c r="T288" i="48" s="1"/>
  <c r="AA288" i="48" l="1"/>
  <c r="Q289" i="48"/>
  <c r="Y288" i="48" l="1"/>
  <c r="AB288" i="48"/>
  <c r="AC288" i="48" s="1"/>
  <c r="AJ288" i="48" l="1"/>
  <c r="Z289" i="48"/>
  <c r="AH288" i="48" l="1"/>
  <c r="AK288" i="48"/>
  <c r="AL288" i="48" s="1"/>
  <c r="AI289" i="48" l="1"/>
  <c r="R289" i="48" l="1"/>
  <c r="P289" i="48" l="1"/>
  <c r="S289" i="48"/>
  <c r="T289" i="48" s="1"/>
  <c r="AA289" i="48" l="1"/>
  <c r="Q290" i="48"/>
  <c r="Y289" i="48" l="1"/>
  <c r="AB289" i="48"/>
  <c r="AC289" i="48" s="1"/>
  <c r="AJ289" i="48" l="1"/>
  <c r="Z290" i="48"/>
  <c r="AH289" i="48" l="1"/>
  <c r="AK289" i="48"/>
  <c r="AL289" i="48" s="1"/>
  <c r="AI290" i="48" l="1"/>
  <c r="R290" i="48" l="1"/>
  <c r="P290" i="48" l="1"/>
  <c r="S290" i="48"/>
  <c r="T290" i="48" s="1"/>
  <c r="AA290" i="48" l="1"/>
  <c r="Q291" i="48"/>
  <c r="Y290" i="48" l="1"/>
  <c r="AB290" i="48"/>
  <c r="AC290" i="48" s="1"/>
  <c r="AJ290" i="48" l="1"/>
  <c r="Z291" i="48"/>
  <c r="AH290" i="48" l="1"/>
  <c r="AK290" i="48"/>
  <c r="AL290" i="48" s="1"/>
  <c r="AI291" i="48" l="1"/>
  <c r="R291" i="48" l="1"/>
  <c r="P291" i="48" l="1"/>
  <c r="S291" i="48"/>
  <c r="T291" i="48" s="1"/>
  <c r="AA291" i="48" l="1"/>
  <c r="Q292" i="48"/>
  <c r="Y291" i="48" l="1"/>
  <c r="AB291" i="48"/>
  <c r="AC291" i="48" s="1"/>
  <c r="AJ291" i="48" l="1"/>
  <c r="Z292" i="48"/>
  <c r="AH291" i="48" l="1"/>
  <c r="AK291" i="48"/>
  <c r="AL291" i="48" s="1"/>
  <c r="AI292" i="48" l="1"/>
  <c r="R292" i="48" l="1"/>
  <c r="P292" i="48" l="1"/>
  <c r="S292" i="48"/>
  <c r="T292" i="48" s="1"/>
  <c r="AA292" i="48" l="1"/>
  <c r="Q293" i="48"/>
  <c r="Y292" i="48" l="1"/>
  <c r="AB292" i="48"/>
  <c r="AC292" i="48" s="1"/>
  <c r="AJ292" i="48" l="1"/>
  <c r="Z293" i="48"/>
  <c r="AH292" i="48" l="1"/>
  <c r="AK292" i="48"/>
  <c r="AL292" i="48" s="1"/>
  <c r="AI293" i="48" l="1"/>
  <c r="R293" i="48" l="1"/>
  <c r="P293" i="48" l="1"/>
  <c r="S293" i="48"/>
  <c r="T293" i="48" s="1"/>
  <c r="AA293" i="48" l="1"/>
  <c r="Q294" i="48"/>
  <c r="Y293" i="48" l="1"/>
  <c r="AB293" i="48"/>
  <c r="AC293" i="48" s="1"/>
  <c r="AJ293" i="48" l="1"/>
  <c r="Z294" i="48"/>
  <c r="AH293" i="48" l="1"/>
  <c r="AK293" i="48"/>
  <c r="AL293" i="48" s="1"/>
  <c r="AI294" i="48" l="1"/>
  <c r="R294" i="48" l="1"/>
  <c r="P294" i="48" l="1"/>
  <c r="S294" i="48"/>
  <c r="T294" i="48" s="1"/>
  <c r="AA294" i="48" l="1"/>
  <c r="Q295" i="48"/>
  <c r="Y294" i="48" l="1"/>
  <c r="AB294" i="48"/>
  <c r="AC294" i="48" s="1"/>
  <c r="AJ294" i="48" l="1"/>
  <c r="Z295" i="48"/>
  <c r="AH294" i="48" l="1"/>
  <c r="AK294" i="48"/>
  <c r="AL294" i="48" s="1"/>
  <c r="AI295" i="48" l="1"/>
  <c r="R295" i="48" l="1"/>
  <c r="P295" i="48" l="1"/>
  <c r="S295" i="48"/>
  <c r="T295" i="48" s="1"/>
  <c r="AA295" i="48" l="1"/>
  <c r="Q296" i="48"/>
  <c r="Y295" i="48" l="1"/>
  <c r="AB295" i="48"/>
  <c r="AC295" i="48" s="1"/>
  <c r="AJ295" i="48" l="1"/>
  <c r="Z296" i="48"/>
  <c r="AH295" i="48" l="1"/>
  <c r="AK295" i="48"/>
  <c r="AL295" i="48" s="1"/>
  <c r="AI296" i="48" l="1"/>
  <c r="R296" i="48" l="1"/>
  <c r="P296" i="48" l="1"/>
  <c r="S296" i="48"/>
  <c r="T296" i="48" s="1"/>
  <c r="AA296" i="48" l="1"/>
  <c r="Q297" i="48"/>
  <c r="Y296" i="48" l="1"/>
  <c r="AB296" i="48"/>
  <c r="AC296" i="48" s="1"/>
  <c r="AJ296" i="48" l="1"/>
  <c r="Z297" i="48"/>
  <c r="AH296" i="48" l="1"/>
  <c r="AK296" i="48"/>
  <c r="AL296" i="48" s="1"/>
  <c r="AI297" i="48" l="1"/>
  <c r="R297" i="48" l="1"/>
  <c r="P297" i="48" l="1"/>
  <c r="S297" i="48"/>
  <c r="T297" i="48" s="1"/>
  <c r="AA297" i="48" l="1"/>
  <c r="Q298" i="48"/>
  <c r="Y297" i="48" l="1"/>
  <c r="AB297" i="48"/>
  <c r="AC297" i="48" s="1"/>
  <c r="AJ297" i="48" l="1"/>
  <c r="Z298" i="48"/>
  <c r="AH297" i="48" l="1"/>
  <c r="AK297" i="48"/>
  <c r="AL297" i="48" s="1"/>
  <c r="AI298" i="48" l="1"/>
  <c r="R298" i="48" l="1"/>
  <c r="P298" i="48" l="1"/>
  <c r="S298" i="48"/>
  <c r="T298" i="48" s="1"/>
  <c r="AA298" i="48" l="1"/>
  <c r="Q299" i="48"/>
  <c r="Y298" i="48" l="1"/>
  <c r="AB298" i="48"/>
  <c r="AC298" i="48" s="1"/>
  <c r="AJ298" i="48" l="1"/>
  <c r="Z299" i="48"/>
  <c r="AH298" i="48" l="1"/>
  <c r="AK298" i="48"/>
  <c r="AL298" i="48" s="1"/>
  <c r="AI299" i="48" l="1"/>
  <c r="R299" i="48" l="1"/>
  <c r="P299" i="48" l="1"/>
  <c r="S299" i="48"/>
  <c r="T299" i="48" s="1"/>
  <c r="AA299" i="48" l="1"/>
  <c r="Q300" i="48"/>
  <c r="Y299" i="48" l="1"/>
  <c r="AB299" i="48"/>
  <c r="AC299" i="48" s="1"/>
  <c r="AJ299" i="48" l="1"/>
  <c r="Z300" i="48"/>
  <c r="AH299" i="48" l="1"/>
  <c r="AK299" i="48"/>
  <c r="AL299" i="48" s="1"/>
  <c r="AI300" i="48" l="1"/>
  <c r="R300" i="48" l="1"/>
  <c r="P300" i="48" l="1"/>
  <c r="S300" i="48"/>
  <c r="T300" i="48" s="1"/>
  <c r="AA300" i="48" l="1"/>
  <c r="Q301" i="48"/>
  <c r="Y300" i="48" l="1"/>
  <c r="AB300" i="48"/>
  <c r="AC300" i="48" s="1"/>
  <c r="AJ300" i="48" l="1"/>
  <c r="Z301" i="48"/>
  <c r="AH300" i="48" l="1"/>
  <c r="AK300" i="48"/>
  <c r="AL300" i="48" s="1"/>
  <c r="AI301" i="48" l="1"/>
  <c r="R301" i="48" l="1"/>
  <c r="P301" i="48" l="1"/>
  <c r="S301" i="48"/>
  <c r="T301" i="48" s="1"/>
  <c r="AA301" i="48" l="1"/>
  <c r="Q302" i="48"/>
  <c r="Y301" i="48" l="1"/>
  <c r="AB301" i="48"/>
  <c r="AC301" i="48" s="1"/>
  <c r="AJ301" i="48" l="1"/>
  <c r="Z302" i="48"/>
  <c r="AH301" i="48" l="1"/>
  <c r="AK301" i="48"/>
  <c r="AL301" i="48" s="1"/>
  <c r="AI302" i="48" l="1"/>
  <c r="R302" i="48" l="1"/>
  <c r="P302" i="48" l="1"/>
  <c r="S302" i="48"/>
  <c r="T302" i="48" s="1"/>
  <c r="AA302" i="48" l="1"/>
  <c r="Q303" i="48"/>
  <c r="Y302" i="48" l="1"/>
  <c r="AB302" i="48"/>
  <c r="AC302" i="48" s="1"/>
  <c r="AJ302" i="48" l="1"/>
  <c r="Z303" i="48"/>
  <c r="AH302" i="48" l="1"/>
  <c r="AK302" i="48"/>
  <c r="AL302" i="48" s="1"/>
  <c r="AI303" i="48" l="1"/>
  <c r="R303" i="48" l="1"/>
  <c r="P303" i="48" l="1"/>
  <c r="S303" i="48"/>
  <c r="T303" i="48" s="1"/>
  <c r="AA303" i="48" l="1"/>
  <c r="Q304" i="48"/>
  <c r="Y303" i="48" l="1"/>
  <c r="AB303" i="48"/>
  <c r="AC303" i="48" s="1"/>
  <c r="AJ303" i="48" l="1"/>
  <c r="Z304" i="48"/>
  <c r="AH303" i="48" l="1"/>
  <c r="AK303" i="48"/>
  <c r="AL303" i="48" s="1"/>
  <c r="AI304" i="48" l="1"/>
  <c r="R304" i="48" l="1"/>
  <c r="P304" i="48" l="1"/>
  <c r="S304" i="48"/>
  <c r="T304" i="48" s="1"/>
  <c r="AA304" i="48" l="1"/>
  <c r="Q305" i="48"/>
  <c r="Y304" i="48" l="1"/>
  <c r="AB304" i="48"/>
  <c r="AC304" i="48" s="1"/>
  <c r="AJ304" i="48" l="1"/>
  <c r="Z305" i="48"/>
  <c r="AH304" i="48" l="1"/>
  <c r="AK304" i="48"/>
  <c r="AL304" i="48" s="1"/>
  <c r="AI305" i="48" l="1"/>
  <c r="R305" i="48" l="1"/>
  <c r="P305" i="48" l="1"/>
  <c r="S305" i="48"/>
  <c r="T305" i="48" s="1"/>
  <c r="AA305" i="48" l="1"/>
  <c r="Q306" i="48"/>
  <c r="Y305" i="48" l="1"/>
  <c r="AB305" i="48"/>
  <c r="AC305" i="48" s="1"/>
  <c r="AJ305" i="48" l="1"/>
  <c r="Z306" i="48"/>
  <c r="AH305" i="48" l="1"/>
  <c r="AK305" i="48"/>
  <c r="AL305" i="48" s="1"/>
  <c r="AI306" i="48" l="1"/>
  <c r="R306" i="48" l="1"/>
  <c r="P306" i="48" l="1"/>
  <c r="S306" i="48"/>
  <c r="T306" i="48" s="1"/>
  <c r="AA306" i="48" l="1"/>
  <c r="Q307" i="48"/>
  <c r="Y306" i="48" l="1"/>
  <c r="AB306" i="48"/>
  <c r="AC306" i="48" s="1"/>
  <c r="AJ306" i="48" l="1"/>
  <c r="Z307" i="48"/>
  <c r="AH306" i="48" l="1"/>
  <c r="AK306" i="48"/>
  <c r="AL306" i="48" s="1"/>
  <c r="AI307" i="48" l="1"/>
  <c r="R307" i="48" l="1"/>
  <c r="P307" i="48" l="1"/>
  <c r="AA307" i="48" s="1"/>
  <c r="S307" i="48"/>
  <c r="T307" i="48" s="1"/>
  <c r="T21" i="48" l="1"/>
  <c r="Y307" i="48"/>
  <c r="AJ307" i="48" s="1"/>
  <c r="AB307" i="48"/>
  <c r="AC307" i="48" s="1"/>
  <c r="AH307" i="48" l="1"/>
  <c r="AK307" i="48"/>
  <c r="AL307" i="48" s="1"/>
  <c r="V23" i="48"/>
  <c r="V24" i="48"/>
  <c r="V25" i="48"/>
  <c r="V26" i="48"/>
  <c r="V27" i="48"/>
  <c r="V28" i="48"/>
  <c r="V29" i="48"/>
  <c r="V30" i="48"/>
  <c r="V31" i="48"/>
  <c r="V32" i="48"/>
  <c r="V33" i="48"/>
  <c r="V34" i="48"/>
  <c r="V35" i="48"/>
  <c r="V36" i="48"/>
  <c r="V37" i="48"/>
  <c r="V38" i="48"/>
  <c r="V39" i="48"/>
  <c r="V40" i="48"/>
  <c r="V41" i="48"/>
  <c r="V42" i="48"/>
  <c r="V43" i="48"/>
  <c r="V44" i="48"/>
  <c r="V45" i="48"/>
  <c r="V46" i="48"/>
  <c r="V47" i="48"/>
  <c r="V48" i="48"/>
  <c r="V49" i="48"/>
  <c r="V50" i="48"/>
  <c r="V51" i="48"/>
  <c r="V52" i="48"/>
  <c r="V53" i="48"/>
  <c r="V54" i="48"/>
  <c r="V55" i="48"/>
  <c r="V56" i="48"/>
  <c r="V57" i="48"/>
  <c r="V58" i="48"/>
  <c r="V59" i="48"/>
  <c r="V60" i="48"/>
  <c r="V61" i="48"/>
  <c r="V62" i="48"/>
  <c r="V63" i="48"/>
  <c r="V64" i="48"/>
  <c r="V65" i="48"/>
  <c r="V66" i="48"/>
  <c r="V67" i="48"/>
  <c r="V68" i="48"/>
  <c r="V69" i="48"/>
  <c r="V70" i="48"/>
  <c r="V71" i="48"/>
  <c r="V72" i="48"/>
  <c r="V73" i="48"/>
  <c r="V74" i="48"/>
  <c r="V75" i="48"/>
  <c r="V76" i="48"/>
  <c r="V77" i="48"/>
  <c r="V78" i="48"/>
  <c r="V79" i="48"/>
  <c r="V80" i="48"/>
  <c r="V81" i="48"/>
  <c r="V82" i="48"/>
  <c r="V83" i="48"/>
  <c r="V84" i="48"/>
  <c r="V85" i="48"/>
  <c r="V86" i="48"/>
  <c r="V87" i="48"/>
  <c r="V88" i="48"/>
  <c r="V89" i="48"/>
  <c r="V90" i="48"/>
  <c r="V91" i="48"/>
  <c r="V92" i="48"/>
  <c r="V93" i="48"/>
  <c r="V94" i="48"/>
  <c r="V95" i="48"/>
  <c r="V96" i="48"/>
  <c r="V97" i="48"/>
  <c r="V98" i="48"/>
  <c r="V99" i="48"/>
  <c r="V100" i="48"/>
  <c r="V101" i="48"/>
  <c r="V102" i="48"/>
  <c r="V103" i="48"/>
  <c r="V104" i="48"/>
  <c r="V105" i="48"/>
  <c r="V106" i="48"/>
  <c r="V107" i="48"/>
  <c r="V108" i="48"/>
  <c r="V109" i="48"/>
  <c r="V110" i="48"/>
  <c r="V111" i="48"/>
  <c r="V112" i="48"/>
  <c r="V113" i="48"/>
  <c r="V114" i="48"/>
  <c r="V115" i="48"/>
  <c r="V116" i="48"/>
  <c r="V117" i="48"/>
  <c r="V118" i="48"/>
  <c r="V119" i="48"/>
  <c r="V120" i="48"/>
  <c r="V121" i="48"/>
  <c r="V122" i="48"/>
  <c r="V123" i="48"/>
  <c r="V124" i="48"/>
  <c r="V125" i="48"/>
  <c r="V126" i="48"/>
  <c r="V127" i="48"/>
  <c r="V128" i="48"/>
  <c r="V129" i="48"/>
  <c r="V130" i="48"/>
  <c r="V131" i="48"/>
  <c r="V132" i="48"/>
  <c r="V133" i="48"/>
  <c r="V134" i="48"/>
  <c r="V135" i="48"/>
  <c r="V136" i="48"/>
  <c r="V137" i="48"/>
  <c r="V138" i="48"/>
  <c r="V139" i="48"/>
  <c r="V140" i="48"/>
  <c r="V141" i="48"/>
  <c r="V142" i="48"/>
  <c r="V143" i="48"/>
  <c r="V144" i="48"/>
  <c r="V145" i="48"/>
  <c r="V146" i="48"/>
  <c r="V147" i="48"/>
  <c r="V148" i="48"/>
  <c r="V149" i="48"/>
  <c r="V150" i="48"/>
  <c r="V151" i="48"/>
  <c r="V152" i="48"/>
  <c r="V153" i="48"/>
  <c r="V154" i="48"/>
  <c r="V155" i="48"/>
  <c r="V156" i="48"/>
  <c r="V157" i="48"/>
  <c r="V158" i="48"/>
  <c r="V159" i="48"/>
  <c r="V160" i="48"/>
  <c r="V161" i="48"/>
  <c r="V162" i="48"/>
  <c r="V163" i="48"/>
  <c r="V164" i="48"/>
  <c r="V165" i="48"/>
  <c r="V166" i="48"/>
  <c r="V167" i="48"/>
  <c r="V168" i="48"/>
  <c r="V169" i="48"/>
  <c r="V170" i="48"/>
  <c r="V171" i="48"/>
  <c r="V172" i="48"/>
  <c r="V173" i="48"/>
  <c r="V174" i="48"/>
  <c r="V175" i="48"/>
  <c r="V176" i="48"/>
  <c r="V177" i="48"/>
  <c r="V178" i="48"/>
  <c r="V179" i="48"/>
  <c r="V180" i="48"/>
  <c r="V181" i="48"/>
  <c r="V182" i="48"/>
  <c r="V183" i="48"/>
  <c r="V184" i="48"/>
  <c r="V185" i="48"/>
  <c r="V186" i="48"/>
  <c r="V187" i="48"/>
  <c r="V188" i="48"/>
  <c r="V189" i="48"/>
  <c r="V190" i="48"/>
  <c r="V191" i="48"/>
  <c r="V192" i="48"/>
  <c r="V193" i="48"/>
  <c r="V194" i="48"/>
  <c r="V195" i="48"/>
  <c r="V196" i="48"/>
  <c r="V197" i="48"/>
  <c r="V198" i="48"/>
  <c r="V199" i="48"/>
  <c r="V200" i="48"/>
  <c r="V201" i="48"/>
  <c r="V202" i="48"/>
  <c r="V203" i="48"/>
  <c r="V204" i="48"/>
  <c r="V205" i="48"/>
  <c r="V206" i="48"/>
  <c r="V207" i="48"/>
  <c r="V208" i="48"/>
  <c r="V209" i="48"/>
  <c r="V210" i="48"/>
  <c r="V211" i="48"/>
  <c r="V212" i="48"/>
  <c r="V213" i="48"/>
  <c r="V214" i="48"/>
  <c r="V215" i="48"/>
  <c r="V216" i="48"/>
  <c r="V217" i="48"/>
  <c r="V218" i="48"/>
  <c r="V219" i="48"/>
  <c r="V220" i="48"/>
  <c r="V221" i="48"/>
  <c r="V222" i="48"/>
  <c r="V223" i="48"/>
  <c r="V224" i="48"/>
  <c r="V225" i="48"/>
  <c r="V226" i="48"/>
  <c r="V227" i="48"/>
  <c r="V228" i="48"/>
  <c r="V229" i="48"/>
  <c r="V230" i="48"/>
  <c r="V231" i="48"/>
  <c r="V232" i="48"/>
  <c r="V233" i="48"/>
  <c r="V234" i="48"/>
  <c r="V235" i="48"/>
  <c r="V236" i="48"/>
  <c r="V237" i="48"/>
  <c r="V238" i="48"/>
  <c r="V239" i="48"/>
  <c r="V240" i="48"/>
  <c r="V241" i="48"/>
  <c r="V242" i="48"/>
  <c r="V243" i="48"/>
  <c r="V244" i="48"/>
  <c r="V245" i="48"/>
  <c r="V246" i="48"/>
  <c r="V247" i="48"/>
  <c r="V248" i="48"/>
  <c r="V249" i="48"/>
  <c r="V250" i="48"/>
  <c r="V251" i="48"/>
  <c r="V252" i="48"/>
  <c r="V253" i="48"/>
  <c r="V254" i="48"/>
  <c r="V255" i="48"/>
  <c r="V256" i="48"/>
  <c r="V257" i="48"/>
  <c r="V258" i="48"/>
  <c r="V259" i="48"/>
  <c r="V260" i="48"/>
  <c r="V261" i="48"/>
  <c r="V262" i="48"/>
  <c r="V263" i="48"/>
  <c r="V264" i="48"/>
  <c r="V265" i="48"/>
  <c r="V266" i="48"/>
  <c r="V267" i="48"/>
  <c r="V268" i="48"/>
  <c r="V269" i="48"/>
  <c r="V270" i="48"/>
  <c r="V271" i="48"/>
  <c r="V272" i="48"/>
  <c r="V273" i="48"/>
  <c r="V274" i="48"/>
  <c r="V275" i="48"/>
  <c r="V276" i="48"/>
  <c r="V277" i="48"/>
  <c r="V278" i="48"/>
  <c r="V279" i="48"/>
  <c r="V280" i="48"/>
  <c r="V281" i="48"/>
  <c r="V282" i="48"/>
  <c r="V283" i="48"/>
  <c r="V284" i="48"/>
  <c r="V285" i="48"/>
  <c r="V286" i="48"/>
  <c r="V287" i="48"/>
  <c r="V288" i="48"/>
  <c r="V289" i="48"/>
  <c r="V290" i="48"/>
  <c r="V291" i="48"/>
  <c r="V292" i="48"/>
  <c r="V293" i="48"/>
  <c r="V294" i="48"/>
  <c r="V295" i="48"/>
  <c r="V296" i="48"/>
  <c r="V297" i="48"/>
  <c r="V298" i="48"/>
  <c r="V299" i="48"/>
  <c r="V300" i="48"/>
  <c r="V301" i="48"/>
  <c r="V302" i="48"/>
  <c r="V303" i="48"/>
  <c r="V304" i="48"/>
  <c r="V305" i="48"/>
  <c r="V306" i="48"/>
  <c r="AC21" i="48"/>
  <c r="V307" i="48"/>
  <c r="AE23" i="48" l="1"/>
  <c r="AE24" i="48"/>
  <c r="AE25" i="48"/>
  <c r="AE26" i="48"/>
  <c r="AE27" i="48"/>
  <c r="AE28" i="48"/>
  <c r="AE29" i="48"/>
  <c r="AE30" i="48"/>
  <c r="AE31" i="48"/>
  <c r="AE32" i="48"/>
  <c r="AE33" i="48"/>
  <c r="AE34" i="48"/>
  <c r="AE35" i="48"/>
  <c r="AE36" i="48"/>
  <c r="AE37" i="48"/>
  <c r="AE38" i="48"/>
  <c r="AE39" i="48"/>
  <c r="AE40" i="48"/>
  <c r="AE41" i="48"/>
  <c r="AE42" i="48"/>
  <c r="AE43" i="48"/>
  <c r="AE44" i="48"/>
  <c r="AE45" i="48"/>
  <c r="AE46" i="48"/>
  <c r="AE47" i="48"/>
  <c r="AE48" i="48"/>
  <c r="AE49" i="48"/>
  <c r="AE50" i="48"/>
  <c r="AE51" i="48"/>
  <c r="AE52" i="48"/>
  <c r="AE53" i="48"/>
  <c r="AE54" i="48"/>
  <c r="AE55" i="48"/>
  <c r="AE56" i="48"/>
  <c r="AE57" i="48"/>
  <c r="AE58" i="48"/>
  <c r="AE59" i="48"/>
  <c r="AE60" i="48"/>
  <c r="AE61" i="48"/>
  <c r="AE62" i="48"/>
  <c r="AE63" i="48"/>
  <c r="AE64" i="48"/>
  <c r="AE65" i="48"/>
  <c r="AE66" i="48"/>
  <c r="AE67" i="48"/>
  <c r="AE68" i="48"/>
  <c r="AE69" i="48"/>
  <c r="AE70" i="48"/>
  <c r="AE71" i="48"/>
  <c r="AE72" i="48"/>
  <c r="AE73" i="48"/>
  <c r="AE74" i="48"/>
  <c r="AE75" i="48"/>
  <c r="AE76" i="48"/>
  <c r="AE77" i="48"/>
  <c r="AE78" i="48"/>
  <c r="AE79" i="48"/>
  <c r="AE80" i="48"/>
  <c r="AE81" i="48"/>
  <c r="AE82" i="48"/>
  <c r="AE83" i="48"/>
  <c r="AE84" i="48"/>
  <c r="AE85" i="48"/>
  <c r="AE86" i="48"/>
  <c r="AE87" i="48"/>
  <c r="AE88" i="48"/>
  <c r="AE89" i="48"/>
  <c r="AE90" i="48"/>
  <c r="AE91" i="48"/>
  <c r="AE92" i="48"/>
  <c r="AE93" i="48"/>
  <c r="AE94" i="48"/>
  <c r="AE95" i="48"/>
  <c r="AE96" i="48"/>
  <c r="AE97" i="48"/>
  <c r="AE98" i="48"/>
  <c r="AE99" i="48"/>
  <c r="AE100" i="48"/>
  <c r="AE101" i="48"/>
  <c r="AE102" i="48"/>
  <c r="AE103" i="48"/>
  <c r="AE104" i="48"/>
  <c r="AE105" i="48"/>
  <c r="AE106" i="48"/>
  <c r="AE107" i="48"/>
  <c r="AE108" i="48"/>
  <c r="AE109" i="48"/>
  <c r="AE110" i="48"/>
  <c r="AE111" i="48"/>
  <c r="AE112" i="48"/>
  <c r="AE113" i="48"/>
  <c r="AE114" i="48"/>
  <c r="AE115" i="48"/>
  <c r="AE116" i="48"/>
  <c r="AE117" i="48"/>
  <c r="AE118" i="48"/>
  <c r="AE119" i="48"/>
  <c r="AE120" i="48"/>
  <c r="AE121" i="48"/>
  <c r="AE122" i="48"/>
  <c r="AE123" i="48"/>
  <c r="AE124" i="48"/>
  <c r="AE125" i="48"/>
  <c r="AE126" i="48"/>
  <c r="AE127" i="48"/>
  <c r="AE128" i="48"/>
  <c r="AE129" i="48"/>
  <c r="AE130" i="48"/>
  <c r="AE131" i="48"/>
  <c r="AE132" i="48"/>
  <c r="AE133" i="48"/>
  <c r="AE134" i="48"/>
  <c r="AE135" i="48"/>
  <c r="AE136" i="48"/>
  <c r="AE137" i="48"/>
  <c r="AE138" i="48"/>
  <c r="AE139" i="48"/>
  <c r="AE140" i="48"/>
  <c r="AE141" i="48"/>
  <c r="AE142" i="48"/>
  <c r="AE143" i="48"/>
  <c r="AE144" i="48"/>
  <c r="AE145" i="48"/>
  <c r="AE146" i="48"/>
  <c r="AE147" i="48"/>
  <c r="AE148" i="48"/>
  <c r="AE149" i="48"/>
  <c r="AE150" i="48"/>
  <c r="AE151" i="48"/>
  <c r="AE152" i="48"/>
  <c r="AE153" i="48"/>
  <c r="AE154" i="48"/>
  <c r="AE155" i="48"/>
  <c r="AE156" i="48"/>
  <c r="AE157" i="48"/>
  <c r="AE158" i="48"/>
  <c r="AE159" i="48"/>
  <c r="AE160" i="48"/>
  <c r="AE161" i="48"/>
  <c r="AE162" i="48"/>
  <c r="AE163" i="48"/>
  <c r="AE164" i="48"/>
  <c r="AE165" i="48"/>
  <c r="AE166" i="48"/>
  <c r="AE167" i="48"/>
  <c r="AE168" i="48"/>
  <c r="AE169" i="48"/>
  <c r="AE170" i="48"/>
  <c r="AE171" i="48"/>
  <c r="AE172" i="48"/>
  <c r="AE173" i="48"/>
  <c r="AE174" i="48"/>
  <c r="AE175" i="48"/>
  <c r="AE176" i="48"/>
  <c r="AE177" i="48"/>
  <c r="AE178" i="48"/>
  <c r="AE179" i="48"/>
  <c r="AE180" i="48"/>
  <c r="AE181" i="48"/>
  <c r="AE182" i="48"/>
  <c r="AE183" i="48"/>
  <c r="AE184" i="48"/>
  <c r="AE185" i="48"/>
  <c r="AE186" i="48"/>
  <c r="AE187" i="48"/>
  <c r="AE188" i="48"/>
  <c r="AE189" i="48"/>
  <c r="AE190" i="48"/>
  <c r="AE191" i="48"/>
  <c r="AE192" i="48"/>
  <c r="AE193" i="48"/>
  <c r="AE194" i="48"/>
  <c r="AE195" i="48"/>
  <c r="AE196" i="48"/>
  <c r="AE197" i="48"/>
  <c r="AE198" i="48"/>
  <c r="AE199" i="48"/>
  <c r="AE200" i="48"/>
  <c r="AE201" i="48"/>
  <c r="AE202" i="48"/>
  <c r="AE203" i="48"/>
  <c r="AE204" i="48"/>
  <c r="AE205" i="48"/>
  <c r="AE206" i="48"/>
  <c r="AE207" i="48"/>
  <c r="AE208" i="48"/>
  <c r="AE209" i="48"/>
  <c r="AE210" i="48"/>
  <c r="AE211" i="48"/>
  <c r="AE212" i="48"/>
  <c r="AE213" i="48"/>
  <c r="AE214" i="48"/>
  <c r="AE215" i="48"/>
  <c r="AE216" i="48"/>
  <c r="AE217" i="48"/>
  <c r="AE218" i="48"/>
  <c r="AE219" i="48"/>
  <c r="AE220" i="48"/>
  <c r="AE221" i="48"/>
  <c r="AE222" i="48"/>
  <c r="AE223" i="48"/>
  <c r="AE224" i="48"/>
  <c r="AE225" i="48"/>
  <c r="AE226" i="48"/>
  <c r="AE227" i="48"/>
  <c r="AE228" i="48"/>
  <c r="AE229" i="48"/>
  <c r="AE230" i="48"/>
  <c r="AE231" i="48"/>
  <c r="AE232" i="48"/>
  <c r="AE233" i="48"/>
  <c r="AE234" i="48"/>
  <c r="AE235" i="48"/>
  <c r="AE236" i="48"/>
  <c r="AE237" i="48"/>
  <c r="AE238" i="48"/>
  <c r="AE239" i="48"/>
  <c r="AE240" i="48"/>
  <c r="AE241" i="48"/>
  <c r="AE242" i="48"/>
  <c r="AE243" i="48"/>
  <c r="AE244" i="48"/>
  <c r="AE245" i="48"/>
  <c r="AE246" i="48"/>
  <c r="AE247" i="48"/>
  <c r="AE248" i="48"/>
  <c r="AE249" i="48"/>
  <c r="AE250" i="48"/>
  <c r="AE251" i="48"/>
  <c r="AE252" i="48"/>
  <c r="AE253" i="48"/>
  <c r="AE254" i="48"/>
  <c r="AE255" i="48"/>
  <c r="AE256" i="48"/>
  <c r="AE257" i="48"/>
  <c r="AE258" i="48"/>
  <c r="AE259" i="48"/>
  <c r="AE260" i="48"/>
  <c r="AE261" i="48"/>
  <c r="AE262" i="48"/>
  <c r="AE263" i="48"/>
  <c r="AE264" i="48"/>
  <c r="AE265" i="48"/>
  <c r="AE266" i="48"/>
  <c r="AE267" i="48"/>
  <c r="AE268" i="48"/>
  <c r="AE269" i="48"/>
  <c r="AE270" i="48"/>
  <c r="AE271" i="48"/>
  <c r="AE272" i="48"/>
  <c r="AE273" i="48"/>
  <c r="AE274" i="48"/>
  <c r="AE275" i="48"/>
  <c r="AE276" i="48"/>
  <c r="AE277" i="48"/>
  <c r="AE278" i="48"/>
  <c r="AE279" i="48"/>
  <c r="AE280" i="48"/>
  <c r="AE281" i="48"/>
  <c r="AE282" i="48"/>
  <c r="AE283" i="48"/>
  <c r="AE284" i="48"/>
  <c r="AE285" i="48"/>
  <c r="AE286" i="48"/>
  <c r="AE287" i="48"/>
  <c r="AE288" i="48"/>
  <c r="AE289" i="48"/>
  <c r="AE290" i="48"/>
  <c r="AE291" i="48"/>
  <c r="AE292" i="48"/>
  <c r="AE293" i="48"/>
  <c r="AE294" i="48"/>
  <c r="AE295" i="48"/>
  <c r="AE296" i="48"/>
  <c r="AE297" i="48"/>
  <c r="AE298" i="48"/>
  <c r="AE299" i="48"/>
  <c r="AE300" i="48"/>
  <c r="AE301" i="48"/>
  <c r="AE302" i="48"/>
  <c r="AE303" i="48"/>
  <c r="AE304" i="48"/>
  <c r="AE305" i="48"/>
  <c r="AE306" i="48"/>
  <c r="AE307" i="48"/>
  <c r="W18" i="48"/>
  <c r="V16" i="48"/>
  <c r="V18" i="48"/>
  <c r="AL21" i="48"/>
  <c r="AN23" i="48" l="1"/>
  <c r="AN24" i="48"/>
  <c r="AN25" i="48"/>
  <c r="AN26" i="48"/>
  <c r="AN27" i="48"/>
  <c r="AN28" i="48"/>
  <c r="AN29" i="48"/>
  <c r="AN30" i="48"/>
  <c r="AN31" i="48"/>
  <c r="AN32" i="48"/>
  <c r="AN33" i="48"/>
  <c r="AN34" i="48"/>
  <c r="AN35" i="48"/>
  <c r="AN36" i="48"/>
  <c r="AN37" i="48"/>
  <c r="AN38" i="48"/>
  <c r="AN39" i="48"/>
  <c r="AN40" i="48"/>
  <c r="AN41" i="48"/>
  <c r="AN42" i="48"/>
  <c r="AN43" i="48"/>
  <c r="AN44" i="48"/>
  <c r="AN45" i="48"/>
  <c r="AN46" i="48"/>
  <c r="AN47" i="48"/>
  <c r="AN48" i="48"/>
  <c r="AN49" i="48"/>
  <c r="AN50" i="48"/>
  <c r="AN51" i="48"/>
  <c r="AN52" i="48"/>
  <c r="AN53" i="48"/>
  <c r="AN54" i="48"/>
  <c r="AN55" i="48"/>
  <c r="AN56" i="48"/>
  <c r="AN57" i="48"/>
  <c r="AN58" i="48"/>
  <c r="AN59" i="48"/>
  <c r="AN60" i="48"/>
  <c r="AN61" i="48"/>
  <c r="AN62" i="48"/>
  <c r="AN63" i="48"/>
  <c r="AN64" i="48"/>
  <c r="AN65" i="48"/>
  <c r="AN66" i="48"/>
  <c r="AN67" i="48"/>
  <c r="AN68" i="48"/>
  <c r="AN69" i="48"/>
  <c r="AN70" i="48"/>
  <c r="AN71" i="48"/>
  <c r="AN72" i="48"/>
  <c r="AN73" i="48"/>
  <c r="AN74" i="48"/>
  <c r="AN75" i="48"/>
  <c r="AN76" i="48"/>
  <c r="AN77" i="48"/>
  <c r="AN78" i="48"/>
  <c r="AN79" i="48"/>
  <c r="AN80" i="48"/>
  <c r="AN81" i="48"/>
  <c r="AN82" i="48"/>
  <c r="AN83" i="48"/>
  <c r="AN84" i="48"/>
  <c r="AN85" i="48"/>
  <c r="AN86" i="48"/>
  <c r="AN87" i="48"/>
  <c r="AN88" i="48"/>
  <c r="AN89" i="48"/>
  <c r="AN90" i="48"/>
  <c r="AN91" i="48"/>
  <c r="AN92" i="48"/>
  <c r="AN93" i="48"/>
  <c r="AN94" i="48"/>
  <c r="AN95" i="48"/>
  <c r="AN96" i="48"/>
  <c r="AN97" i="48"/>
  <c r="AN98" i="48"/>
  <c r="AN99" i="48"/>
  <c r="AN100" i="48"/>
  <c r="AN101" i="48"/>
  <c r="AN102" i="48"/>
  <c r="AN103" i="48"/>
  <c r="AN104" i="48"/>
  <c r="AN105" i="48"/>
  <c r="AN106" i="48"/>
  <c r="AN107" i="48"/>
  <c r="AN108" i="48"/>
  <c r="AN109" i="48"/>
  <c r="AN110" i="48"/>
  <c r="AN111" i="48"/>
  <c r="AN112" i="48"/>
  <c r="AN113" i="48"/>
  <c r="AN114" i="48"/>
  <c r="AN115" i="48"/>
  <c r="AN116" i="48"/>
  <c r="AN117" i="48"/>
  <c r="AN118" i="48"/>
  <c r="AN119" i="48"/>
  <c r="AN120" i="48"/>
  <c r="AN121" i="48"/>
  <c r="AN122" i="48"/>
  <c r="AN123" i="48"/>
  <c r="AN124" i="48"/>
  <c r="AN125" i="48"/>
  <c r="AN126" i="48"/>
  <c r="AN127" i="48"/>
  <c r="AN128" i="48"/>
  <c r="AN129" i="48"/>
  <c r="AN130" i="48"/>
  <c r="AN131" i="48"/>
  <c r="AN132" i="48"/>
  <c r="AN133" i="48"/>
  <c r="AN134" i="48"/>
  <c r="AN135" i="48"/>
  <c r="AN136" i="48"/>
  <c r="AN137" i="48"/>
  <c r="AN138" i="48"/>
  <c r="AN139" i="48"/>
  <c r="AN140" i="48"/>
  <c r="AN141" i="48"/>
  <c r="AN142" i="48"/>
  <c r="AN143" i="48"/>
  <c r="AN144" i="48"/>
  <c r="AN145" i="48"/>
  <c r="AN146" i="48"/>
  <c r="AN147" i="48"/>
  <c r="AN148" i="48"/>
  <c r="AN149" i="48"/>
  <c r="AN150" i="48"/>
  <c r="AN151" i="48"/>
  <c r="AN152" i="48"/>
  <c r="AN153" i="48"/>
  <c r="AN154" i="48"/>
  <c r="AN155" i="48"/>
  <c r="AN156" i="48"/>
  <c r="AN157" i="48"/>
  <c r="AN158" i="48"/>
  <c r="AN159" i="48"/>
  <c r="AN160" i="48"/>
  <c r="AN161" i="48"/>
  <c r="AN162" i="48"/>
  <c r="AN163" i="48"/>
  <c r="AN164" i="48"/>
  <c r="AN165" i="48"/>
  <c r="AN166" i="48"/>
  <c r="AN167" i="48"/>
  <c r="AN168" i="48"/>
  <c r="AN169" i="48"/>
  <c r="AN170" i="48"/>
  <c r="AN171" i="48"/>
  <c r="AN172" i="48"/>
  <c r="AN173" i="48"/>
  <c r="AN174" i="48"/>
  <c r="AN175" i="48"/>
  <c r="AN176" i="48"/>
  <c r="AN177" i="48"/>
  <c r="AN178" i="48"/>
  <c r="AN179" i="48"/>
  <c r="AN180" i="48"/>
  <c r="AN181" i="48"/>
  <c r="AN182" i="48"/>
  <c r="AN183" i="48"/>
  <c r="AN184" i="48"/>
  <c r="AN185" i="48"/>
  <c r="AN186" i="48"/>
  <c r="AN187" i="48"/>
  <c r="AN188" i="48"/>
  <c r="AN189" i="48"/>
  <c r="AN190" i="48"/>
  <c r="AN191" i="48"/>
  <c r="AN192" i="48"/>
  <c r="AN193" i="48"/>
  <c r="AN194" i="48"/>
  <c r="AN195" i="48"/>
  <c r="AN196" i="48"/>
  <c r="AN197" i="48"/>
  <c r="AN198" i="48"/>
  <c r="AN199" i="48"/>
  <c r="AN200" i="48"/>
  <c r="AN201" i="48"/>
  <c r="AN202" i="48"/>
  <c r="AN203" i="48"/>
  <c r="AN204" i="48"/>
  <c r="AN205" i="48"/>
  <c r="AN206" i="48"/>
  <c r="AN207" i="48"/>
  <c r="AN208" i="48"/>
  <c r="AN209" i="48"/>
  <c r="AN210" i="48"/>
  <c r="AN211" i="48"/>
  <c r="AN212" i="48"/>
  <c r="AN213" i="48"/>
  <c r="AN214" i="48"/>
  <c r="AN215" i="48"/>
  <c r="AN216" i="48"/>
  <c r="AN217" i="48"/>
  <c r="AN218" i="48"/>
  <c r="AN219" i="48"/>
  <c r="AN220" i="48"/>
  <c r="AN221" i="48"/>
  <c r="AN222" i="48"/>
  <c r="AN223" i="48"/>
  <c r="AN224" i="48"/>
  <c r="AN225" i="48"/>
  <c r="AN226" i="48"/>
  <c r="AN227" i="48"/>
  <c r="AN228" i="48"/>
  <c r="AN229" i="48"/>
  <c r="AN230" i="48"/>
  <c r="AN231" i="48"/>
  <c r="AN232" i="48"/>
  <c r="AN233" i="48"/>
  <c r="AN234" i="48"/>
  <c r="AN235" i="48"/>
  <c r="AN236" i="48"/>
  <c r="AN237" i="48"/>
  <c r="AN238" i="48"/>
  <c r="AN239" i="48"/>
  <c r="AN240" i="48"/>
  <c r="AN241" i="48"/>
  <c r="AN242" i="48"/>
  <c r="AN243" i="48"/>
  <c r="AN244" i="48"/>
  <c r="AN245" i="48"/>
  <c r="AN246" i="48"/>
  <c r="AN247" i="48"/>
  <c r="AN248" i="48"/>
  <c r="AN249" i="48"/>
  <c r="AN250" i="48"/>
  <c r="AN251" i="48"/>
  <c r="AN252" i="48"/>
  <c r="AN253" i="48"/>
  <c r="AN254" i="48"/>
  <c r="AN255" i="48"/>
  <c r="AN256" i="48"/>
  <c r="AN257" i="48"/>
  <c r="AN258" i="48"/>
  <c r="AN259" i="48"/>
  <c r="AN260" i="48"/>
  <c r="AN261" i="48"/>
  <c r="AN262" i="48"/>
  <c r="AN263" i="48"/>
  <c r="AN264" i="48"/>
  <c r="AN265" i="48"/>
  <c r="AN266" i="48"/>
  <c r="AN267" i="48"/>
  <c r="AN268" i="48"/>
  <c r="AN269" i="48"/>
  <c r="AN270" i="48"/>
  <c r="AN271" i="48"/>
  <c r="AN272" i="48"/>
  <c r="AN273" i="48"/>
  <c r="AN274" i="48"/>
  <c r="AN275" i="48"/>
  <c r="AN276" i="48"/>
  <c r="AN277" i="48"/>
  <c r="AN278" i="48"/>
  <c r="AN279" i="48"/>
  <c r="AN280" i="48"/>
  <c r="AN281" i="48"/>
  <c r="AN282" i="48"/>
  <c r="AN283" i="48"/>
  <c r="AN284" i="48"/>
  <c r="AN285" i="48"/>
  <c r="AN286" i="48"/>
  <c r="AN287" i="48"/>
  <c r="AN288" i="48"/>
  <c r="AN289" i="48"/>
  <c r="AN290" i="48"/>
  <c r="AN291" i="48"/>
  <c r="AN292" i="48"/>
  <c r="AN293" i="48"/>
  <c r="AN294" i="48"/>
  <c r="AN295" i="48"/>
  <c r="AN296" i="48"/>
  <c r="AN297" i="48"/>
  <c r="AN298" i="48"/>
  <c r="AN299" i="48"/>
  <c r="AN300" i="48"/>
  <c r="AN301" i="48"/>
  <c r="AN302" i="48"/>
  <c r="AN303" i="48"/>
  <c r="AN304" i="48"/>
  <c r="AN305" i="48"/>
  <c r="AN306" i="48"/>
  <c r="AN307" i="48"/>
  <c r="AE18" i="48"/>
  <c r="AF18" i="48"/>
  <c r="AE16" i="48"/>
  <c r="AN18" i="48" l="1"/>
  <c r="AO18" i="48"/>
  <c r="AN16" i="48"/>
  <c r="C99" i="43" l="1"/>
  <c r="C58" i="43"/>
  <c r="A37" i="43" a="1"/>
  <c r="A37" i="43" s="1"/>
  <c r="A81" i="43" s="1" a="1"/>
  <c r="A81" i="43" s="1"/>
  <c r="C56" i="42" l="1"/>
  <c r="C57" i="42"/>
  <c r="C58" i="42"/>
  <c r="C61" i="42"/>
  <c r="C60" i="42"/>
  <c r="C28" i="42" l="1" a="1"/>
  <c r="A29" i="42"/>
  <c r="A30" i="42" s="1"/>
  <c r="A31" i="42" s="1"/>
  <c r="A32" i="42" s="1"/>
  <c r="A33" i="42" s="1"/>
  <c r="A34" i="42" s="1"/>
  <c r="A35" i="42" s="1"/>
  <c r="A36" i="42" s="1"/>
  <c r="A37" i="42" s="1"/>
  <c r="A156" i="39" a="1"/>
  <c r="A156" i="39" s="1"/>
  <c r="A148" i="39"/>
  <c r="C28" i="39"/>
  <c r="C29" i="39"/>
  <c r="C30" i="39"/>
  <c r="C31" i="39"/>
  <c r="C32" i="39"/>
  <c r="C33" i="39"/>
  <c r="B28" i="39"/>
  <c r="B29" i="39"/>
  <c r="B30" i="39"/>
  <c r="B31" i="39"/>
  <c r="B32" i="39"/>
  <c r="B33" i="39"/>
  <c r="C28" i="42" l="1"/>
  <c r="D29" i="42"/>
  <c r="D31" i="42"/>
  <c r="D30" i="42"/>
  <c r="A19" i="39"/>
  <c r="C96" i="39"/>
  <c r="C97" i="39" s="1"/>
  <c r="C98" i="39" s="1"/>
  <c r="C99" i="39" s="1"/>
  <c r="C100" i="39" s="1"/>
  <c r="C101" i="39" s="1"/>
  <c r="C102" i="39" s="1"/>
  <c r="C103" i="39" s="1"/>
  <c r="C104" i="39" s="1"/>
  <c r="E19" i="39"/>
  <c r="E20" i="39"/>
  <c r="E21" i="39"/>
  <c r="E22" i="39"/>
  <c r="E18" i="39"/>
  <c r="F19" i="39"/>
  <c r="F20" i="39"/>
  <c r="F21" i="39"/>
  <c r="F22" i="39"/>
  <c r="F18" i="39"/>
  <c r="G19" i="39"/>
  <c r="F43" i="39" s="1"/>
  <c r="G20" i="39"/>
  <c r="L44" i="39" s="1"/>
  <c r="G21" i="39"/>
  <c r="L45" i="39" s="1"/>
  <c r="G22" i="39"/>
  <c r="J46" i="39" s="1"/>
  <c r="G18" i="39"/>
  <c r="E29" i="39"/>
  <c r="D29" i="39"/>
  <c r="D30" i="39" s="1"/>
  <c r="D31" i="39" s="1"/>
  <c r="D32" i="39" s="1"/>
  <c r="D33" i="39" s="1"/>
  <c r="D101" i="39" a="1"/>
  <c r="D102" i="39" a="1"/>
  <c r="D104" i="39" a="1"/>
  <c r="D98" i="39" a="1"/>
  <c r="D95" i="39" a="1"/>
  <c r="F28" i="39" a="1"/>
  <c r="D99" i="39" a="1"/>
  <c r="D103" i="39" a="1"/>
  <c r="D97" i="39" a="1"/>
  <c r="D100" i="39" a="1"/>
  <c r="D96" i="39" a="1"/>
  <c r="F29" i="39" a="1"/>
  <c r="F29" i="39" l="1"/>
  <c r="F28" i="39"/>
  <c r="D95" i="39"/>
  <c r="D97" i="39"/>
  <c r="L42" i="39"/>
  <c r="A69" i="39" a="1"/>
  <c r="A69" i="39" s="1"/>
  <c r="A138" i="39" s="1" a="1"/>
  <c r="A138" i="39" s="1"/>
  <c r="A125" i="39" a="1"/>
  <c r="A125" i="39" s="1"/>
  <c r="E30" i="39"/>
  <c r="B125" i="39" a="1"/>
  <c r="B125" i="39" s="1"/>
  <c r="A70" i="39" a="1"/>
  <c r="A70" i="39" s="1"/>
  <c r="A139" i="39" s="1" a="1"/>
  <c r="A139" i="39" s="1"/>
  <c r="D96" i="39"/>
  <c r="G43" i="39"/>
  <c r="C42" i="39"/>
  <c r="F42" i="39"/>
  <c r="J44" i="39"/>
  <c r="E45" i="39"/>
  <c r="K45" i="39"/>
  <c r="J43" i="39"/>
  <c r="D42" i="39"/>
  <c r="G46" i="39"/>
  <c r="J42" i="39"/>
  <c r="K43" i="39"/>
  <c r="E43" i="39"/>
  <c r="E46" i="39"/>
  <c r="H42" i="39"/>
  <c r="H46" i="39"/>
  <c r="G44" i="39"/>
  <c r="I43" i="39"/>
  <c r="H43" i="39"/>
  <c r="J45" i="39"/>
  <c r="L43" i="39"/>
  <c r="K46" i="39"/>
  <c r="F46" i="39"/>
  <c r="A20" i="39"/>
  <c r="F44" i="39"/>
  <c r="G45" i="39"/>
  <c r="G42" i="39"/>
  <c r="H44" i="39"/>
  <c r="I46" i="39"/>
  <c r="I44" i="39"/>
  <c r="K42" i="39"/>
  <c r="K44" i="39"/>
  <c r="L46" i="39"/>
  <c r="E44" i="39"/>
  <c r="F45" i="39"/>
  <c r="H45" i="39"/>
  <c r="E42" i="39"/>
  <c r="I42" i="39"/>
  <c r="I45" i="39"/>
  <c r="D101" i="39"/>
  <c r="D99" i="39"/>
  <c r="D103" i="39"/>
  <c r="D104" i="39"/>
  <c r="D102" i="39"/>
  <c r="D100" i="39"/>
  <c r="D98" i="39"/>
  <c r="J96" i="39" a="1"/>
  <c r="J53" i="39"/>
  <c r="H98" i="39" a="1"/>
  <c r="I104" i="39" a="1"/>
  <c r="H95" i="39" a="1"/>
  <c r="K98" i="39" a="1"/>
  <c r="F53" i="39"/>
  <c r="H52" i="39"/>
  <c r="H97" i="39" a="1"/>
  <c r="H51" i="39"/>
  <c r="G51" i="39"/>
  <c r="I95" i="39" a="1"/>
  <c r="K55" i="39"/>
  <c r="F52" i="39"/>
  <c r="K100" i="39" a="1"/>
  <c r="J99" i="39" a="1"/>
  <c r="I103" i="39" a="1"/>
  <c r="F54" i="39"/>
  <c r="L55" i="39"/>
  <c r="G53" i="39"/>
  <c r="L52" i="39"/>
  <c r="M95" i="39" a="1"/>
  <c r="H100" i="39" a="1"/>
  <c r="G99" i="39" a="1"/>
  <c r="H96" i="39" a="1"/>
  <c r="I55" i="39"/>
  <c r="L96" i="39" a="1"/>
  <c r="J51" i="39"/>
  <c r="N104" i="39" a="1"/>
  <c r="H101" i="39" a="1"/>
  <c r="E54" i="39"/>
  <c r="E55" i="39"/>
  <c r="I53" i="39"/>
  <c r="I50" i="39"/>
  <c r="M100" i="39" a="1"/>
  <c r="L53" i="39"/>
  <c r="F55" i="39"/>
  <c r="F30" i="39" a="1"/>
  <c r="J103" i="39" a="1"/>
  <c r="I101" i="39" a="1"/>
  <c r="G50" i="39"/>
  <c r="N103" i="39" a="1"/>
  <c r="L102" i="39" a="1"/>
  <c r="K52" i="39"/>
  <c r="N102" i="39" a="1"/>
  <c r="J102" i="39" a="1"/>
  <c r="G54" i="39"/>
  <c r="K104" i="39" a="1"/>
  <c r="J100" i="39" a="1"/>
  <c r="F50" i="39"/>
  <c r="I52" i="39"/>
  <c r="J97" i="39" a="1"/>
  <c r="H50" i="39"/>
  <c r="K51" i="39"/>
  <c r="N95" i="39" a="1"/>
  <c r="K95" i="39" a="1"/>
  <c r="G101" i="39" a="1"/>
  <c r="I51" i="39"/>
  <c r="J98" i="39" a="1"/>
  <c r="L54" i="39"/>
  <c r="M97" i="39" a="1"/>
  <c r="E53" i="39"/>
  <c r="M104" i="39" a="1"/>
  <c r="G97" i="39" a="1"/>
  <c r="M99" i="39" a="1"/>
  <c r="N97" i="39" a="1"/>
  <c r="I54" i="39"/>
  <c r="L97" i="39" a="1"/>
  <c r="L104" i="39" a="1"/>
  <c r="G96" i="39" a="1"/>
  <c r="L51" i="39"/>
  <c r="J52" i="39"/>
  <c r="J55" i="39"/>
  <c r="F51" i="39"/>
  <c r="E51" i="39"/>
  <c r="N99" i="39" a="1"/>
  <c r="K96" i="39" a="1"/>
  <c r="K50" i="39"/>
  <c r="G52" i="39"/>
  <c r="H104" i="39" a="1"/>
  <c r="N100" i="39" a="1"/>
  <c r="G100" i="39" a="1"/>
  <c r="J101" i="39" a="1"/>
  <c r="K53" i="39"/>
  <c r="H54" i="39"/>
  <c r="E50" i="39"/>
  <c r="H53" i="39"/>
  <c r="J50" i="39"/>
  <c r="G55" i="39"/>
  <c r="K54" i="39"/>
  <c r="G98" i="39" a="1"/>
  <c r="H55" i="39"/>
  <c r="I98" i="39" a="1"/>
  <c r="E52" i="39"/>
  <c r="K97" i="39" a="1"/>
  <c r="J54" i="39"/>
  <c r="L100" i="39" a="1"/>
  <c r="L50" i="39"/>
  <c r="J104" i="39" a="1"/>
  <c r="F30" i="39" l="1"/>
  <c r="E31" i="39"/>
  <c r="N104" i="39"/>
  <c r="N102" i="39"/>
  <c r="N100" i="39"/>
  <c r="N99" i="39"/>
  <c r="N97" i="39"/>
  <c r="N95" i="39"/>
  <c r="N103" i="39"/>
  <c r="M97" i="39"/>
  <c r="M104" i="39"/>
  <c r="M100" i="39"/>
  <c r="M99" i="39"/>
  <c r="M95" i="39"/>
  <c r="L104" i="39"/>
  <c r="L102" i="39"/>
  <c r="L100" i="39"/>
  <c r="L97" i="39"/>
  <c r="L96" i="39"/>
  <c r="K104" i="39"/>
  <c r="K100" i="39"/>
  <c r="K98" i="39"/>
  <c r="K97" i="39"/>
  <c r="K96" i="39"/>
  <c r="K95" i="39"/>
  <c r="H104" i="39"/>
  <c r="H101" i="39"/>
  <c r="H100" i="39"/>
  <c r="H98" i="39"/>
  <c r="H97" i="39"/>
  <c r="H96" i="39"/>
  <c r="H95" i="39"/>
  <c r="G101" i="39"/>
  <c r="G100" i="39"/>
  <c r="G99" i="39"/>
  <c r="G98" i="39"/>
  <c r="G97" i="39"/>
  <c r="G96" i="39"/>
  <c r="I95" i="39"/>
  <c r="J103" i="39"/>
  <c r="J102" i="39"/>
  <c r="J100" i="39"/>
  <c r="J99" i="39"/>
  <c r="J97" i="39"/>
  <c r="J104" i="39"/>
  <c r="J101" i="39"/>
  <c r="J98" i="39"/>
  <c r="J96" i="39"/>
  <c r="I104" i="39"/>
  <c r="I103" i="39"/>
  <c r="I101" i="39"/>
  <c r="I98" i="39"/>
  <c r="A21" i="39"/>
  <c r="A22" i="39" s="1"/>
  <c r="A23" i="39" s="1"/>
  <c r="A72" i="39" s="1" a="1"/>
  <c r="A72" i="39" s="1"/>
  <c r="B57" i="39" a="1"/>
  <c r="B57" i="39" s="1"/>
  <c r="K57" i="39"/>
  <c r="F72" i="39" s="1"/>
  <c r="E57" i="39"/>
  <c r="C72" i="39" s="1"/>
  <c r="G57" i="39"/>
  <c r="D72" i="39" s="1"/>
  <c r="I57" i="39"/>
  <c r="E72" i="39" s="1"/>
  <c r="M96" i="39" a="1"/>
  <c r="K103" i="39" a="1"/>
  <c r="N98" i="39" a="1"/>
  <c r="K102" i="39" a="1"/>
  <c r="L95" i="39" a="1"/>
  <c r="N96" i="39" a="1"/>
  <c r="I102" i="39" a="1"/>
  <c r="K99" i="39" a="1"/>
  <c r="L99" i="39" a="1"/>
  <c r="L98" i="39" a="1"/>
  <c r="I100" i="39" a="1"/>
  <c r="H99" i="39" a="1"/>
  <c r="I99" i="39" a="1"/>
  <c r="G102" i="39" a="1"/>
  <c r="L101" i="39" a="1"/>
  <c r="G95" i="39" a="1"/>
  <c r="J95" i="39" a="1"/>
  <c r="K101" i="39" a="1"/>
  <c r="M101" i="39" a="1"/>
  <c r="I97" i="39" a="1"/>
  <c r="M102" i="39" a="1"/>
  <c r="I96" i="39" a="1"/>
  <c r="M98" i="39" a="1"/>
  <c r="M103" i="39" a="1"/>
  <c r="H103" i="39" a="1"/>
  <c r="L103" i="39" a="1"/>
  <c r="G103" i="39" a="1"/>
  <c r="H102" i="39" a="1"/>
  <c r="N101" i="39" a="1"/>
  <c r="G104" i="39" a="1"/>
  <c r="F31" i="39" a="1"/>
  <c r="L95" i="39" l="1"/>
  <c r="L103" i="39"/>
  <c r="K102" i="39"/>
  <c r="F31" i="39"/>
  <c r="G102" i="39"/>
  <c r="M96" i="39"/>
  <c r="M101" i="39"/>
  <c r="K103" i="39"/>
  <c r="L101" i="39"/>
  <c r="H103" i="39"/>
  <c r="I100" i="39"/>
  <c r="K101" i="39"/>
  <c r="N101" i="39"/>
  <c r="J95" i="39"/>
  <c r="H102" i="39"/>
  <c r="M103" i="39"/>
  <c r="M98" i="39"/>
  <c r="M102" i="39"/>
  <c r="G95" i="39"/>
  <c r="L98" i="39"/>
  <c r="G103" i="39"/>
  <c r="K99" i="39"/>
  <c r="N98" i="39"/>
  <c r="L99" i="39"/>
  <c r="I96" i="39"/>
  <c r="G104" i="39"/>
  <c r="I102" i="39"/>
  <c r="N96" i="39"/>
  <c r="I99" i="39"/>
  <c r="I97" i="39"/>
  <c r="H99" i="39"/>
  <c r="B50" i="39" a="1"/>
  <c r="B50" i="39" s="1"/>
  <c r="E32" i="39"/>
  <c r="F32" i="39" a="1"/>
  <c r="F32" i="39" l="1"/>
  <c r="E33" i="39"/>
  <c r="F33" i="39" a="1"/>
  <c r="F33" i="39" l="1"/>
  <c r="B130" i="43"/>
  <c r="C129" i="43"/>
  <c r="C130" i="43" s="1"/>
  <c r="A106" i="43"/>
  <c r="A107" i="43" s="1"/>
  <c r="B103" i="43"/>
  <c r="C102" i="43"/>
  <c r="D102" i="43" s="1"/>
  <c r="B62" i="43"/>
  <c r="A65" i="43"/>
  <c r="A66" i="43" s="1"/>
  <c r="A67" i="43" s="1"/>
  <c r="C61" i="43"/>
  <c r="D61" i="43" s="1"/>
  <c r="D62" i="43" s="1"/>
  <c r="D67" i="43" l="1"/>
  <c r="B65" i="43"/>
  <c r="B67" i="43"/>
  <c r="B66" i="43"/>
  <c r="B107" i="43"/>
  <c r="B106" i="43"/>
  <c r="D129" i="43"/>
  <c r="D130" i="43" s="1"/>
  <c r="C103" i="43"/>
  <c r="E102" i="43"/>
  <c r="D103" i="43"/>
  <c r="A108" i="43"/>
  <c r="B108" i="43" s="1"/>
  <c r="C62" i="43"/>
  <c r="E61" i="43"/>
  <c r="E62" i="43" s="1"/>
  <c r="A68" i="43"/>
  <c r="D68" i="43" s="1"/>
  <c r="B68" i="43" l="1"/>
  <c r="E68" i="43"/>
  <c r="D108" i="43"/>
  <c r="D109" i="43"/>
  <c r="C107" i="43"/>
  <c r="C108" i="43"/>
  <c r="C68" i="43"/>
  <c r="C69" i="43"/>
  <c r="C67" i="43"/>
  <c r="C66" i="43"/>
  <c r="F102" i="43"/>
  <c r="E103" i="43"/>
  <c r="A109" i="43"/>
  <c r="B109" i="43" s="1"/>
  <c r="F61" i="43"/>
  <c r="F62" i="43" s="1"/>
  <c r="A69" i="43"/>
  <c r="E69" i="43" s="1"/>
  <c r="B69" i="43" l="1"/>
  <c r="D69" i="43"/>
  <c r="F69" i="43"/>
  <c r="C109" i="43"/>
  <c r="E109" i="43"/>
  <c r="F103" i="43"/>
  <c r="G102" i="43"/>
  <c r="A110" i="43"/>
  <c r="G61" i="43"/>
  <c r="G62" i="43" s="1"/>
  <c r="A70" i="43"/>
  <c r="F70" i="43" s="1"/>
  <c r="G70" i="43" l="1"/>
  <c r="F110" i="43"/>
  <c r="B110" i="43"/>
  <c r="D110" i="43"/>
  <c r="C110" i="43"/>
  <c r="E110" i="43"/>
  <c r="D70" i="43"/>
  <c r="B70" i="43"/>
  <c r="C70" i="43"/>
  <c r="E70" i="43"/>
  <c r="A111" i="43"/>
  <c r="H102" i="43"/>
  <c r="G103" i="43"/>
  <c r="A71" i="43"/>
  <c r="H61" i="43"/>
  <c r="H62" i="43" s="1"/>
  <c r="B111" i="43" l="1"/>
  <c r="C111" i="43"/>
  <c r="D111" i="43"/>
  <c r="E111" i="43"/>
  <c r="F111" i="43"/>
  <c r="H71" i="43"/>
  <c r="B71" i="43"/>
  <c r="D71" i="43"/>
  <c r="E71" i="43"/>
  <c r="C71" i="43"/>
  <c r="F71" i="43"/>
  <c r="G111" i="43"/>
  <c r="G71" i="43"/>
  <c r="H103" i="43"/>
  <c r="I102" i="43"/>
  <c r="A112" i="43"/>
  <c r="G112" i="43" s="1"/>
  <c r="I61" i="43"/>
  <c r="I62" i="43" s="1"/>
  <c r="A72" i="43"/>
  <c r="H72" i="43" s="1"/>
  <c r="B72" i="43" l="1"/>
  <c r="D72" i="43"/>
  <c r="E72" i="43"/>
  <c r="C72" i="43"/>
  <c r="F72" i="43"/>
  <c r="G72" i="43"/>
  <c r="I73" i="43"/>
  <c r="I72" i="43"/>
  <c r="B112" i="43"/>
  <c r="C112" i="43"/>
  <c r="D112" i="43"/>
  <c r="E112" i="43"/>
  <c r="F112" i="43"/>
  <c r="H112" i="43"/>
  <c r="I103" i="43"/>
  <c r="J102" i="43"/>
  <c r="A113" i="43"/>
  <c r="H113" i="43" s="1"/>
  <c r="A73" i="43"/>
  <c r="J61" i="43"/>
  <c r="J62" i="43" s="1"/>
  <c r="J73" i="43" l="1"/>
  <c r="D73" i="43"/>
  <c r="B73" i="43"/>
  <c r="E73" i="43"/>
  <c r="C73" i="43"/>
  <c r="F73" i="43"/>
  <c r="G73" i="43"/>
  <c r="H73" i="43"/>
  <c r="B113" i="43"/>
  <c r="D113" i="43"/>
  <c r="C113" i="43"/>
  <c r="E113" i="43"/>
  <c r="F113" i="43"/>
  <c r="G113" i="43"/>
  <c r="I113" i="43"/>
  <c r="A114" i="43"/>
  <c r="I114" i="43" s="1"/>
  <c r="J103" i="43"/>
  <c r="K102" i="43"/>
  <c r="A74" i="43"/>
  <c r="K61" i="43"/>
  <c r="K62" i="43" s="1"/>
  <c r="J114" i="43" l="1"/>
  <c r="K74" i="43"/>
  <c r="D74" i="43"/>
  <c r="B74" i="43"/>
  <c r="E74" i="43"/>
  <c r="C74" i="43"/>
  <c r="F74" i="43"/>
  <c r="G74" i="43"/>
  <c r="H74" i="43"/>
  <c r="I74" i="43"/>
  <c r="B114" i="43"/>
  <c r="C114" i="43"/>
  <c r="D114" i="43"/>
  <c r="E114" i="43"/>
  <c r="F114" i="43"/>
  <c r="G114" i="43"/>
  <c r="H114" i="43"/>
  <c r="J74" i="43"/>
  <c r="A115" i="43"/>
  <c r="L102" i="43"/>
  <c r="L103" i="43" s="1"/>
  <c r="K103" i="43"/>
  <c r="L61" i="43"/>
  <c r="L62" i="43" s="1"/>
  <c r="B115" i="43" l="1"/>
  <c r="D115" i="43"/>
  <c r="C115" i="43"/>
  <c r="E115" i="43"/>
  <c r="F115" i="43"/>
  <c r="G115" i="43"/>
  <c r="H115" i="43"/>
  <c r="I115" i="43"/>
  <c r="L105" i="43"/>
  <c r="K105" i="43" s="1"/>
  <c r="L114" i="43"/>
  <c r="K113" i="43" s="1"/>
  <c r="L115" i="43"/>
  <c r="L107" i="43"/>
  <c r="K107" i="43" s="1"/>
  <c r="L109" i="43"/>
  <c r="K108" i="43" s="1"/>
  <c r="L111" i="43"/>
  <c r="L108" i="43"/>
  <c r="L113" i="43"/>
  <c r="L110" i="43"/>
  <c r="L106" i="43"/>
  <c r="L112" i="43"/>
  <c r="K112" i="43" s="1"/>
  <c r="L71" i="43"/>
  <c r="L67" i="43"/>
  <c r="L70" i="43"/>
  <c r="L72" i="43"/>
  <c r="K72" i="43" s="1"/>
  <c r="L69" i="43"/>
  <c r="K69" i="43" s="1"/>
  <c r="L68" i="43"/>
  <c r="L65" i="43"/>
  <c r="L64" i="43"/>
  <c r="K64" i="43" s="1"/>
  <c r="L73" i="43"/>
  <c r="L74" i="43"/>
  <c r="L66" i="43"/>
  <c r="J115" i="43"/>
  <c r="K115" i="43"/>
  <c r="K111" i="43"/>
  <c r="K110" i="43"/>
  <c r="K109" i="43" l="1"/>
  <c r="J108" i="43" s="1"/>
  <c r="K67" i="43"/>
  <c r="J107" i="43"/>
  <c r="K106" i="43"/>
  <c r="J105" i="43" s="1"/>
  <c r="K71" i="43"/>
  <c r="J71" i="43" s="1"/>
  <c r="J112" i="43"/>
  <c r="J106" i="43"/>
  <c r="I106" i="43" s="1"/>
  <c r="J111" i="43"/>
  <c r="K114" i="43"/>
  <c r="J113" i="43" s="1"/>
  <c r="J110" i="43"/>
  <c r="K70" i="43"/>
  <c r="J69" i="43" s="1"/>
  <c r="K66" i="43"/>
  <c r="J66" i="43" s="1"/>
  <c r="K73" i="43"/>
  <c r="J72" i="43" s="1"/>
  <c r="K65" i="43"/>
  <c r="K68" i="43"/>
  <c r="J68" i="43" s="1"/>
  <c r="I107" i="43" l="1"/>
  <c r="J109" i="43"/>
  <c r="I110" i="43"/>
  <c r="J65" i="43"/>
  <c r="I65" i="43" s="1"/>
  <c r="I111" i="43"/>
  <c r="H110" i="43" s="1"/>
  <c r="H106" i="43"/>
  <c r="I68" i="43"/>
  <c r="I71" i="43"/>
  <c r="J70" i="43"/>
  <c r="I70" i="43" s="1"/>
  <c r="I109" i="43"/>
  <c r="H109" i="43" s="1"/>
  <c r="I112" i="43"/>
  <c r="H111" i="43" s="1"/>
  <c r="I108" i="43"/>
  <c r="J64" i="43"/>
  <c r="J67" i="43"/>
  <c r="I67" i="43" s="1"/>
  <c r="I105" i="43"/>
  <c r="H105" i="43" s="1"/>
  <c r="C13" i="43"/>
  <c r="D13" i="43"/>
  <c r="E13" i="43"/>
  <c r="F13" i="43"/>
  <c r="G13" i="43"/>
  <c r="H13" i="43"/>
  <c r="I13" i="43"/>
  <c r="J13" i="43"/>
  <c r="K13" i="43"/>
  <c r="L13" i="43"/>
  <c r="B13" i="43"/>
  <c r="B107" i="39"/>
  <c r="C107" i="39" s="1"/>
  <c r="D107" i="39" s="1"/>
  <c r="A142" i="39"/>
  <c r="A143" i="39" s="1"/>
  <c r="A144" i="39" s="1"/>
  <c r="A145" i="39" s="1"/>
  <c r="A146" i="39" s="1"/>
  <c r="B108" i="39"/>
  <c r="C108" i="39" s="1"/>
  <c r="B109" i="39"/>
  <c r="C109" i="39" s="1"/>
  <c r="B110" i="39"/>
  <c r="C110" i="39" s="1"/>
  <c r="B111" i="39"/>
  <c r="C111" i="39" s="1"/>
  <c r="B112" i="39"/>
  <c r="C112" i="39" s="1"/>
  <c r="B113" i="39"/>
  <c r="C113" i="39" s="1"/>
  <c r="B114" i="39"/>
  <c r="C114" i="39" s="1"/>
  <c r="B115" i="39"/>
  <c r="C115" i="39" s="1"/>
  <c r="B116" i="39"/>
  <c r="C116" i="39" s="1"/>
  <c r="I64" i="43" l="1"/>
  <c r="H64" i="43" s="1"/>
  <c r="H70" i="43"/>
  <c r="I66" i="43"/>
  <c r="H66" i="43" s="1"/>
  <c r="G105" i="43"/>
  <c r="G109" i="43"/>
  <c r="I69" i="43"/>
  <c r="H69" i="43" s="1"/>
  <c r="G69" i="43" s="1"/>
  <c r="H67" i="43"/>
  <c r="G110" i="43"/>
  <c r="F109" i="43" s="1"/>
  <c r="H65" i="43"/>
  <c r="G65" i="43" s="1"/>
  <c r="H108" i="43"/>
  <c r="G108" i="43" s="1"/>
  <c r="F108" i="43" s="1"/>
  <c r="H107" i="43"/>
  <c r="D116" i="39"/>
  <c r="L116" i="39"/>
  <c r="J116" i="39"/>
  <c r="H116" i="39"/>
  <c r="N116" i="39"/>
  <c r="G116" i="39"/>
  <c r="K116" i="39"/>
  <c r="M116" i="39"/>
  <c r="I116" i="39"/>
  <c r="D112" i="39"/>
  <c r="K112" i="39"/>
  <c r="N112" i="39"/>
  <c r="M112" i="39"/>
  <c r="G112" i="39"/>
  <c r="L112" i="39"/>
  <c r="I112" i="39"/>
  <c r="H112" i="39"/>
  <c r="J112" i="39"/>
  <c r="D108" i="39"/>
  <c r="I108" i="39"/>
  <c r="G108" i="39"/>
  <c r="N108" i="39"/>
  <c r="J108" i="39"/>
  <c r="H108" i="39"/>
  <c r="K108" i="39"/>
  <c r="M108" i="39"/>
  <c r="L108" i="39"/>
  <c r="D115" i="39"/>
  <c r="G115" i="39"/>
  <c r="N115" i="39"/>
  <c r="J115" i="39"/>
  <c r="M115" i="39"/>
  <c r="K115" i="39"/>
  <c r="L115" i="39"/>
  <c r="I115" i="39"/>
  <c r="H115" i="39"/>
  <c r="D111" i="39"/>
  <c r="M111" i="39"/>
  <c r="K111" i="39"/>
  <c r="N111" i="39"/>
  <c r="G111" i="39"/>
  <c r="I111" i="39"/>
  <c r="H111" i="39"/>
  <c r="J111" i="39"/>
  <c r="L111" i="39"/>
  <c r="D114" i="39"/>
  <c r="N114" i="39"/>
  <c r="G114" i="39"/>
  <c r="I114" i="39"/>
  <c r="H114" i="39"/>
  <c r="K114" i="39"/>
  <c r="L114" i="39"/>
  <c r="J114" i="39"/>
  <c r="M114" i="39"/>
  <c r="D110" i="39"/>
  <c r="J110" i="39"/>
  <c r="K110" i="39"/>
  <c r="L110" i="39"/>
  <c r="H110" i="39"/>
  <c r="M110" i="39"/>
  <c r="G110" i="39"/>
  <c r="N110" i="39"/>
  <c r="I110" i="39"/>
  <c r="D113" i="39"/>
  <c r="K113" i="39"/>
  <c r="N113" i="39"/>
  <c r="L113" i="39"/>
  <c r="J113" i="39"/>
  <c r="M113" i="39"/>
  <c r="G113" i="39"/>
  <c r="I113" i="39"/>
  <c r="H113" i="39"/>
  <c r="D109" i="39"/>
  <c r="J109" i="39"/>
  <c r="N109" i="39"/>
  <c r="K109" i="39"/>
  <c r="I109" i="39"/>
  <c r="H109" i="39"/>
  <c r="G109" i="39"/>
  <c r="L109" i="39"/>
  <c r="M109" i="39"/>
  <c r="H107" i="39"/>
  <c r="M107" i="39"/>
  <c r="N107" i="39"/>
  <c r="L107" i="39"/>
  <c r="G107" i="39"/>
  <c r="J107" i="39"/>
  <c r="K107" i="39"/>
  <c r="I107" i="39"/>
  <c r="B37" i="43" a="1"/>
  <c r="B40" i="43" s="1"/>
  <c r="C40" i="43"/>
  <c r="E108" i="43" l="1"/>
  <c r="H68" i="43"/>
  <c r="G68" i="43" s="1"/>
  <c r="F68" i="43" s="1"/>
  <c r="G66" i="43"/>
  <c r="F65" i="43" s="1"/>
  <c r="D40" i="43"/>
  <c r="G107" i="43"/>
  <c r="F107" i="43" s="1"/>
  <c r="E107" i="43" s="1"/>
  <c r="D107" i="43" s="1"/>
  <c r="G106" i="43"/>
  <c r="G64" i="43"/>
  <c r="F64" i="43" s="1"/>
  <c r="I117" i="39"/>
  <c r="K117" i="39"/>
  <c r="G117" i="39"/>
  <c r="M117" i="39"/>
  <c r="L117" i="39"/>
  <c r="H117" i="39"/>
  <c r="J117" i="39"/>
  <c r="N117" i="39"/>
  <c r="D117" i="39"/>
  <c r="C153" i="39" s="1"/>
  <c r="C154" i="39" s="1"/>
  <c r="B45" i="43"/>
  <c r="B41" i="43"/>
  <c r="B46" i="43"/>
  <c r="B43" i="43"/>
  <c r="B42" i="43"/>
  <c r="B44" i="43"/>
  <c r="B38" i="43"/>
  <c r="B37" i="43"/>
  <c r="B39" i="43"/>
  <c r="C39" i="43"/>
  <c r="C42" i="43"/>
  <c r="C41" i="43"/>
  <c r="C43" i="43"/>
  <c r="C37" i="43"/>
  <c r="C46" i="43"/>
  <c r="C38" i="43"/>
  <c r="C45" i="43"/>
  <c r="C44" i="43"/>
  <c r="E64" i="43" l="1"/>
  <c r="G67" i="43"/>
  <c r="F67" i="43" s="1"/>
  <c r="E67" i="43" s="1"/>
  <c r="D43" i="43"/>
  <c r="D41" i="43"/>
  <c r="D45" i="43"/>
  <c r="D44" i="43"/>
  <c r="D42" i="43"/>
  <c r="D46" i="43"/>
  <c r="D39" i="43"/>
  <c r="D37" i="43"/>
  <c r="D38" i="43"/>
  <c r="F106" i="43"/>
  <c r="E106" i="43" s="1"/>
  <c r="D106" i="43" s="1"/>
  <c r="C106" i="43" s="1"/>
  <c r="F105" i="43"/>
  <c r="B81" i="43" a="1"/>
  <c r="M118" i="39"/>
  <c r="C130" i="39" s="1"/>
  <c r="K118" i="39"/>
  <c r="C129" i="39" s="1"/>
  <c r="I118" i="39"/>
  <c r="C128" i="39" s="1"/>
  <c r="G118" i="39"/>
  <c r="C127" i="39" s="1"/>
  <c r="F66" i="43" l="1"/>
  <c r="C81" i="43" a="1"/>
  <c r="C81" i="43" s="1"/>
  <c r="B81" i="43"/>
  <c r="D81" i="43" s="1"/>
  <c r="D85" i="43"/>
  <c r="D89" i="43"/>
  <c r="D82" i="43"/>
  <c r="D84" i="43"/>
  <c r="D86" i="43"/>
  <c r="D88" i="43"/>
  <c r="D90" i="43"/>
  <c r="D83" i="43"/>
  <c r="D87" i="43"/>
  <c r="E105" i="43"/>
  <c r="D105" i="43" s="1"/>
  <c r="C105" i="43" s="1"/>
  <c r="B105" i="43" s="1"/>
  <c r="E85" i="43" l="1"/>
  <c r="E88" i="43"/>
  <c r="E89" i="43"/>
  <c r="E66" i="43"/>
  <c r="D66" i="43" s="1"/>
  <c r="E65" i="43"/>
  <c r="E90" i="43"/>
  <c r="E86" i="43"/>
  <c r="E84" i="43"/>
  <c r="E82" i="43"/>
  <c r="E81" i="43"/>
  <c r="E87" i="43"/>
  <c r="E83" i="43"/>
  <c r="E92" i="43" l="1"/>
  <c r="D65" i="43"/>
  <c r="D64" i="43"/>
  <c r="D138" i="43"/>
  <c r="C57" i="39" l="1"/>
  <c r="B72" i="39" s="1"/>
  <c r="C64" i="43"/>
  <c r="D136" i="43"/>
  <c r="C65" i="43"/>
  <c r="D137" i="43"/>
  <c r="C137" i="43" s="1"/>
  <c r="F117" i="39"/>
  <c r="D34" i="42"/>
  <c r="A6" i="42"/>
  <c r="D36" i="42"/>
  <c r="D35" i="42"/>
  <c r="D32" i="42"/>
  <c r="D37" i="42"/>
  <c r="H11" i="23"/>
  <c r="K17" i="31"/>
  <c r="K18" i="31"/>
  <c r="A22" i="31"/>
  <c r="A23" i="31"/>
  <c r="A24" i="31"/>
  <c r="B12" i="31"/>
  <c r="C21" i="31"/>
  <c r="B10" i="31"/>
  <c r="B21" i="31"/>
  <c r="B13" i="31"/>
  <c r="B15" i="31"/>
  <c r="C24" i="31"/>
  <c r="A25" i="31"/>
  <c r="C23" i="31"/>
  <c r="B11" i="31"/>
  <c r="B22" i="31"/>
  <c r="B23" i="31"/>
  <c r="B24" i="31"/>
  <c r="C22" i="31"/>
  <c r="Q5" i="30"/>
  <c r="P5" i="30"/>
  <c r="L5" i="30"/>
  <c r="M9" i="30"/>
  <c r="L6" i="30"/>
  <c r="A26" i="31"/>
  <c r="C25" i="31"/>
  <c r="B25" i="31"/>
  <c r="L9" i="30"/>
  <c r="B26" i="31"/>
  <c r="A27" i="31"/>
  <c r="C26" i="31"/>
  <c r="G21" i="30"/>
  <c r="G20" i="30"/>
  <c r="G19" i="30"/>
  <c r="G18" i="30"/>
  <c r="G17" i="30"/>
  <c r="G16" i="30"/>
  <c r="G15" i="30"/>
  <c r="G14" i="30"/>
  <c r="G13" i="30"/>
  <c r="G12" i="30"/>
  <c r="G11" i="30"/>
  <c r="A11" i="30"/>
  <c r="G10" i="30"/>
  <c r="A10" i="30"/>
  <c r="G9" i="30"/>
  <c r="C27" i="31"/>
  <c r="B27" i="31"/>
  <c r="A28" i="31"/>
  <c r="A12" i="30"/>
  <c r="L11" i="30"/>
  <c r="M10" i="30"/>
  <c r="M11" i="30"/>
  <c r="M12" i="30"/>
  <c r="L10" i="30"/>
  <c r="K10" i="30"/>
  <c r="K11" i="30"/>
  <c r="K12" i="30"/>
  <c r="A29" i="31"/>
  <c r="C28" i="31"/>
  <c r="B28" i="31"/>
  <c r="A13" i="30"/>
  <c r="K13" i="30"/>
  <c r="L12" i="30"/>
  <c r="K10" i="29"/>
  <c r="K11" i="29"/>
  <c r="K12" i="29"/>
  <c r="K13" i="29"/>
  <c r="K14" i="29"/>
  <c r="K15" i="29"/>
  <c r="K16" i="29"/>
  <c r="K17" i="29"/>
  <c r="K18" i="29"/>
  <c r="K19" i="29"/>
  <c r="K20" i="29"/>
  <c r="K21" i="29"/>
  <c r="K22" i="29"/>
  <c r="K23" i="29"/>
  <c r="K24" i="29"/>
  <c r="K25" i="29"/>
  <c r="K26" i="29"/>
  <c r="K27" i="29"/>
  <c r="K28" i="29"/>
  <c r="K29" i="29"/>
  <c r="K30" i="29"/>
  <c r="K31" i="29"/>
  <c r="K32" i="29"/>
  <c r="K33" i="29"/>
  <c r="K34" i="29"/>
  <c r="K35" i="29"/>
  <c r="K36" i="29"/>
  <c r="K37" i="29"/>
  <c r="K38" i="29"/>
  <c r="K39" i="29"/>
  <c r="K40" i="29"/>
  <c r="K41" i="29"/>
  <c r="K42" i="29"/>
  <c r="K43" i="29"/>
  <c r="K44" i="29"/>
  <c r="K45" i="29"/>
  <c r="K46" i="29"/>
  <c r="K47" i="29"/>
  <c r="K48" i="29"/>
  <c r="K49" i="29"/>
  <c r="K50" i="29"/>
  <c r="K51" i="29"/>
  <c r="K52" i="29"/>
  <c r="K53" i="29"/>
  <c r="K54" i="29"/>
  <c r="K55" i="29"/>
  <c r="K56" i="29"/>
  <c r="K57" i="29"/>
  <c r="K58" i="29"/>
  <c r="K59" i="29"/>
  <c r="K60" i="29"/>
  <c r="K61" i="29"/>
  <c r="K62" i="29"/>
  <c r="K63" i="29"/>
  <c r="K64" i="29"/>
  <c r="K65" i="29"/>
  <c r="K66" i="29"/>
  <c r="K67" i="29"/>
  <c r="K68" i="29"/>
  <c r="K69" i="29"/>
  <c r="K70" i="29"/>
  <c r="K71" i="29"/>
  <c r="K72" i="29"/>
  <c r="K73" i="29"/>
  <c r="K74" i="29"/>
  <c r="K75" i="29"/>
  <c r="K76" i="29"/>
  <c r="K77" i="29"/>
  <c r="K78" i="29"/>
  <c r="K79" i="29"/>
  <c r="K80" i="29"/>
  <c r="K81" i="29"/>
  <c r="K82" i="29"/>
  <c r="K83" i="29"/>
  <c r="K84" i="29"/>
  <c r="K85" i="29"/>
  <c r="K86" i="29"/>
  <c r="K87" i="29"/>
  <c r="K88" i="29"/>
  <c r="K89" i="29"/>
  <c r="K90" i="29"/>
  <c r="K91" i="29"/>
  <c r="K92" i="29"/>
  <c r="K93" i="29"/>
  <c r="K94" i="29"/>
  <c r="K95" i="29"/>
  <c r="K96" i="29"/>
  <c r="K97" i="29"/>
  <c r="K98" i="29"/>
  <c r="K99" i="29"/>
  <c r="K100" i="29"/>
  <c r="K101" i="29"/>
  <c r="K102" i="29"/>
  <c r="K103" i="29"/>
  <c r="K104" i="29"/>
  <c r="K105" i="29"/>
  <c r="K106" i="29"/>
  <c r="K107" i="29"/>
  <c r="K108" i="29"/>
  <c r="K109" i="29"/>
  <c r="K110" i="29"/>
  <c r="K111" i="29"/>
  <c r="K112" i="29"/>
  <c r="K113" i="29"/>
  <c r="K114" i="29"/>
  <c r="K115" i="29"/>
  <c r="K116" i="29"/>
  <c r="K117" i="29"/>
  <c r="K118" i="29"/>
  <c r="K119" i="29"/>
  <c r="K120" i="29"/>
  <c r="K121" i="29"/>
  <c r="K122" i="29"/>
  <c r="K123" i="29"/>
  <c r="K124" i="29"/>
  <c r="K125" i="29"/>
  <c r="K126" i="29"/>
  <c r="K127" i="29"/>
  <c r="K128" i="29"/>
  <c r="B29" i="31"/>
  <c r="C29" i="31"/>
  <c r="A30" i="31"/>
  <c r="A14" i="30"/>
  <c r="L13" i="30"/>
  <c r="K14" i="30"/>
  <c r="M13" i="30"/>
  <c r="G21" i="29"/>
  <c r="G20" i="29"/>
  <c r="G19" i="29"/>
  <c r="G18" i="29"/>
  <c r="G17" i="29"/>
  <c r="G16" i="29"/>
  <c r="G15" i="29"/>
  <c r="G14" i="29"/>
  <c r="G13" i="29"/>
  <c r="G12" i="29"/>
  <c r="G11" i="29"/>
  <c r="G10" i="29"/>
  <c r="A10" i="29"/>
  <c r="G9" i="29"/>
  <c r="A31" i="31"/>
  <c r="C30" i="31"/>
  <c r="B30" i="31"/>
  <c r="M14" i="30"/>
  <c r="A15" i="30"/>
  <c r="K15" i="30"/>
  <c r="L14" i="30"/>
  <c r="A32" i="31"/>
  <c r="B31" i="31"/>
  <c r="C31" i="31"/>
  <c r="M15" i="30"/>
  <c r="A16" i="30"/>
  <c r="L15" i="30"/>
  <c r="A11" i="29"/>
  <c r="C32" i="31"/>
  <c r="B32" i="31"/>
  <c r="A33" i="31"/>
  <c r="E32" i="31"/>
  <c r="A17" i="30"/>
  <c r="L16" i="30"/>
  <c r="M16" i="30"/>
  <c r="K16" i="30"/>
  <c r="K17" i="30"/>
  <c r="A12" i="29"/>
  <c r="A17" i="27"/>
  <c r="A18" i="27"/>
  <c r="B11" i="27"/>
  <c r="B9" i="27"/>
  <c r="B10" i="27"/>
  <c r="A34" i="31"/>
  <c r="E33" i="31"/>
  <c r="C33" i="31"/>
  <c r="B33" i="31"/>
  <c r="M17" i="30"/>
  <c r="A18" i="30"/>
  <c r="L17" i="30"/>
  <c r="A13" i="29"/>
  <c r="C18" i="27"/>
  <c r="A19" i="27"/>
  <c r="B16" i="27"/>
  <c r="C17" i="27"/>
  <c r="C16" i="27"/>
  <c r="B17" i="27"/>
  <c r="B18" i="27"/>
  <c r="B19" i="27"/>
  <c r="C34" i="31"/>
  <c r="B34" i="31"/>
  <c r="E34" i="31"/>
  <c r="A35" i="31"/>
  <c r="A19" i="30"/>
  <c r="L18" i="30"/>
  <c r="K18" i="30"/>
  <c r="K19" i="30"/>
  <c r="M18" i="30"/>
  <c r="A14" i="29"/>
  <c r="C19" i="27"/>
  <c r="A20" i="27"/>
  <c r="A36" i="31"/>
  <c r="E35" i="31"/>
  <c r="C35" i="31"/>
  <c r="B35" i="31"/>
  <c r="M19" i="30"/>
  <c r="A20" i="30"/>
  <c r="K20" i="30"/>
  <c r="L19" i="30"/>
  <c r="A15" i="29"/>
  <c r="A21" i="27"/>
  <c r="C20" i="27"/>
  <c r="B20" i="27"/>
  <c r="C36" i="31"/>
  <c r="B36" i="31"/>
  <c r="A37" i="31"/>
  <c r="E36" i="31"/>
  <c r="A21" i="30"/>
  <c r="L20" i="30"/>
  <c r="K21" i="30"/>
  <c r="M20" i="30"/>
  <c r="A16" i="29"/>
  <c r="B21" i="27"/>
  <c r="A22" i="27"/>
  <c r="C21" i="27"/>
  <c r="G21" i="23"/>
  <c r="G20" i="23"/>
  <c r="G19" i="23"/>
  <c r="G18" i="23"/>
  <c r="G17" i="23"/>
  <c r="G16" i="23"/>
  <c r="G15" i="23"/>
  <c r="G14" i="23"/>
  <c r="G13" i="23"/>
  <c r="G12" i="23"/>
  <c r="G11" i="23"/>
  <c r="A38" i="31"/>
  <c r="E37" i="31"/>
  <c r="C37" i="31"/>
  <c r="B37" i="31"/>
  <c r="M21" i="30"/>
  <c r="A22" i="30"/>
  <c r="L21" i="30"/>
  <c r="A17" i="29"/>
  <c r="A23" i="27"/>
  <c r="C22" i="27"/>
  <c r="B22" i="27"/>
  <c r="C38" i="31"/>
  <c r="B38" i="31"/>
  <c r="E38" i="31"/>
  <c r="A39" i="31"/>
  <c r="M22" i="30"/>
  <c r="A23" i="30"/>
  <c r="L22" i="30"/>
  <c r="K22" i="30"/>
  <c r="K23" i="30"/>
  <c r="A18" i="29"/>
  <c r="A24" i="27"/>
  <c r="B23" i="27"/>
  <c r="C23" i="27"/>
  <c r="A40" i="31"/>
  <c r="E39" i="31"/>
  <c r="C39" i="31"/>
  <c r="B39" i="31"/>
  <c r="A24" i="30"/>
  <c r="L23" i="30"/>
  <c r="M23" i="30"/>
  <c r="A19" i="29"/>
  <c r="C24" i="27"/>
  <c r="B24" i="27"/>
  <c r="A25" i="27"/>
  <c r="E40" i="31"/>
  <c r="C40" i="31"/>
  <c r="B40" i="31"/>
  <c r="A41" i="31"/>
  <c r="M24" i="30"/>
  <c r="A25" i="30"/>
  <c r="L24" i="30"/>
  <c r="K24" i="30"/>
  <c r="A20" i="29"/>
  <c r="A26" i="27"/>
  <c r="C25" i="27"/>
  <c r="B25" i="27"/>
  <c r="H21" i="23"/>
  <c r="H20" i="23"/>
  <c r="H19" i="23"/>
  <c r="H18" i="23"/>
  <c r="H17" i="23"/>
  <c r="H16" i="23"/>
  <c r="H15" i="23"/>
  <c r="H14" i="23"/>
  <c r="H13" i="23"/>
  <c r="H12" i="23"/>
  <c r="G10" i="23"/>
  <c r="K10" i="23"/>
  <c r="G9" i="23"/>
  <c r="E28" i="21"/>
  <c r="E24" i="21"/>
  <c r="E22" i="21"/>
  <c r="E20" i="21"/>
  <c r="D20" i="21"/>
  <c r="C20" i="21"/>
  <c r="E19" i="21"/>
  <c r="G19" i="21"/>
  <c r="C19" i="21"/>
  <c r="E15" i="21"/>
  <c r="E14" i="21"/>
  <c r="E13" i="21"/>
  <c r="E12" i="21"/>
  <c r="E11" i="21"/>
  <c r="E10" i="21"/>
  <c r="E9" i="21"/>
  <c r="E8" i="21"/>
  <c r="E7" i="21"/>
  <c r="D7" i="21"/>
  <c r="C7" i="21"/>
  <c r="E6" i="21"/>
  <c r="G6" i="21"/>
  <c r="C6" i="21"/>
  <c r="E8" i="20"/>
  <c r="E7" i="20"/>
  <c r="E6" i="20"/>
  <c r="D6" i="20"/>
  <c r="C6" i="20"/>
  <c r="E5" i="20"/>
  <c r="G5" i="20"/>
  <c r="C5" i="20"/>
  <c r="A42" i="31"/>
  <c r="E41" i="31"/>
  <c r="C41" i="31"/>
  <c r="B41" i="31"/>
  <c r="K25" i="30"/>
  <c r="A26" i="30"/>
  <c r="L25" i="30"/>
  <c r="M25" i="30"/>
  <c r="K9" i="23"/>
  <c r="A21" i="29"/>
  <c r="F6" i="21"/>
  <c r="G7" i="21"/>
  <c r="F7" i="21"/>
  <c r="D8" i="21"/>
  <c r="C8" i="21"/>
  <c r="D7" i="20"/>
  <c r="C7" i="20"/>
  <c r="C26" i="27"/>
  <c r="B26" i="27"/>
  <c r="A27" i="27"/>
  <c r="F19" i="21"/>
  <c r="G20" i="21"/>
  <c r="F20" i="21"/>
  <c r="F5" i="20"/>
  <c r="G6" i="20"/>
  <c r="F6" i="20"/>
  <c r="D21" i="21"/>
  <c r="C21" i="21"/>
  <c r="D8" i="20"/>
  <c r="C8" i="20"/>
  <c r="D9" i="21"/>
  <c r="C42" i="31"/>
  <c r="B42" i="31"/>
  <c r="A43" i="31"/>
  <c r="E42" i="31"/>
  <c r="A27" i="30"/>
  <c r="L26" i="30"/>
  <c r="K26" i="30"/>
  <c r="K27" i="30"/>
  <c r="M26" i="30"/>
  <c r="A22" i="29"/>
  <c r="D22" i="21"/>
  <c r="C22" i="21"/>
  <c r="G21" i="21"/>
  <c r="F21" i="21"/>
  <c r="F22" i="21"/>
  <c r="C27" i="27"/>
  <c r="A28" i="27"/>
  <c r="B27" i="27"/>
  <c r="G7" i="20"/>
  <c r="F7" i="20"/>
  <c r="G8" i="21"/>
  <c r="F8" i="21"/>
  <c r="D23" i="21"/>
  <c r="E27" i="27"/>
  <c r="D10" i="21"/>
  <c r="C9" i="21"/>
  <c r="G9" i="21"/>
  <c r="F9" i="21"/>
  <c r="A44" i="31"/>
  <c r="E43" i="31"/>
  <c r="C43" i="31"/>
  <c r="B43" i="31"/>
  <c r="M27" i="30"/>
  <c r="A28" i="30"/>
  <c r="L27" i="30"/>
  <c r="A23" i="29"/>
  <c r="A29" i="27"/>
  <c r="C28" i="27"/>
  <c r="B28" i="27"/>
  <c r="H22" i="21"/>
  <c r="G8" i="20"/>
  <c r="F8" i="20"/>
  <c r="D24" i="21"/>
  <c r="C23" i="21"/>
  <c r="E28" i="27"/>
  <c r="D11" i="21"/>
  <c r="C10" i="21"/>
  <c r="G10" i="21"/>
  <c r="F10" i="21"/>
  <c r="C44" i="31"/>
  <c r="B44" i="31"/>
  <c r="E44" i="31"/>
  <c r="A45" i="31"/>
  <c r="A29" i="30"/>
  <c r="L28" i="30"/>
  <c r="K28" i="30"/>
  <c r="M28" i="30"/>
  <c r="A24" i="29"/>
  <c r="B29" i="27"/>
  <c r="C29" i="27"/>
  <c r="A30" i="27"/>
  <c r="D25" i="21"/>
  <c r="C24" i="21"/>
  <c r="G23" i="21"/>
  <c r="F23" i="21"/>
  <c r="F24" i="21"/>
  <c r="E29" i="27"/>
  <c r="D12" i="21"/>
  <c r="C11" i="21"/>
  <c r="A46" i="31"/>
  <c r="E45" i="31"/>
  <c r="C45" i="31"/>
  <c r="B45" i="31"/>
  <c r="K29" i="30"/>
  <c r="A30" i="30"/>
  <c r="L29" i="30"/>
  <c r="M29" i="30"/>
  <c r="A25" i="29"/>
  <c r="B30" i="27"/>
  <c r="A31" i="27"/>
  <c r="C30" i="27"/>
  <c r="H24" i="21"/>
  <c r="G11" i="21"/>
  <c r="F11" i="21"/>
  <c r="D26" i="21"/>
  <c r="C25" i="21"/>
  <c r="E30" i="27"/>
  <c r="C12" i="21"/>
  <c r="D13" i="21"/>
  <c r="C46" i="31"/>
  <c r="B46" i="31"/>
  <c r="A47" i="31"/>
  <c r="E46" i="31"/>
  <c r="M30" i="30"/>
  <c r="A31" i="30"/>
  <c r="L30" i="30"/>
  <c r="K30" i="30"/>
  <c r="K31" i="30"/>
  <c r="A26" i="29"/>
  <c r="C31" i="27"/>
  <c r="B31" i="27"/>
  <c r="A32" i="27"/>
  <c r="G12" i="21"/>
  <c r="F12" i="21"/>
  <c r="D27" i="21"/>
  <c r="C26" i="21"/>
  <c r="E31" i="27"/>
  <c r="C13" i="21"/>
  <c r="D14" i="21"/>
  <c r="A48" i="31"/>
  <c r="E47" i="31"/>
  <c r="C47" i="31"/>
  <c r="B47" i="31"/>
  <c r="A32" i="30"/>
  <c r="L31" i="30"/>
  <c r="M31" i="30"/>
  <c r="K32" i="30"/>
  <c r="A27" i="29"/>
  <c r="A33" i="27"/>
  <c r="C32" i="27"/>
  <c r="B32" i="27"/>
  <c r="G13" i="21"/>
  <c r="F13" i="21"/>
  <c r="D28" i="21"/>
  <c r="C28" i="21"/>
  <c r="G25" i="21"/>
  <c r="F25" i="21"/>
  <c r="C27" i="21"/>
  <c r="E32" i="27"/>
  <c r="D15" i="21"/>
  <c r="C15" i="21"/>
  <c r="C14" i="21"/>
  <c r="E48" i="31"/>
  <c r="C48" i="31"/>
  <c r="B48" i="31"/>
  <c r="A49" i="31"/>
  <c r="M32" i="30"/>
  <c r="A33" i="30"/>
  <c r="L32" i="30"/>
  <c r="A28" i="29"/>
  <c r="C33" i="27"/>
  <c r="A34" i="27"/>
  <c r="B33" i="27"/>
  <c r="G14" i="21"/>
  <c r="F14" i="21"/>
  <c r="G27" i="21"/>
  <c r="G26" i="21"/>
  <c r="F26" i="21"/>
  <c r="E33" i="27"/>
  <c r="A50" i="31"/>
  <c r="E49" i="31"/>
  <c r="C49" i="31"/>
  <c r="B49" i="31"/>
  <c r="A34" i="30"/>
  <c r="L33" i="30"/>
  <c r="K33" i="30"/>
  <c r="K34" i="30"/>
  <c r="M33" i="30"/>
  <c r="A29" i="29"/>
  <c r="A35" i="27"/>
  <c r="B34" i="27"/>
  <c r="C34" i="27"/>
  <c r="F27" i="21"/>
  <c r="F28" i="21"/>
  <c r="H28" i="21"/>
  <c r="G15" i="21"/>
  <c r="F15" i="21"/>
  <c r="E34" i="27"/>
  <c r="E50" i="31"/>
  <c r="C50" i="31"/>
  <c r="B50" i="31"/>
  <c r="A51" i="31"/>
  <c r="M34" i="30"/>
  <c r="A35" i="30"/>
  <c r="L34" i="30"/>
  <c r="A30" i="29"/>
  <c r="B35" i="27"/>
  <c r="C35" i="27"/>
  <c r="A36" i="27"/>
  <c r="E35" i="27"/>
  <c r="A52" i="31"/>
  <c r="E51" i="31"/>
  <c r="C51" i="31"/>
  <c r="B51" i="31"/>
  <c r="A36" i="30"/>
  <c r="L35" i="30"/>
  <c r="K35" i="30"/>
  <c r="K36" i="30"/>
  <c r="M35" i="30"/>
  <c r="A31" i="29"/>
  <c r="C36" i="27"/>
  <c r="B36" i="27"/>
  <c r="A37" i="27"/>
  <c r="E36" i="27"/>
  <c r="E52" i="31"/>
  <c r="C52" i="31"/>
  <c r="B52" i="31"/>
  <c r="A53" i="31"/>
  <c r="M36" i="30"/>
  <c r="A37" i="30"/>
  <c r="K37" i="30"/>
  <c r="L36" i="30"/>
  <c r="A32" i="29"/>
  <c r="C37" i="27"/>
  <c r="B37" i="27"/>
  <c r="A38" i="27"/>
  <c r="E37" i="27"/>
  <c r="A54" i="31"/>
  <c r="E53" i="31"/>
  <c r="C53" i="31"/>
  <c r="B53" i="31"/>
  <c r="M37" i="30"/>
  <c r="A38" i="30"/>
  <c r="K38" i="30"/>
  <c r="L37" i="30"/>
  <c r="A33" i="29"/>
  <c r="A39" i="27"/>
  <c r="B38" i="27"/>
  <c r="C38" i="27"/>
  <c r="E38" i="27"/>
  <c r="C54" i="31"/>
  <c r="B54" i="31"/>
  <c r="E54" i="31"/>
  <c r="A55" i="31"/>
  <c r="M38" i="30"/>
  <c r="A39" i="30"/>
  <c r="L38" i="30"/>
  <c r="A34" i="29"/>
  <c r="B39" i="27"/>
  <c r="C39" i="27"/>
  <c r="A40" i="27"/>
  <c r="E39" i="27"/>
  <c r="A56" i="31"/>
  <c r="E55" i="31"/>
  <c r="C55" i="31"/>
  <c r="B55" i="31"/>
  <c r="M39" i="30"/>
  <c r="A40" i="30"/>
  <c r="L39" i="30"/>
  <c r="K39" i="30"/>
  <c r="K40" i="30"/>
  <c r="A35" i="29"/>
  <c r="A41" i="27"/>
  <c r="C40" i="27"/>
  <c r="B40" i="27"/>
  <c r="E40" i="27"/>
  <c r="C56" i="31"/>
  <c r="B56" i="31"/>
  <c r="E56" i="31"/>
  <c r="A57" i="31"/>
  <c r="A41" i="30"/>
  <c r="K41" i="30"/>
  <c r="L40" i="30"/>
  <c r="M40" i="30"/>
  <c r="A36" i="29"/>
  <c r="C41" i="27"/>
  <c r="A42" i="27"/>
  <c r="B41" i="27"/>
  <c r="E41" i="27"/>
  <c r="A58" i="31"/>
  <c r="E57" i="31"/>
  <c r="C57" i="31"/>
  <c r="B57" i="31"/>
  <c r="M41" i="30"/>
  <c r="A42" i="30"/>
  <c r="L41" i="30"/>
  <c r="K42" i="30"/>
  <c r="A37" i="29"/>
  <c r="B42" i="27"/>
  <c r="A43" i="27"/>
  <c r="C42" i="27"/>
  <c r="E42" i="27"/>
  <c r="C58" i="31"/>
  <c r="B58" i="31"/>
  <c r="A59" i="31"/>
  <c r="E58" i="31"/>
  <c r="A43" i="30"/>
  <c r="L42" i="30"/>
  <c r="M42" i="30"/>
  <c r="A38" i="29"/>
  <c r="C43" i="27"/>
  <c r="B43" i="27"/>
  <c r="A44" i="27"/>
  <c r="E43" i="27"/>
  <c r="A60" i="31"/>
  <c r="E59" i="31"/>
  <c r="C59" i="31"/>
  <c r="B59" i="31"/>
  <c r="A44" i="30"/>
  <c r="L43" i="30"/>
  <c r="K43" i="30"/>
  <c r="K44" i="30"/>
  <c r="M43" i="30"/>
  <c r="A39" i="29"/>
  <c r="A45" i="27"/>
  <c r="C44" i="27"/>
  <c r="B44" i="27"/>
  <c r="E44" i="27"/>
  <c r="E60" i="31"/>
  <c r="C60" i="31"/>
  <c r="B60" i="31"/>
  <c r="A61" i="31"/>
  <c r="M44" i="30"/>
  <c r="A45" i="30"/>
  <c r="L44" i="30"/>
  <c r="A40" i="29"/>
  <c r="B45" i="27"/>
  <c r="C45" i="27"/>
  <c r="A46" i="27"/>
  <c r="E45" i="27"/>
  <c r="A62" i="31"/>
  <c r="E61" i="31"/>
  <c r="C61" i="31"/>
  <c r="B61" i="31"/>
  <c r="M45" i="30"/>
  <c r="A46" i="30"/>
  <c r="L45" i="30"/>
  <c r="K45" i="30"/>
  <c r="K46" i="30"/>
  <c r="A41" i="29"/>
  <c r="A47" i="27"/>
  <c r="B46" i="27"/>
  <c r="C46" i="27"/>
  <c r="E46" i="27"/>
  <c r="E62" i="31"/>
  <c r="C62" i="31"/>
  <c r="B62" i="31"/>
  <c r="A63" i="31"/>
  <c r="A47" i="30"/>
  <c r="L46" i="30"/>
  <c r="M46" i="30"/>
  <c r="A42" i="29"/>
  <c r="C47" i="27"/>
  <c r="B47" i="27"/>
  <c r="A48" i="27"/>
  <c r="E47" i="27"/>
  <c r="A64" i="31"/>
  <c r="E63" i="31"/>
  <c r="C63" i="31"/>
  <c r="B63" i="31"/>
  <c r="M47" i="30"/>
  <c r="A48" i="30"/>
  <c r="L47" i="30"/>
  <c r="K47" i="30"/>
  <c r="A43" i="29"/>
  <c r="C48" i="27"/>
  <c r="B48" i="27"/>
  <c r="A49" i="27"/>
  <c r="E48" i="27"/>
  <c r="E64" i="31"/>
  <c r="C64" i="31"/>
  <c r="B64" i="31"/>
  <c r="A65" i="31"/>
  <c r="K48" i="30"/>
  <c r="A49" i="30"/>
  <c r="L48" i="30"/>
  <c r="M48" i="30"/>
  <c r="A44" i="29"/>
  <c r="E49" i="27"/>
  <c r="B49" i="27"/>
  <c r="C49" i="27"/>
  <c r="A50" i="27"/>
  <c r="A66" i="31"/>
  <c r="E65" i="31"/>
  <c r="C65" i="31"/>
  <c r="B65" i="31"/>
  <c r="A50" i="30"/>
  <c r="L49" i="30"/>
  <c r="K49" i="30"/>
  <c r="K50" i="30"/>
  <c r="M49" i="30"/>
  <c r="A45" i="29"/>
  <c r="A51" i="27"/>
  <c r="E50" i="27"/>
  <c r="B50" i="27"/>
  <c r="C50" i="27"/>
  <c r="E66" i="31"/>
  <c r="C66" i="31"/>
  <c r="B66" i="31"/>
  <c r="A67" i="31"/>
  <c r="M50" i="30"/>
  <c r="A51" i="30"/>
  <c r="L50" i="30"/>
  <c r="A46" i="29"/>
  <c r="E51" i="27"/>
  <c r="C51" i="27"/>
  <c r="B51" i="27"/>
  <c r="A52" i="27"/>
  <c r="A68" i="31"/>
  <c r="E67" i="31"/>
  <c r="C67" i="31"/>
  <c r="B67" i="31"/>
  <c r="A52" i="30"/>
  <c r="L51" i="30"/>
  <c r="M51" i="30"/>
  <c r="K51" i="30"/>
  <c r="K52" i="30"/>
  <c r="A47" i="29"/>
  <c r="E52" i="27"/>
  <c r="A53" i="27"/>
  <c r="C52" i="27"/>
  <c r="B52" i="27"/>
  <c r="C68" i="31"/>
  <c r="B68" i="31"/>
  <c r="E68" i="31"/>
  <c r="A69" i="31"/>
  <c r="M52" i="30"/>
  <c r="A53" i="30"/>
  <c r="L52" i="30"/>
  <c r="A48" i="29"/>
  <c r="E53" i="27"/>
  <c r="C53" i="27"/>
  <c r="A54" i="27"/>
  <c r="B53" i="27"/>
  <c r="A70" i="31"/>
  <c r="E69" i="31"/>
  <c r="C69" i="31"/>
  <c r="B69" i="31"/>
  <c r="A54" i="30"/>
  <c r="L53" i="30"/>
  <c r="K53" i="30"/>
  <c r="M53" i="30"/>
  <c r="A49" i="29"/>
  <c r="B54" i="27"/>
  <c r="A55" i="27"/>
  <c r="E54" i="27"/>
  <c r="C54" i="27"/>
  <c r="E70" i="31"/>
  <c r="C70" i="31"/>
  <c r="B70" i="31"/>
  <c r="A55" i="30"/>
  <c r="L54" i="30"/>
  <c r="M54" i="30"/>
  <c r="K54" i="30"/>
  <c r="K55" i="30"/>
  <c r="A50" i="29"/>
  <c r="E55" i="27"/>
  <c r="B55" i="27"/>
  <c r="C55" i="27"/>
  <c r="A56" i="27"/>
  <c r="M55" i="30"/>
  <c r="A56" i="30"/>
  <c r="K56" i="30"/>
  <c r="L55" i="30"/>
  <c r="A51" i="29"/>
  <c r="A57" i="27"/>
  <c r="E56" i="27"/>
  <c r="C56" i="27"/>
  <c r="B56" i="27"/>
  <c r="A57" i="30"/>
  <c r="K57" i="30"/>
  <c r="L56" i="30"/>
  <c r="M56" i="30"/>
  <c r="A52" i="29"/>
  <c r="E57" i="27"/>
  <c r="C57" i="27"/>
  <c r="B57" i="27"/>
  <c r="A58" i="27"/>
  <c r="M57" i="30"/>
  <c r="A58" i="30"/>
  <c r="L57" i="30"/>
  <c r="A53" i="29"/>
  <c r="E58" i="27"/>
  <c r="B58" i="27"/>
  <c r="A59" i="27"/>
  <c r="C58" i="27"/>
  <c r="A59" i="30"/>
  <c r="L58" i="30"/>
  <c r="M58" i="30"/>
  <c r="K58" i="30"/>
  <c r="K59" i="30"/>
  <c r="A54" i="29"/>
  <c r="E59" i="27"/>
  <c r="B59" i="27"/>
  <c r="C59" i="27"/>
  <c r="A60" i="27"/>
  <c r="M59" i="30"/>
  <c r="A60" i="30"/>
  <c r="K60" i="30"/>
  <c r="L59" i="30"/>
  <c r="A55" i="29"/>
  <c r="A61" i="27"/>
  <c r="C60" i="27"/>
  <c r="B60" i="27"/>
  <c r="E60" i="27"/>
  <c r="M60" i="30"/>
  <c r="A61" i="30"/>
  <c r="L60" i="30"/>
  <c r="A56" i="29"/>
  <c r="E61" i="27"/>
  <c r="B61" i="27"/>
  <c r="C61" i="27"/>
  <c r="A62" i="27"/>
  <c r="A62" i="30"/>
  <c r="L61" i="30"/>
  <c r="K61" i="30"/>
  <c r="K62" i="30"/>
  <c r="M61" i="30"/>
  <c r="A57" i="29"/>
  <c r="A63" i="27"/>
  <c r="E62" i="27"/>
  <c r="B62" i="27"/>
  <c r="C62" i="27"/>
  <c r="M62" i="30"/>
  <c r="A63" i="30"/>
  <c r="L62" i="30"/>
  <c r="A58" i="29"/>
  <c r="E63" i="27"/>
  <c r="C63" i="27"/>
  <c r="B63" i="27"/>
  <c r="A64" i="27"/>
  <c r="A64" i="30"/>
  <c r="L63" i="30"/>
  <c r="K63" i="30"/>
  <c r="K64" i="30"/>
  <c r="M63" i="30"/>
  <c r="A59" i="29"/>
  <c r="E64" i="27"/>
  <c r="C64" i="27"/>
  <c r="B64" i="27"/>
  <c r="A65" i="27"/>
  <c r="M64" i="30"/>
  <c r="A65" i="30"/>
  <c r="L64" i="30"/>
  <c r="A60" i="29"/>
  <c r="E65" i="27"/>
  <c r="B65" i="27"/>
  <c r="C65" i="27"/>
  <c r="A66" i="30"/>
  <c r="L65" i="30"/>
  <c r="M65" i="30"/>
  <c r="K65" i="30"/>
  <c r="K66" i="30"/>
  <c r="A61" i="29"/>
  <c r="M66" i="30"/>
  <c r="A67" i="30"/>
  <c r="K67" i="30"/>
  <c r="L66" i="30"/>
  <c r="A62" i="29"/>
  <c r="A68" i="30"/>
  <c r="L67" i="30"/>
  <c r="M67" i="30"/>
  <c r="A63" i="29"/>
  <c r="A69" i="30"/>
  <c r="L68" i="30"/>
  <c r="K68" i="30"/>
  <c r="M68" i="30"/>
  <c r="A64" i="29"/>
  <c r="K69" i="30"/>
  <c r="M69" i="30"/>
  <c r="A70" i="30"/>
  <c r="K70" i="30"/>
  <c r="L69" i="30"/>
  <c r="A65" i="29"/>
  <c r="M70" i="30"/>
  <c r="A71" i="30"/>
  <c r="L70" i="30"/>
  <c r="A66" i="29"/>
  <c r="M71" i="30"/>
  <c r="A72" i="30"/>
  <c r="L71" i="30"/>
  <c r="K71" i="30"/>
  <c r="A67" i="29"/>
  <c r="O72" i="30"/>
  <c r="N72" i="30"/>
  <c r="M72" i="30"/>
  <c r="K72" i="30"/>
  <c r="L72" i="30"/>
  <c r="A73" i="30"/>
  <c r="A68" i="29"/>
  <c r="M73" i="30"/>
  <c r="O73" i="30"/>
  <c r="N73" i="30"/>
  <c r="L73" i="30"/>
  <c r="K73" i="30"/>
  <c r="A74" i="30"/>
  <c r="A69" i="29"/>
  <c r="O74" i="30"/>
  <c r="N74" i="30"/>
  <c r="M74" i="30"/>
  <c r="L74" i="30"/>
  <c r="K74" i="30"/>
  <c r="A75" i="30"/>
  <c r="A70" i="29"/>
  <c r="N75" i="30"/>
  <c r="M75" i="30"/>
  <c r="O75" i="30"/>
  <c r="K75" i="30"/>
  <c r="L75" i="30"/>
  <c r="A76" i="30"/>
  <c r="A71" i="29"/>
  <c r="O76" i="30"/>
  <c r="N76" i="30"/>
  <c r="M76" i="30"/>
  <c r="K76" i="30"/>
  <c r="L76" i="30"/>
  <c r="A77" i="30"/>
  <c r="A72" i="29"/>
  <c r="O77" i="30"/>
  <c r="N77" i="30"/>
  <c r="M77" i="30"/>
  <c r="L77" i="30"/>
  <c r="K77" i="30"/>
  <c r="A78" i="30"/>
  <c r="A73" i="29"/>
  <c r="O78" i="30"/>
  <c r="N78" i="30"/>
  <c r="M78" i="30"/>
  <c r="K78" i="30"/>
  <c r="L78" i="30"/>
  <c r="A79" i="30"/>
  <c r="A74" i="29"/>
  <c r="O79" i="30"/>
  <c r="N79" i="30"/>
  <c r="M79" i="30"/>
  <c r="L79" i="30"/>
  <c r="K79" i="30"/>
  <c r="A80" i="30"/>
  <c r="A75" i="29"/>
  <c r="O80" i="30"/>
  <c r="N80" i="30"/>
  <c r="M80" i="30"/>
  <c r="K80" i="30"/>
  <c r="L80" i="30"/>
  <c r="A81" i="30"/>
  <c r="A76" i="29"/>
  <c r="M81" i="30"/>
  <c r="N81" i="30"/>
  <c r="O81" i="30"/>
  <c r="K81" i="30"/>
  <c r="L81" i="30"/>
  <c r="A82" i="30"/>
  <c r="A77" i="29"/>
  <c r="M82" i="30"/>
  <c r="N82" i="30"/>
  <c r="O82" i="30"/>
  <c r="K82" i="30"/>
  <c r="L82" i="30"/>
  <c r="A83" i="30"/>
  <c r="A78" i="29"/>
  <c r="M83" i="30"/>
  <c r="O83" i="30"/>
  <c r="N83" i="30"/>
  <c r="K83" i="30"/>
  <c r="L83" i="30"/>
  <c r="A84" i="30"/>
  <c r="A79" i="29"/>
  <c r="N84" i="30"/>
  <c r="O84" i="30"/>
  <c r="M84" i="30"/>
  <c r="L84" i="30"/>
  <c r="K84" i="30"/>
  <c r="A85" i="30"/>
  <c r="A80" i="29"/>
  <c r="O85" i="30"/>
  <c r="N85" i="30"/>
  <c r="M85" i="30"/>
  <c r="L85" i="30"/>
  <c r="K85" i="30"/>
  <c r="A86" i="30"/>
  <c r="A81" i="29"/>
  <c r="O86" i="30"/>
  <c r="N86" i="30"/>
  <c r="M86" i="30"/>
  <c r="K86" i="30"/>
  <c r="L86" i="30"/>
  <c r="A87" i="30"/>
  <c r="A82" i="29"/>
  <c r="O87" i="30"/>
  <c r="N87" i="30"/>
  <c r="M87" i="30"/>
  <c r="K87" i="30"/>
  <c r="L87" i="30"/>
  <c r="A88" i="30"/>
  <c r="A83" i="29"/>
  <c r="K89" i="30"/>
  <c r="O88" i="30"/>
  <c r="N88" i="30"/>
  <c r="M88" i="30"/>
  <c r="L88" i="30"/>
  <c r="K88" i="30"/>
  <c r="A84" i="29"/>
  <c r="A85" i="29"/>
  <c r="A86" i="29"/>
  <c r="A87" i="29"/>
  <c r="A88" i="29"/>
  <c r="L85" i="29"/>
  <c r="D24" i="31"/>
  <c r="L94" i="29"/>
  <c r="D26" i="27"/>
  <c r="L70" i="29"/>
  <c r="L67" i="29"/>
  <c r="L61" i="29"/>
  <c r="L98" i="29"/>
  <c r="L125" i="29"/>
  <c r="I14" i="23"/>
  <c r="L31" i="29"/>
  <c r="D24" i="27"/>
  <c r="L64" i="29"/>
  <c r="L86" i="29"/>
  <c r="L117" i="29"/>
  <c r="L13" i="29"/>
  <c r="L104" i="29"/>
  <c r="L32" i="29"/>
  <c r="L112" i="29"/>
  <c r="L110" i="29"/>
  <c r="L113" i="29"/>
  <c r="L23" i="29"/>
  <c r="D22" i="31"/>
  <c r="L127" i="29"/>
  <c r="L92" i="29"/>
  <c r="L47" i="29"/>
  <c r="L12" i="29"/>
  <c r="L116" i="29"/>
  <c r="L14" i="29"/>
  <c r="L121" i="29"/>
  <c r="L108" i="29"/>
  <c r="D30" i="31"/>
  <c r="L93" i="29"/>
  <c r="L43" i="29"/>
  <c r="L118" i="29"/>
  <c r="L34" i="29"/>
  <c r="I21" i="23"/>
  <c r="D25" i="31"/>
  <c r="L17" i="29"/>
  <c r="I16" i="23"/>
  <c r="L9" i="29"/>
  <c r="L46" i="29"/>
  <c r="L15" i="29"/>
  <c r="L120" i="29"/>
  <c r="L44" i="29"/>
  <c r="L99" i="29"/>
  <c r="L54" i="29"/>
  <c r="L122" i="29"/>
  <c r="L59" i="29"/>
  <c r="D28" i="31"/>
  <c r="L80" i="29"/>
  <c r="L28" i="29"/>
  <c r="L11" i="29"/>
  <c r="L19" i="29"/>
  <c r="L124" i="29"/>
  <c r="L97" i="29"/>
  <c r="L72" i="29"/>
  <c r="B14" i="31"/>
  <c r="D26" i="31"/>
  <c r="D19" i="27"/>
  <c r="L29" i="29"/>
  <c r="L45" i="29"/>
  <c r="L57" i="29"/>
  <c r="I17" i="23"/>
  <c r="L53" i="29"/>
  <c r="L91" i="29"/>
  <c r="L20" i="29"/>
  <c r="L106" i="29"/>
  <c r="D27" i="31"/>
  <c r="I9" i="29" a="1"/>
  <c r="L33" i="29"/>
  <c r="L24" i="29"/>
  <c r="D31" i="31"/>
  <c r="L58" i="29"/>
  <c r="L84" i="29"/>
  <c r="L76" i="29"/>
  <c r="L95" i="29"/>
  <c r="I11" i="23"/>
  <c r="I19" i="23"/>
  <c r="L101" i="29"/>
  <c r="L89" i="29"/>
  <c r="I12" i="23"/>
  <c r="L87" i="29"/>
  <c r="D29" i="31"/>
  <c r="D25" i="27"/>
  <c r="L105" i="29"/>
  <c r="I18" i="23"/>
  <c r="L48" i="29"/>
  <c r="L75" i="29"/>
  <c r="D21" i="27"/>
  <c r="L66" i="29"/>
  <c r="L49" i="29"/>
  <c r="L10" i="29"/>
  <c r="L52" i="29"/>
  <c r="L109" i="29"/>
  <c r="L78" i="29"/>
  <c r="I20" i="23"/>
  <c r="L71" i="29"/>
  <c r="L37" i="29"/>
  <c r="L111" i="29"/>
  <c r="D16" i="27"/>
  <c r="L81" i="29"/>
  <c r="L65" i="29"/>
  <c r="L82" i="29"/>
  <c r="L39" i="29"/>
  <c r="L74" i="29"/>
  <c r="L102" i="29"/>
  <c r="I13" i="23"/>
  <c r="L114" i="29"/>
  <c r="L40" i="29"/>
  <c r="L63" i="29"/>
  <c r="L128" i="29"/>
  <c r="L88" i="29"/>
  <c r="L27" i="29"/>
  <c r="L26" i="29"/>
  <c r="L50" i="29"/>
  <c r="L62" i="29"/>
  <c r="L56" i="29"/>
  <c r="L36" i="29"/>
  <c r="L83" i="29"/>
  <c r="L60" i="29"/>
  <c r="L126" i="29"/>
  <c r="L79" i="29"/>
  <c r="D23" i="31"/>
  <c r="L119" i="29"/>
  <c r="L18" i="29"/>
  <c r="L51" i="29"/>
  <c r="L100" i="29"/>
  <c r="L77" i="29"/>
  <c r="L107" i="29"/>
  <c r="L42" i="29"/>
  <c r="D22" i="27"/>
  <c r="L90" i="29"/>
  <c r="L38" i="29"/>
  <c r="L68" i="29"/>
  <c r="L73" i="29"/>
  <c r="L115" i="29"/>
  <c r="L22" i="29"/>
  <c r="I9" i="30" a="1"/>
  <c r="L25" i="29"/>
  <c r="L96" i="29"/>
  <c r="L103" i="29"/>
  <c r="D20" i="27"/>
  <c r="D21" i="31"/>
  <c r="L69" i="29"/>
  <c r="L35" i="29"/>
  <c r="L30" i="29"/>
  <c r="L55" i="29"/>
  <c r="L16" i="29"/>
  <c r="D23" i="27"/>
  <c r="L123" i="29"/>
  <c r="I15" i="23"/>
  <c r="L21" i="29"/>
  <c r="L41" i="29"/>
  <c r="D17" i="27"/>
  <c r="D18" i="27"/>
  <c r="C136" i="43" l="1"/>
  <c r="B136" i="43" s="1"/>
  <c r="B64" i="43"/>
  <c r="A7" i="42"/>
  <c r="A8" i="42"/>
  <c r="D33" i="42"/>
  <c r="E117" i="39"/>
  <c r="N97" i="29"/>
  <c r="N9" i="29"/>
  <c r="N56" i="29"/>
  <c r="N119" i="29"/>
  <c r="N110" i="29"/>
  <c r="N20" i="29"/>
  <c r="N107" i="29"/>
  <c r="N87" i="29"/>
  <c r="N124" i="29"/>
  <c r="N21" i="29"/>
  <c r="N116" i="29"/>
  <c r="N105" i="29"/>
  <c r="I17" i="29"/>
  <c r="I19" i="29"/>
  <c r="I15" i="29"/>
  <c r="I9" i="29"/>
  <c r="I12" i="29"/>
  <c r="I10" i="29"/>
  <c r="I16" i="29"/>
  <c r="I20" i="29"/>
  <c r="I18" i="29"/>
  <c r="I21" i="29"/>
  <c r="I13" i="29"/>
  <c r="I14" i="29"/>
  <c r="I11" i="29"/>
  <c r="J16" i="23"/>
  <c r="N12" i="29"/>
  <c r="N101" i="29"/>
  <c r="N94" i="29"/>
  <c r="N39" i="29"/>
  <c r="E25" i="31"/>
  <c r="N60" i="29"/>
  <c r="N33" i="29"/>
  <c r="E22" i="31"/>
  <c r="J19" i="23"/>
  <c r="N117" i="29"/>
  <c r="N68" i="29"/>
  <c r="N113" i="29"/>
  <c r="N16" i="29"/>
  <c r="E16" i="27"/>
  <c r="E29" i="31"/>
  <c r="N73" i="29"/>
  <c r="J13" i="23"/>
  <c r="N59" i="29"/>
  <c r="N14" i="29"/>
  <c r="J18" i="23"/>
  <c r="N11" i="29"/>
  <c r="E23" i="27"/>
  <c r="N17" i="29"/>
  <c r="J21" i="23"/>
  <c r="N114" i="29"/>
  <c r="N62" i="29"/>
  <c r="N25" i="29"/>
  <c r="N30" i="29"/>
  <c r="N15" i="29"/>
  <c r="E19" i="27"/>
  <c r="N66" i="29"/>
  <c r="N48" i="29"/>
  <c r="N82" i="29"/>
  <c r="I17" i="30"/>
  <c r="I16" i="30"/>
  <c r="I15" i="30"/>
  <c r="I13" i="30"/>
  <c r="I12" i="30"/>
  <c r="I11" i="30"/>
  <c r="I10" i="30"/>
  <c r="I18" i="30"/>
  <c r="I9" i="30"/>
  <c r="I21" i="30"/>
  <c r="I14" i="30"/>
  <c r="I20" i="30"/>
  <c r="I19" i="30"/>
  <c r="N127" i="29"/>
  <c r="N100" i="29"/>
  <c r="N47" i="29"/>
  <c r="E20" i="27"/>
  <c r="E21" i="27"/>
  <c r="N79" i="29"/>
  <c r="N49" i="29"/>
  <c r="E24" i="27"/>
  <c r="N69" i="29"/>
  <c r="N93" i="29"/>
  <c r="N13" i="29"/>
  <c r="N88" i="29"/>
  <c r="E17" i="27"/>
  <c r="N112" i="29"/>
  <c r="N84" i="29"/>
  <c r="N27" i="29"/>
  <c r="N64" i="29"/>
  <c r="N19" i="29"/>
  <c r="N106" i="29"/>
  <c r="N44" i="29"/>
  <c r="J11" i="23"/>
  <c r="J15" i="23"/>
  <c r="N96" i="29"/>
  <c r="N125" i="29"/>
  <c r="N74" i="29"/>
  <c r="N34" i="29"/>
  <c r="N46" i="29"/>
  <c r="N109" i="29"/>
  <c r="J14" i="23"/>
  <c r="N38" i="29"/>
  <c r="N23" i="29"/>
  <c r="N26" i="29"/>
  <c r="N104" i="29"/>
  <c r="N45" i="29"/>
  <c r="E31" i="31"/>
  <c r="N80" i="29"/>
  <c r="N98" i="29"/>
  <c r="N61" i="29"/>
  <c r="N41" i="29"/>
  <c r="N121" i="29"/>
  <c r="N31" i="29"/>
  <c r="N37" i="29"/>
  <c r="N118" i="29"/>
  <c r="N58" i="29"/>
  <c r="N43" i="29"/>
  <c r="N95" i="29"/>
  <c r="N55" i="29"/>
  <c r="N76" i="29"/>
  <c r="N90" i="29"/>
  <c r="E27" i="31"/>
  <c r="N122" i="29"/>
  <c r="N18" i="29"/>
  <c r="N89" i="29"/>
  <c r="N24" i="29"/>
  <c r="N51" i="29"/>
  <c r="N115" i="29"/>
  <c r="N85" i="29"/>
  <c r="E28" i="31"/>
  <c r="N86" i="29"/>
  <c r="E26" i="27"/>
  <c r="N50" i="29"/>
  <c r="N28" i="29"/>
  <c r="N70" i="29"/>
  <c r="N123" i="29"/>
  <c r="E18" i="27"/>
  <c r="E22" i="27"/>
  <c r="N91" i="29"/>
  <c r="N29" i="29"/>
  <c r="N63" i="29"/>
  <c r="N99" i="29"/>
  <c r="E21" i="31"/>
  <c r="N111" i="29"/>
  <c r="J20" i="23"/>
  <c r="E24" i="31"/>
  <c r="J12" i="23"/>
  <c r="N52" i="29"/>
  <c r="N75" i="29"/>
  <c r="N81" i="29"/>
  <c r="N36" i="29"/>
  <c r="E25" i="27"/>
  <c r="N65" i="29"/>
  <c r="N126" i="29"/>
  <c r="N102" i="29"/>
  <c r="N92" i="29"/>
  <c r="E30" i="31"/>
  <c r="N40" i="29"/>
  <c r="N78" i="29"/>
  <c r="N35" i="29"/>
  <c r="B16" i="31"/>
  <c r="J17" i="23"/>
  <c r="N103" i="29"/>
  <c r="N120" i="29"/>
  <c r="N32" i="29"/>
  <c r="E23" i="31"/>
  <c r="N72" i="29"/>
  <c r="N67" i="29"/>
  <c r="N57" i="29"/>
  <c r="N22" i="29"/>
  <c r="N108" i="29"/>
  <c r="N71" i="29"/>
  <c r="N53" i="29"/>
  <c r="E26" i="31"/>
  <c r="N10" i="29"/>
  <c r="N77" i="29"/>
  <c r="N54" i="29"/>
  <c r="N128" i="29"/>
  <c r="N83" i="29"/>
  <c r="N42" i="29"/>
  <c r="M15" i="29"/>
  <c r="N56" i="30"/>
  <c r="M30" i="29"/>
  <c r="N32" i="30"/>
  <c r="M33" i="29"/>
  <c r="N41" i="30"/>
  <c r="M110" i="29"/>
  <c r="M92" i="29"/>
  <c r="N69" i="30"/>
  <c r="M48" i="29"/>
  <c r="M75" i="29"/>
  <c r="M99" i="29"/>
  <c r="N48" i="30"/>
  <c r="M55" i="29"/>
  <c r="M59" i="29"/>
  <c r="M23" i="29"/>
  <c r="N35" i="30"/>
  <c r="N46" i="30"/>
  <c r="M34" i="29"/>
  <c r="M21" i="29"/>
  <c r="M43" i="29"/>
  <c r="M67" i="29"/>
  <c r="M76" i="29"/>
  <c r="N67" i="30"/>
  <c r="M128" i="29"/>
  <c r="N37" i="30"/>
  <c r="N26" i="30"/>
  <c r="N55" i="30"/>
  <c r="M98" i="29"/>
  <c r="M87" i="29"/>
  <c r="N27" i="30"/>
  <c r="M40" i="29"/>
  <c r="M12" i="29"/>
  <c r="M17" i="29"/>
  <c r="N36" i="30"/>
  <c r="M85" i="29"/>
  <c r="M102" i="29"/>
  <c r="M127" i="29"/>
  <c r="M117" i="29"/>
  <c r="M31" i="29"/>
  <c r="M80" i="29"/>
  <c r="M101" i="29"/>
  <c r="M103" i="29"/>
  <c r="N54" i="30"/>
  <c r="N53" i="30"/>
  <c r="N10" i="30"/>
  <c r="M27" i="29"/>
  <c r="N14" i="30"/>
  <c r="M91" i="29"/>
  <c r="N51" i="30"/>
  <c r="N59" i="30"/>
  <c r="N66" i="30"/>
  <c r="M82" i="29"/>
  <c r="M29" i="29"/>
  <c r="M38" i="29"/>
  <c r="N44" i="30"/>
  <c r="M83" i="29"/>
  <c r="N61" i="30"/>
  <c r="M113" i="29"/>
  <c r="M13" i="29"/>
  <c r="N63" i="30"/>
  <c r="M122" i="29"/>
  <c r="M14" i="29"/>
  <c r="M22" i="29"/>
  <c r="M111" i="29"/>
  <c r="M11" i="29"/>
  <c r="M79" i="29"/>
  <c r="N16" i="30"/>
  <c r="M97" i="29"/>
  <c r="M37" i="29"/>
  <c r="M72" i="29"/>
  <c r="M89" i="29"/>
  <c r="M49" i="29"/>
  <c r="N23" i="30"/>
  <c r="M116" i="29"/>
  <c r="M123" i="29"/>
  <c r="M57" i="29"/>
  <c r="M108" i="29"/>
  <c r="M114" i="29"/>
  <c r="M35" i="29"/>
  <c r="M125" i="29"/>
  <c r="N49" i="30"/>
  <c r="N40" i="30"/>
  <c r="M118" i="29"/>
  <c r="N24" i="30"/>
  <c r="M96" i="29"/>
  <c r="N9" i="30"/>
  <c r="M86" i="29"/>
  <c r="M47" i="29"/>
  <c r="M46" i="29"/>
  <c r="N31" i="30"/>
  <c r="N19" i="30"/>
  <c r="N38" i="30"/>
  <c r="N28" i="30"/>
  <c r="N20" i="30"/>
  <c r="M25" i="29"/>
  <c r="M105" i="29"/>
  <c r="M106" i="29"/>
  <c r="M88" i="29"/>
  <c r="M120" i="29"/>
  <c r="M94" i="29"/>
  <c r="N18" i="30"/>
  <c r="N25" i="30"/>
  <c r="M56" i="29"/>
  <c r="M16" i="29"/>
  <c r="N47" i="30"/>
  <c r="M93" i="29"/>
  <c r="M126" i="29"/>
  <c r="M42" i="29"/>
  <c r="M61" i="29"/>
  <c r="N22" i="30"/>
  <c r="M81" i="29"/>
  <c r="M70" i="29"/>
  <c r="M77" i="29"/>
  <c r="M63" i="29"/>
  <c r="M58" i="29"/>
  <c r="M78" i="29"/>
  <c r="M45" i="29"/>
  <c r="N58" i="30"/>
  <c r="M121" i="29"/>
  <c r="M65" i="29"/>
  <c r="M95" i="29"/>
  <c r="M18" i="29"/>
  <c r="N34" i="30"/>
  <c r="N15" i="30"/>
  <c r="M9" i="29"/>
  <c r="M41" i="29"/>
  <c r="M50" i="29"/>
  <c r="N39" i="30"/>
  <c r="M104" i="29"/>
  <c r="M124" i="29"/>
  <c r="M19" i="29"/>
  <c r="M44" i="29"/>
  <c r="M10" i="29"/>
  <c r="M115" i="29"/>
  <c r="M90" i="29"/>
  <c r="N13" i="30"/>
  <c r="M51" i="29"/>
  <c r="M52" i="29"/>
  <c r="M54" i="29"/>
  <c r="N30" i="30"/>
  <c r="M66" i="29"/>
  <c r="N52" i="30"/>
  <c r="N29" i="30"/>
  <c r="M26" i="29"/>
  <c r="M39" i="29"/>
  <c r="N50" i="30"/>
  <c r="M112" i="29"/>
  <c r="M24" i="29"/>
  <c r="M74" i="29"/>
  <c r="N57" i="30"/>
  <c r="M71" i="29"/>
  <c r="M119" i="29"/>
  <c r="N71" i="30"/>
  <c r="M62" i="29"/>
  <c r="N11" i="30"/>
  <c r="M69" i="29"/>
  <c r="M68" i="29"/>
  <c r="M107" i="29"/>
  <c r="M60" i="29"/>
  <c r="N68" i="30"/>
  <c r="N45" i="30"/>
  <c r="M100" i="29"/>
  <c r="M109" i="29"/>
  <c r="M64" i="29"/>
  <c r="N21" i="30"/>
  <c r="N70" i="30"/>
  <c r="N17" i="30"/>
  <c r="N42" i="30"/>
  <c r="M53" i="29"/>
  <c r="N12" i="30"/>
  <c r="N65" i="30"/>
  <c r="N62" i="30"/>
  <c r="M73" i="29"/>
  <c r="N33" i="30"/>
  <c r="M84" i="29"/>
  <c r="M20" i="29"/>
  <c r="N43" i="30"/>
  <c r="M32" i="29"/>
  <c r="N64" i="30"/>
  <c r="M28" i="29"/>
  <c r="M36" i="29"/>
  <c r="N60" i="30"/>
  <c r="E118" i="39" l="1"/>
  <c r="C121" i="43"/>
  <c r="C122" i="43" s="1"/>
  <c r="E93" i="43"/>
  <c r="A9" i="42"/>
  <c r="I62" i="39"/>
  <c r="E77" i="39" s="1"/>
  <c r="E62" i="39"/>
  <c r="C77" i="39" s="1"/>
  <c r="G62" i="39"/>
  <c r="D77" i="39" s="1"/>
  <c r="K62" i="39"/>
  <c r="F77" i="39" s="1"/>
  <c r="C62" i="39"/>
  <c r="B77" i="39" s="1"/>
  <c r="G58" i="39"/>
  <c r="D73" i="39" s="1"/>
  <c r="K58" i="39"/>
  <c r="F73" i="39" s="1"/>
  <c r="I58" i="39"/>
  <c r="E73" i="39" s="1"/>
  <c r="E58" i="39"/>
  <c r="C73" i="39" s="1"/>
  <c r="C58" i="39"/>
  <c r="B73" i="39" s="1"/>
  <c r="K60" i="39"/>
  <c r="F75" i="39" s="1"/>
  <c r="I60" i="39"/>
  <c r="E75" i="39" s="1"/>
  <c r="E60" i="39"/>
  <c r="C75" i="39" s="1"/>
  <c r="G60" i="39"/>
  <c r="D75" i="39" s="1"/>
  <c r="C60" i="39"/>
  <c r="B75" i="39" s="1"/>
  <c r="E61" i="39"/>
  <c r="C76" i="39" s="1"/>
  <c r="I61" i="39"/>
  <c r="E76" i="39" s="1"/>
  <c r="K61" i="39"/>
  <c r="F76" i="39" s="1"/>
  <c r="G61" i="39"/>
  <c r="D76" i="39" s="1"/>
  <c r="C61" i="39"/>
  <c r="B76" i="39" s="1"/>
  <c r="E59" i="39"/>
  <c r="C74" i="39" s="1"/>
  <c r="G59" i="39"/>
  <c r="D74" i="39" s="1"/>
  <c r="K59" i="39"/>
  <c r="F74" i="39" s="1"/>
  <c r="I59" i="39"/>
  <c r="E74" i="39" s="1"/>
  <c r="C59" i="39"/>
  <c r="B74" i="39" s="1"/>
  <c r="D157" i="39"/>
  <c r="D160" i="39"/>
  <c r="D159" i="39"/>
  <c r="D162" i="39"/>
  <c r="D158" i="39"/>
  <c r="D161" i="39"/>
  <c r="O14" i="30"/>
  <c r="O15" i="30"/>
  <c r="O22" i="29"/>
  <c r="O28" i="29"/>
  <c r="O23" i="29"/>
  <c r="O25" i="29"/>
  <c r="O24" i="29"/>
  <c r="O27" i="29"/>
  <c r="O29" i="29"/>
  <c r="O26" i="29"/>
  <c r="O22" i="30"/>
  <c r="O21" i="30"/>
  <c r="O19" i="30"/>
  <c r="O20" i="30"/>
  <c r="O19" i="29"/>
  <c r="O21" i="29"/>
  <c r="O20" i="29"/>
  <c r="O18" i="29"/>
  <c r="O28" i="30"/>
  <c r="O27" i="30"/>
  <c r="O23" i="30"/>
  <c r="O25" i="30"/>
  <c r="O26" i="30"/>
  <c r="O24" i="30"/>
  <c r="O29" i="30"/>
  <c r="O128" i="29"/>
  <c r="O118" i="29"/>
  <c r="O123" i="29"/>
  <c r="O120" i="29"/>
  <c r="O127" i="29"/>
  <c r="O121" i="29"/>
  <c r="O124" i="29"/>
  <c r="O122" i="29"/>
  <c r="O119" i="29"/>
  <c r="O125" i="29"/>
  <c r="O126" i="29"/>
  <c r="O30" i="30"/>
  <c r="O39" i="30"/>
  <c r="O32" i="30"/>
  <c r="O33" i="30"/>
  <c r="O36" i="30"/>
  <c r="O34" i="30"/>
  <c r="O37" i="30"/>
  <c r="O35" i="30"/>
  <c r="O38" i="30"/>
  <c r="O31" i="30"/>
  <c r="O79" i="29"/>
  <c r="O74" i="29"/>
  <c r="O85" i="29"/>
  <c r="O72" i="29"/>
  <c r="O73" i="29"/>
  <c r="O81" i="29"/>
  <c r="O78" i="29"/>
  <c r="O71" i="29"/>
  <c r="O75" i="29"/>
  <c r="O83" i="29"/>
  <c r="O76" i="29"/>
  <c r="O77" i="29"/>
  <c r="O80" i="29"/>
  <c r="O70" i="29"/>
  <c r="O84" i="29"/>
  <c r="O82" i="29"/>
  <c r="O106" i="29"/>
  <c r="O114" i="29"/>
  <c r="O111" i="29"/>
  <c r="O113" i="29"/>
  <c r="O110" i="29"/>
  <c r="O112" i="29"/>
  <c r="O109" i="29"/>
  <c r="O107" i="29"/>
  <c r="O102" i="29"/>
  <c r="O103" i="29"/>
  <c r="O116" i="29"/>
  <c r="O117" i="29"/>
  <c r="O105" i="29"/>
  <c r="O108" i="29"/>
  <c r="O115" i="29"/>
  <c r="O104" i="29"/>
  <c r="O45" i="29"/>
  <c r="O40" i="29"/>
  <c r="O41" i="29"/>
  <c r="O46" i="29"/>
  <c r="O39" i="29"/>
  <c r="O44" i="29"/>
  <c r="O48" i="29"/>
  <c r="O38" i="29"/>
  <c r="O42" i="29"/>
  <c r="O43" i="29"/>
  <c r="O49" i="29"/>
  <c r="O47" i="29"/>
  <c r="O9" i="29"/>
  <c r="O47" i="30"/>
  <c r="O48" i="30"/>
  <c r="O50" i="30"/>
  <c r="O52" i="30"/>
  <c r="O53" i="30"/>
  <c r="O54" i="30"/>
  <c r="O49" i="30"/>
  <c r="O51" i="30"/>
  <c r="O17" i="29"/>
  <c r="O14" i="29"/>
  <c r="O16" i="29"/>
  <c r="O15" i="29"/>
  <c r="O56" i="30"/>
  <c r="O55" i="30"/>
  <c r="O59" i="30"/>
  <c r="O62" i="30"/>
  <c r="O61" i="30"/>
  <c r="O60" i="30"/>
  <c r="O58" i="30"/>
  <c r="O57" i="30"/>
  <c r="O17" i="30"/>
  <c r="O16" i="30"/>
  <c r="O18" i="30"/>
  <c r="O37" i="29"/>
  <c r="O35" i="29"/>
  <c r="O36" i="29"/>
  <c r="O30" i="29"/>
  <c r="O34" i="29"/>
  <c r="O33" i="29"/>
  <c r="O31" i="29"/>
  <c r="O32" i="29"/>
  <c r="O65" i="30"/>
  <c r="O70" i="30"/>
  <c r="O64" i="30"/>
  <c r="O69" i="30"/>
  <c r="O67" i="30"/>
  <c r="O63" i="30"/>
  <c r="O68" i="30"/>
  <c r="O71" i="30"/>
  <c r="O66" i="30"/>
  <c r="O90" i="29"/>
  <c r="O101" i="29"/>
  <c r="O87" i="29"/>
  <c r="O86" i="29"/>
  <c r="O88" i="29"/>
  <c r="O96" i="29"/>
  <c r="O89" i="29"/>
  <c r="O92" i="29"/>
  <c r="O100" i="29"/>
  <c r="O97" i="29"/>
  <c r="O98" i="29"/>
  <c r="O93" i="29"/>
  <c r="O99" i="29"/>
  <c r="O94" i="29"/>
  <c r="O95" i="29"/>
  <c r="O91" i="29"/>
  <c r="O68" i="29"/>
  <c r="O54" i="29"/>
  <c r="O53" i="29"/>
  <c r="O60" i="29"/>
  <c r="O69" i="29"/>
  <c r="O67" i="29"/>
  <c r="O58" i="29"/>
  <c r="O65" i="29"/>
  <c r="O57" i="29"/>
  <c r="O56" i="29"/>
  <c r="O63" i="29"/>
  <c r="O52" i="29"/>
  <c r="O55" i="29"/>
  <c r="O50" i="29"/>
  <c r="O64" i="29"/>
  <c r="O66" i="29"/>
  <c r="O61" i="29"/>
  <c r="O59" i="29"/>
  <c r="O62" i="29"/>
  <c r="O51" i="29"/>
  <c r="O40" i="30"/>
  <c r="O46" i="30"/>
  <c r="O42" i="30"/>
  <c r="O44" i="30"/>
  <c r="O43" i="30"/>
  <c r="O45" i="30"/>
  <c r="O41" i="30"/>
  <c r="O9" i="30"/>
  <c r="O10" i="30"/>
  <c r="O13" i="30"/>
  <c r="O11" i="30"/>
  <c r="O12" i="30"/>
  <c r="O13" i="29"/>
  <c r="O11" i="29"/>
  <c r="O10" i="29"/>
  <c r="O12" i="29"/>
  <c r="G16" i="27"/>
  <c r="H16" i="27" s="1"/>
  <c r="G21" i="31"/>
  <c r="H21" i="31" s="1"/>
  <c r="C126" i="39" l="1"/>
  <c r="B148" i="39" s="1" a="1"/>
  <c r="D134" i="43"/>
  <c r="D132" i="43"/>
  <c r="D133" i="43"/>
  <c r="A10" i="42"/>
  <c r="B141" i="39" a="1"/>
  <c r="B141" i="39" s="1"/>
  <c r="P9" i="30"/>
  <c r="Q9" i="30" s="1"/>
  <c r="C133" i="43" l="1"/>
  <c r="E148" i="39"/>
  <c r="E150" i="39" s="1"/>
  <c r="B148" i="39"/>
  <c r="B150" i="39" s="1"/>
  <c r="D148" i="39"/>
  <c r="D150" i="39" s="1"/>
  <c r="C148" i="39"/>
  <c r="C150" i="39" s="1"/>
  <c r="F148" i="39"/>
  <c r="F150" i="39" s="1"/>
  <c r="C132" i="43"/>
  <c r="B132" i="43" s="1"/>
  <c r="B139" i="43" s="1"/>
  <c r="A11" i="42"/>
  <c r="B157" i="39" l="1" a="1"/>
  <c r="B157" i="39" s="1"/>
  <c r="C157" i="39" s="1"/>
  <c r="A12" i="42"/>
  <c r="B160" i="39" l="1"/>
  <c r="C160" i="39" s="1"/>
  <c r="E160" i="39" s="1"/>
  <c r="B159" i="39"/>
  <c r="C159" i="39" s="1"/>
  <c r="E159" i="39" s="1"/>
  <c r="B162" i="39"/>
  <c r="C162" i="39" s="1"/>
  <c r="E162" i="39" s="1"/>
  <c r="B161" i="39"/>
  <c r="C161" i="39" s="1"/>
  <c r="E161" i="39" s="1"/>
  <c r="B158" i="39"/>
  <c r="C158" i="39" s="1"/>
  <c r="E158" i="39" s="1"/>
  <c r="A13" i="42"/>
  <c r="E157" i="39"/>
  <c r="C163" i="39" l="1"/>
  <c r="B163" i="39"/>
  <c r="A14" i="42"/>
  <c r="B28" i="42" s="1" a="1"/>
  <c r="B28" i="42" s="1"/>
  <c r="E29" i="42" l="1" a="1"/>
  <c r="E29" i="42" l="1"/>
  <c r="G29" i="42" s="1"/>
  <c r="N30" i="42"/>
  <c r="N31" i="42"/>
  <c r="N37" i="42"/>
  <c r="N32" i="42"/>
  <c r="G32" i="42"/>
  <c r="N35" i="42"/>
  <c r="N36" i="42"/>
  <c r="N34" i="42"/>
  <c r="G30" i="42"/>
  <c r="G34" i="42"/>
  <c r="G31" i="42"/>
  <c r="G33" i="42"/>
  <c r="N33" i="42"/>
  <c r="G35" i="42"/>
  <c r="G36" i="42"/>
  <c r="G37" i="42"/>
  <c r="I34" i="42" l="1"/>
  <c r="H34" i="42"/>
  <c r="J34" i="42" s="1"/>
  <c r="P37" i="42"/>
  <c r="O37" i="42"/>
  <c r="Q37" i="42" s="1"/>
  <c r="I31" i="42"/>
  <c r="H31" i="42"/>
  <c r="J31" i="42" s="1"/>
  <c r="K31" i="42" s="1"/>
  <c r="L31" i="42" s="1"/>
  <c r="O36" i="42"/>
  <c r="Q36" i="42" s="1"/>
  <c r="P36" i="42"/>
  <c r="H37" i="42"/>
  <c r="J37" i="42" s="1"/>
  <c r="I37" i="42"/>
  <c r="P31" i="42"/>
  <c r="O31" i="42"/>
  <c r="Q31" i="42" s="1"/>
  <c r="O34" i="42"/>
  <c r="Q34" i="42" s="1"/>
  <c r="P34" i="42"/>
  <c r="I32" i="42"/>
  <c r="H32" i="42"/>
  <c r="J32" i="42" s="1"/>
  <c r="H36" i="42"/>
  <c r="J36" i="42" s="1"/>
  <c r="I36" i="42"/>
  <c r="K36" i="42" s="1"/>
  <c r="L36" i="42" s="1"/>
  <c r="P33" i="42"/>
  <c r="O33" i="42"/>
  <c r="Q33" i="42" s="1"/>
  <c r="R33" i="42" s="1"/>
  <c r="S33" i="42" s="1"/>
  <c r="O30" i="42"/>
  <c r="Q30" i="42" s="1"/>
  <c r="P30" i="42"/>
  <c r="I30" i="42"/>
  <c r="H30" i="42"/>
  <c r="J30" i="42" s="1"/>
  <c r="P35" i="42"/>
  <c r="O35" i="42"/>
  <c r="Q35" i="42" s="1"/>
  <c r="O32" i="42"/>
  <c r="Q32" i="42" s="1"/>
  <c r="R32" i="42" s="1"/>
  <c r="S32" i="42" s="1"/>
  <c r="P32" i="42"/>
  <c r="I35" i="42"/>
  <c r="H35" i="42"/>
  <c r="J35" i="42" s="1"/>
  <c r="I33" i="42"/>
  <c r="H33" i="42"/>
  <c r="J33" i="42" s="1"/>
  <c r="N29" i="42"/>
  <c r="A63" i="42" a="1"/>
  <c r="R31" i="42" l="1"/>
  <c r="S31" i="42" s="1"/>
  <c r="R34" i="42"/>
  <c r="S34" i="42" s="1"/>
  <c r="K30" i="42"/>
  <c r="L30" i="42" s="1"/>
  <c r="K37" i="42"/>
  <c r="L37" i="42" s="1"/>
  <c r="A63" i="42"/>
  <c r="N69" i="42"/>
  <c r="G72" i="42"/>
  <c r="G65" i="42"/>
  <c r="N65" i="42"/>
  <c r="G69" i="42"/>
  <c r="G70" i="42"/>
  <c r="N68" i="42"/>
  <c r="N70" i="42"/>
  <c r="G73" i="42"/>
  <c r="N71" i="42"/>
  <c r="N72" i="42"/>
  <c r="N73" i="42"/>
  <c r="G66" i="42"/>
  <c r="G67" i="42"/>
  <c r="G68" i="42"/>
  <c r="N67" i="42"/>
  <c r="G71" i="42"/>
  <c r="N66" i="42"/>
  <c r="R30" i="42"/>
  <c r="S30" i="42" s="1"/>
  <c r="K33" i="42"/>
  <c r="L33" i="42" s="1"/>
  <c r="R36" i="42"/>
  <c r="S36" i="42" s="1"/>
  <c r="I29" i="42"/>
  <c r="H29" i="42"/>
  <c r="J29" i="42" s="1"/>
  <c r="O29" i="42"/>
  <c r="Q29" i="42" s="1"/>
  <c r="P29" i="42"/>
  <c r="K35" i="42"/>
  <c r="L35" i="42" s="1"/>
  <c r="K32" i="42"/>
  <c r="L32" i="42" s="1"/>
  <c r="R37" i="42"/>
  <c r="S37" i="42" s="1"/>
  <c r="R35" i="42"/>
  <c r="S35" i="42" s="1"/>
  <c r="K34" i="42"/>
  <c r="L34" i="42" s="1"/>
  <c r="O70" i="42" l="1"/>
  <c r="Q70" i="42" s="1"/>
  <c r="P70" i="42"/>
  <c r="O68" i="42"/>
  <c r="Q68" i="42" s="1"/>
  <c r="P68" i="42"/>
  <c r="I70" i="42"/>
  <c r="H70" i="42"/>
  <c r="J70" i="42" s="1"/>
  <c r="R29" i="42"/>
  <c r="S29" i="42" s="1"/>
  <c r="S38" i="42" s="1"/>
  <c r="H71" i="42"/>
  <c r="J71" i="42" s="1"/>
  <c r="I71" i="42"/>
  <c r="K71" i="42" s="1"/>
  <c r="L71" i="42" s="1"/>
  <c r="H69" i="42"/>
  <c r="J69" i="42" s="1"/>
  <c r="I69" i="42"/>
  <c r="O65" i="42"/>
  <c r="Q65" i="42" s="1"/>
  <c r="R65" i="42" s="1"/>
  <c r="S65" i="42" s="1"/>
  <c r="P65" i="42"/>
  <c r="H65" i="42"/>
  <c r="J65" i="42" s="1"/>
  <c r="I65" i="42"/>
  <c r="I67" i="42"/>
  <c r="H67" i="42"/>
  <c r="J67" i="42" s="1"/>
  <c r="I72" i="42"/>
  <c r="H72" i="42"/>
  <c r="J72" i="42" s="1"/>
  <c r="K72" i="42" s="1"/>
  <c r="L72" i="42" s="1"/>
  <c r="K29" i="42"/>
  <c r="I66" i="42"/>
  <c r="H66" i="42"/>
  <c r="J66" i="42" s="1"/>
  <c r="K66" i="42" s="1"/>
  <c r="L66" i="42" s="1"/>
  <c r="O69" i="42"/>
  <c r="Q69" i="42" s="1"/>
  <c r="P69" i="42"/>
  <c r="O67" i="42"/>
  <c r="Q67" i="42" s="1"/>
  <c r="P67" i="42"/>
  <c r="I68" i="42"/>
  <c r="K68" i="42" s="1"/>
  <c r="L68" i="42" s="1"/>
  <c r="H68" i="42"/>
  <c r="J68" i="42" s="1"/>
  <c r="O73" i="42"/>
  <c r="Q73" i="42" s="1"/>
  <c r="P73" i="42"/>
  <c r="O66" i="42"/>
  <c r="Q66" i="42" s="1"/>
  <c r="P66" i="42"/>
  <c r="R66" i="42" s="1"/>
  <c r="S66" i="42" s="1"/>
  <c r="I73" i="42"/>
  <c r="H73" i="42"/>
  <c r="J73" i="42" s="1"/>
  <c r="K73" i="42" s="1"/>
  <c r="L73" i="42" s="1"/>
  <c r="O72" i="42"/>
  <c r="Q72" i="42" s="1"/>
  <c r="P72" i="42"/>
  <c r="O71" i="42"/>
  <c r="Q71" i="42" s="1"/>
  <c r="P71" i="42"/>
  <c r="K69" i="42" l="1"/>
  <c r="L69" i="42" s="1"/>
  <c r="L29" i="42"/>
  <c r="L38" i="42" s="1"/>
  <c r="R69" i="42"/>
  <c r="S69" i="42" s="1"/>
  <c r="K65" i="42"/>
  <c r="K70" i="42"/>
  <c r="L70" i="42" s="1"/>
  <c r="R73" i="42"/>
  <c r="S73" i="42" s="1"/>
  <c r="K67" i="42"/>
  <c r="L67" i="42" s="1"/>
  <c r="R68" i="42"/>
  <c r="S68" i="42" s="1"/>
  <c r="R71" i="42"/>
  <c r="S71" i="42" s="1"/>
  <c r="R72" i="42"/>
  <c r="S72" i="42" s="1"/>
  <c r="R67" i="42"/>
  <c r="S67" i="42" s="1"/>
  <c r="S74" i="42" s="1"/>
  <c r="R70" i="42"/>
  <c r="S70" i="42" s="1"/>
  <c r="L74" i="42" l="1"/>
  <c r="B76" i="42" s="1"/>
  <c r="G9" i="47"/>
  <c r="G9"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Schulich School of Business</author>
  </authors>
  <commentList>
    <comment ref="A9" authorId="0" shapeId="0" xr:uid="{00000000-0006-0000-0200-000001000000}">
      <text>
        <r>
          <rPr>
            <b/>
            <sz val="9"/>
            <color indexed="81"/>
            <rFont val="Tahoma"/>
            <family val="2"/>
          </rPr>
          <t>Schulich School of Business:</t>
        </r>
        <r>
          <rPr>
            <sz val="9"/>
            <color indexed="81"/>
            <rFont val="Tahoma"/>
            <family val="2"/>
          </rPr>
          <t xml:space="preserve">
Interest accrual period (the period between the settlement date and the previous coupon date, as a fraction of the current coupon period)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Schulich School of Business</author>
  </authors>
  <commentList>
    <comment ref="A10" authorId="0" shapeId="0" xr:uid="{9F98B51A-83C7-4EE5-93DA-34A3EE4F83AF}">
      <text>
        <r>
          <rPr>
            <b/>
            <sz val="9"/>
            <color indexed="81"/>
            <rFont val="Tahoma"/>
            <family val="2"/>
          </rPr>
          <t>Schulich School of Business:</t>
        </r>
        <r>
          <rPr>
            <sz val="9"/>
            <color indexed="81"/>
            <rFont val="Tahoma"/>
            <family val="2"/>
          </rPr>
          <t xml:space="preserve">
Interest accrual period (the period between the settlement date and the previous coupon date, as a fraction of the current coupon period)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Junhong Wu</author>
  </authors>
  <commentList>
    <comment ref="E20" authorId="0" shapeId="0" xr:uid="{63D1A0A8-E942-46CB-99A5-3E312CDA1E5F}">
      <text>
        <r>
          <rPr>
            <b/>
            <sz val="9"/>
            <color indexed="81"/>
            <rFont val="Tahoma"/>
            <family val="2"/>
          </rPr>
          <t>Junhong Wu:</t>
        </r>
        <r>
          <rPr>
            <sz val="9"/>
            <color indexed="81"/>
            <rFont val="Tahoma"/>
            <family val="2"/>
          </rPr>
          <t xml:space="preserve">
what the borrower paid</t>
        </r>
      </text>
    </comment>
    <comment ref="F20" authorId="0" shapeId="0" xr:uid="{53E05C8F-C95E-4727-9C37-36B8028F7C30}">
      <text>
        <r>
          <rPr>
            <b/>
            <sz val="9"/>
            <color indexed="81"/>
            <rFont val="Tahoma"/>
            <family val="2"/>
          </rPr>
          <t>Junhong Wu:</t>
        </r>
        <r>
          <rPr>
            <sz val="9"/>
            <color indexed="81"/>
            <rFont val="Tahoma"/>
            <family val="2"/>
          </rPr>
          <t xml:space="preserve">
what the borrower paid interms of interest rate</t>
        </r>
      </text>
    </comment>
    <comment ref="G20" authorId="0" shapeId="0" xr:uid="{BA163954-E024-4ECC-8536-F52A8D09D3CB}">
      <text>
        <r>
          <rPr>
            <b/>
            <sz val="9"/>
            <color indexed="81"/>
            <rFont val="Tahoma"/>
            <family val="2"/>
          </rPr>
          <t>Junhong Wu:</t>
        </r>
        <r>
          <rPr>
            <sz val="9"/>
            <color indexed="81"/>
            <rFont val="Tahoma"/>
            <family val="2"/>
          </rPr>
          <t xml:space="preserve">
what the investor get 
calculate using pass-through rate</t>
        </r>
      </text>
    </comment>
    <comment ref="H20" authorId="0" shapeId="0" xr:uid="{65085609-3A69-4821-AA94-4EEA3C1A51D0}">
      <text>
        <r>
          <rPr>
            <b/>
            <sz val="9"/>
            <color indexed="81"/>
            <rFont val="Tahoma"/>
            <family val="2"/>
          </rPr>
          <t>Junhong Wu:</t>
        </r>
        <r>
          <rPr>
            <sz val="9"/>
            <color indexed="81"/>
            <rFont val="Tahoma"/>
            <family val="2"/>
          </rPr>
          <t xml:space="preserve">
what the agency get for creating the product</t>
        </r>
      </text>
    </comment>
    <comment ref="I20" authorId="0" shapeId="0" xr:uid="{7EBEEB40-55E8-496B-9F19-D15CB5AF4B53}">
      <text>
        <r>
          <rPr>
            <b/>
            <sz val="9"/>
            <color indexed="81"/>
            <rFont val="Tahoma"/>
            <family val="2"/>
          </rPr>
          <t>Junhong Wu:</t>
        </r>
        <r>
          <rPr>
            <sz val="9"/>
            <color indexed="81"/>
            <rFont val="Tahoma"/>
            <family val="2"/>
          </rPr>
          <t xml:space="preserve">
what the borrower paid interms of principal</t>
        </r>
      </text>
    </comment>
    <comment ref="J20" authorId="0" shapeId="0" xr:uid="{780C01EB-2668-4B81-83D5-9FC5F17124FB}">
      <text>
        <r>
          <rPr>
            <b/>
            <sz val="9"/>
            <color indexed="81"/>
            <rFont val="Tahoma"/>
            <family val="2"/>
          </rPr>
          <t>Junhong Wu:</t>
        </r>
        <r>
          <rPr>
            <sz val="9"/>
            <color indexed="81"/>
            <rFont val="Tahoma"/>
            <family val="2"/>
          </rPr>
          <t xml:space="preserve">
Conditional Prepayment Rate 
</t>
        </r>
      </text>
    </comment>
    <comment ref="L20" authorId="0" shapeId="0" xr:uid="{94F28C4C-511B-44C1-9394-46A0A0067299}">
      <text>
        <r>
          <rPr>
            <b/>
            <sz val="9"/>
            <color indexed="81"/>
            <rFont val="Tahoma"/>
            <family val="2"/>
          </rPr>
          <t>Junhong Wu:</t>
        </r>
        <r>
          <rPr>
            <sz val="9"/>
            <color indexed="81"/>
            <rFont val="Tahoma"/>
            <family val="2"/>
          </rPr>
          <t xml:space="preserve">
pre_payment amount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Junhong Wu</author>
  </authors>
  <commentList>
    <comment ref="E20" authorId="0" shapeId="0" xr:uid="{7D161755-48B3-43E0-9CC8-EAC6E2F9DA06}">
      <text>
        <r>
          <rPr>
            <b/>
            <sz val="9"/>
            <color indexed="81"/>
            <rFont val="Tahoma"/>
            <family val="2"/>
          </rPr>
          <t>Junhong Wu:</t>
        </r>
        <r>
          <rPr>
            <sz val="9"/>
            <color indexed="81"/>
            <rFont val="Tahoma"/>
            <family val="2"/>
          </rPr>
          <t xml:space="preserve">
what the borrower paid</t>
        </r>
      </text>
    </comment>
    <comment ref="F20" authorId="0" shapeId="0" xr:uid="{9E4309D9-BA24-420F-A2FF-1AFB765AFA57}">
      <text>
        <r>
          <rPr>
            <b/>
            <sz val="9"/>
            <color indexed="81"/>
            <rFont val="Tahoma"/>
            <family val="2"/>
          </rPr>
          <t>Junhong Wu:</t>
        </r>
        <r>
          <rPr>
            <sz val="9"/>
            <color indexed="81"/>
            <rFont val="Tahoma"/>
            <family val="2"/>
          </rPr>
          <t xml:space="preserve">
what the borrower paid interms of interest rate</t>
        </r>
      </text>
    </comment>
    <comment ref="G20" authorId="0" shapeId="0" xr:uid="{FF8DA5FB-3246-4636-BC22-881D87801796}">
      <text>
        <r>
          <rPr>
            <b/>
            <sz val="9"/>
            <color indexed="81"/>
            <rFont val="Tahoma"/>
            <family val="2"/>
          </rPr>
          <t>Junhong Wu:</t>
        </r>
        <r>
          <rPr>
            <sz val="9"/>
            <color indexed="81"/>
            <rFont val="Tahoma"/>
            <family val="2"/>
          </rPr>
          <t xml:space="preserve">
what the investor get 
calculate using pass-through rate</t>
        </r>
      </text>
    </comment>
    <comment ref="H20" authorId="0" shapeId="0" xr:uid="{70403383-16E9-4B47-AA41-016396EECCB6}">
      <text>
        <r>
          <rPr>
            <b/>
            <sz val="9"/>
            <color indexed="81"/>
            <rFont val="Tahoma"/>
            <family val="2"/>
          </rPr>
          <t>Junhong Wu:</t>
        </r>
        <r>
          <rPr>
            <sz val="9"/>
            <color indexed="81"/>
            <rFont val="Tahoma"/>
            <family val="2"/>
          </rPr>
          <t xml:space="preserve">
what the agency get for creating the product</t>
        </r>
      </text>
    </comment>
    <comment ref="I20" authorId="0" shapeId="0" xr:uid="{6471E622-91DC-4385-BB58-B439BBDD09F4}">
      <text>
        <r>
          <rPr>
            <b/>
            <sz val="9"/>
            <color indexed="81"/>
            <rFont val="Tahoma"/>
            <family val="2"/>
          </rPr>
          <t>Junhong Wu:</t>
        </r>
        <r>
          <rPr>
            <sz val="9"/>
            <color indexed="81"/>
            <rFont val="Tahoma"/>
            <family val="2"/>
          </rPr>
          <t xml:space="preserve">
what the borrower paid interms of principal</t>
        </r>
      </text>
    </comment>
    <comment ref="J20" authorId="0" shapeId="0" xr:uid="{F31D029C-CD8C-40C0-B873-15B4E77A4E9C}">
      <text>
        <r>
          <rPr>
            <b/>
            <sz val="9"/>
            <color indexed="81"/>
            <rFont val="Tahoma"/>
            <family val="2"/>
          </rPr>
          <t>Junhong Wu:</t>
        </r>
        <r>
          <rPr>
            <sz val="9"/>
            <color indexed="81"/>
            <rFont val="Tahoma"/>
            <family val="2"/>
          </rPr>
          <t xml:space="preserve">
Conditional Prepayment Rate 
</t>
        </r>
      </text>
    </comment>
    <comment ref="L20" authorId="0" shapeId="0" xr:uid="{7FA6C99E-E614-4390-9743-9031904E1ADE}">
      <text>
        <r>
          <rPr>
            <b/>
            <sz val="9"/>
            <color indexed="81"/>
            <rFont val="Tahoma"/>
            <family val="2"/>
          </rPr>
          <t>Junhong Wu:</t>
        </r>
        <r>
          <rPr>
            <sz val="9"/>
            <color indexed="81"/>
            <rFont val="Tahoma"/>
            <family val="2"/>
          </rPr>
          <t xml:space="preserve">
pre_payment amount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<sst xmlns="http://schemas.openxmlformats.org/spreadsheetml/2006/main" count="692" uniqueCount="315">
  <si>
    <t>Today:</t>
  </si>
  <si>
    <t>Example 1: Simple bootstrapping</t>
  </si>
  <si>
    <t>Par value</t>
  </si>
  <si>
    <t>Bond Price</t>
  </si>
  <si>
    <t>Annual Coupon</t>
  </si>
  <si>
    <t>Maturity (periods)</t>
  </si>
  <si>
    <t>Maturity (years)</t>
  </si>
  <si>
    <t>Coupon pmt/period</t>
  </si>
  <si>
    <t>SUM (disc factors)</t>
  </si>
  <si>
    <t>Spot Rate (BEY)</t>
  </si>
  <si>
    <t xml:space="preserve">Recursive equation: </t>
  </si>
  <si>
    <t>Or equivalently:</t>
  </si>
  <si>
    <t xml:space="preserve"> </t>
  </si>
  <si>
    <t xml:space="preserve">Step 1: </t>
  </si>
  <si>
    <t>Obtain the current prices on treasuries</t>
  </si>
  <si>
    <t>Step 2:</t>
  </si>
  <si>
    <t>Step 3:</t>
  </si>
  <si>
    <t>bond and r1 calculated in step 2</t>
  </si>
  <si>
    <t>Step 4:</t>
  </si>
  <si>
    <t>bond and r1 and r2</t>
  </si>
  <si>
    <t>Step 5:</t>
  </si>
  <si>
    <t xml:space="preserve">Continue until all the spot rates have been </t>
  </si>
  <si>
    <t>calculated.</t>
  </si>
  <si>
    <t>This approach is called bootstrapping.</t>
  </si>
  <si>
    <t xml:space="preserve">NOTE: All rates are BEY (APR, compounded semiannually) </t>
  </si>
  <si>
    <t>Example 2: Uneven gaps in bond maturities</t>
  </si>
  <si>
    <t>Reestimate with missing bond data:</t>
  </si>
  <si>
    <t>&lt;== Error</t>
  </si>
  <si>
    <t xml:space="preserve">Recursive equation with linear interpolation: </t>
  </si>
  <si>
    <t>where</t>
  </si>
  <si>
    <t>Coupon (%)</t>
  </si>
  <si>
    <t>Mat. Date</t>
  </si>
  <si>
    <t>Mat (yrs)</t>
  </si>
  <si>
    <t>Par:</t>
  </si>
  <si>
    <t>Error</t>
  </si>
  <si>
    <t>Price ($)</t>
  </si>
  <si>
    <t>Yield (%)</t>
  </si>
  <si>
    <t>Full price</t>
  </si>
  <si>
    <t>Freq:</t>
  </si>
  <si>
    <t>Model price</t>
  </si>
  <si>
    <t>Spot rate</t>
  </si>
  <si>
    <t xml:space="preserve">   Par - Par value</t>
  </si>
  <si>
    <t xml:space="preserve">   Coupon - annual coupon rate</t>
  </si>
  <si>
    <t xml:space="preserve">   Freq - number of coupon payments per year</t>
  </si>
  <si>
    <t xml:space="preserve">   t-vec - vector of spot rate terms (yrs)</t>
  </si>
  <si>
    <t>VBA function "Bond_ZeroRates"</t>
  </si>
  <si>
    <t>Canada Bonds, Closing Prices/Yields as of market close on Feb. 5, 2010</t>
  </si>
  <si>
    <t>Coups/yr:</t>
  </si>
  <si>
    <t>Bootstrapped</t>
  </si>
  <si>
    <t>Cubic splines</t>
  </si>
  <si>
    <t xml:space="preserve">   Mat - Maturity (yrs) = (N - a)/Freq, where N is # of coupons and a is (# of days between prev. coupon date and today)/(# of days in coupon period)</t>
  </si>
  <si>
    <t>Type</t>
  </si>
  <si>
    <t>T-bill</t>
  </si>
  <si>
    <t>T-bond</t>
  </si>
  <si>
    <t>Example 3: Pricing a bond using spot rates</t>
  </si>
  <si>
    <t>VBA function PWLinear</t>
  </si>
  <si>
    <t xml:space="preserve">   t - term (yrs) of the spot rate to be interpolated</t>
  </si>
  <si>
    <t>Coupon (%):</t>
  </si>
  <si>
    <t>Mat. Date:</t>
  </si>
  <si>
    <t>Fract. (a):</t>
  </si>
  <si>
    <t>Accr. Int. (AI):</t>
  </si>
  <si>
    <t># of coupons:</t>
  </si>
  <si>
    <t>Period/Pmt date:</t>
  </si>
  <si>
    <t>Term (yrs)</t>
  </si>
  <si>
    <t>Payment</t>
  </si>
  <si>
    <t>PV</t>
  </si>
  <si>
    <t>Quote</t>
  </si>
  <si>
    <t>Example 4: Bootstrapping Canada Bonds, step by step approach</t>
  </si>
  <si>
    <t>CubicSpline</t>
  </si>
  <si>
    <t>Use 2 VBA functions to implement "natural cubic splines":</t>
  </si>
  <si>
    <t xml:space="preserve">    tvec - vector of interest rate maturies (yrs)</t>
  </si>
  <si>
    <t xml:space="preserve">  This array function calculates 2nd order derivatives of interest rates:</t>
  </si>
  <si>
    <t xml:space="preserve">  This function calculates interest rate at a given maturity (given vector of 2nd order derivatives):</t>
  </si>
  <si>
    <t xml:space="preserve">    t - a given maturity of interest rate (yrs)</t>
  </si>
  <si>
    <t>rp2</t>
  </si>
  <si>
    <t>Note: This is an array function and must be used accordingly:</t>
  </si>
  <si>
    <t>1. highlight the cells where the output values are to be stored in</t>
  </si>
  <si>
    <t>2. enter the function as you usually do</t>
  </si>
  <si>
    <t>3. hit ctrl+shit+enter to complete</t>
  </si>
  <si>
    <t>quote</t>
  </si>
  <si>
    <t>Copy from columns B-D</t>
  </si>
  <si>
    <t>Fraction:</t>
  </si>
  <si>
    <t>Total #coupons:</t>
  </si>
  <si>
    <t>full</t>
  </si>
  <si>
    <t>Period</t>
  </si>
  <si>
    <t>CF</t>
  </si>
  <si>
    <t>Extra example 1 (using the same bond and spot rates as in Example 3)</t>
  </si>
  <si>
    <t># of coupons (N):</t>
  </si>
  <si>
    <t>Maturity (yrs):</t>
  </si>
  <si>
    <t>Full price:</t>
  </si>
  <si>
    <t>AI:</t>
  </si>
  <si>
    <t>Quote:</t>
  </si>
  <si>
    <t>Ask for a second opinion: confirmation using a different method</t>
  </si>
  <si>
    <t>#days between Mat. and today</t>
  </si>
  <si>
    <t>Incorrect calculation of bond maturity</t>
  </si>
  <si>
    <t>#days between Mat. and today:</t>
  </si>
  <si>
    <t>Use 2 VBA functions to implement "financial cubic splines":</t>
  </si>
  <si>
    <t>3. hit ctrl+shift+enter to complete</t>
  </si>
  <si>
    <t>Bond_ZeroRates(Par, Mat, Coupon, Freq, t-vec, z-vec)</t>
  </si>
  <si>
    <t xml:space="preserve">   z-vec - vector of spot rates</t>
  </si>
  <si>
    <t>Spline(tvec, zvec, zp1, zpn)</t>
  </si>
  <si>
    <t xml:space="preserve">    zvec - vector of interest rates</t>
  </si>
  <si>
    <t xml:space="preserve">    zp1 - 1st order derivative at the first interest rate (shortest maturity), usually set equal to 0</t>
  </si>
  <si>
    <t xml:space="preserve">    zpn - 1st order derivative at the last interest rate (longest maturity), usually set equal to 0</t>
  </si>
  <si>
    <t>Splint(tvec, zvec, zp2, t)</t>
  </si>
  <si>
    <t xml:space="preserve">    zp2 - vector of 2nd order derivatives of interest rate</t>
  </si>
  <si>
    <t>Solve for the yield on the one period zero - z1</t>
  </si>
  <si>
    <t xml:space="preserve">Solve for z2, given the price of the two period </t>
  </si>
  <si>
    <t>Solve for z3 given the price of the three period</t>
  </si>
  <si>
    <t>PWLinear(t, t-vec, z-vec)</t>
  </si>
  <si>
    <t>VBA function "Bond_ZeroRates": calculates full price using spot rates</t>
  </si>
  <si>
    <t>zp2</t>
  </si>
  <si>
    <t>3-month forward rates</t>
  </si>
  <si>
    <t>Comparing spot rates</t>
  </si>
  <si>
    <t>Frequency</t>
  </si>
  <si>
    <t>Frequency</t>
    <phoneticPr fontId="14" type="noConversion"/>
  </si>
  <si>
    <t>Bond #</t>
  </si>
  <si>
    <t>Coupon Rate</t>
  </si>
  <si>
    <t>Par</t>
  </si>
  <si>
    <t>Price</t>
  </si>
  <si>
    <t>Par</t>
    <phoneticPr fontId="14" type="noConversion"/>
  </si>
  <si>
    <t>Bond</t>
  </si>
  <si>
    <t>Coupon</t>
  </si>
  <si>
    <t>Maturity</t>
  </si>
  <si>
    <t>n</t>
  </si>
  <si>
    <t>Bond price</t>
  </si>
  <si>
    <t>The term structure of interest rates is modeled by the following 8 key rates (APR, semi-annually compounded):</t>
    <phoneticPr fontId="14" type="noConversion"/>
  </si>
  <si>
    <t>Order</t>
  </si>
  <si>
    <t>Term (year)</t>
    <phoneticPr fontId="14" type="noConversion"/>
  </si>
  <si>
    <t>Key rate</t>
    <phoneticPr fontId="14" type="noConversion"/>
  </si>
  <si>
    <t xml:space="preserve">a) (9%) Calculate the first 5 key rate durations (with maturities ranging from 0.5 to 5 years) for each one of the </t>
    <phoneticPr fontId="14" type="noConversion"/>
  </si>
  <si>
    <t>following 6 Treasury bonds:</t>
    <phoneticPr fontId="14" type="noConversion"/>
  </si>
  <si>
    <t>Coupon (%)</t>
    <phoneticPr fontId="14" type="noConversion"/>
  </si>
  <si>
    <t>Maturity (years)</t>
    <phoneticPr fontId="14" type="noConversion"/>
  </si>
  <si>
    <t>Coupon</t>
    <phoneticPr fontId="14" type="noConversion"/>
  </si>
  <si>
    <t>Calculate bond price: Bond_ZeroRates(par, mat, coupon, freq, tvec, rvec)</t>
    <phoneticPr fontId="14" type="noConversion"/>
  </si>
  <si>
    <t xml:space="preserve">\delta k </t>
    <phoneticPr fontId="14" type="noConversion"/>
  </si>
  <si>
    <t>Term(Yrs)</t>
  </si>
  <si>
    <t>Key Rate Duration</t>
  </si>
  <si>
    <t>Term(Year)</t>
  </si>
  <si>
    <t>Spot Rate</t>
  </si>
  <si>
    <t>Principle</t>
  </si>
  <si>
    <t>Cap Rate</t>
  </si>
  <si>
    <t>Floor Rate</t>
  </si>
  <si>
    <t>Volatility</t>
  </si>
  <si>
    <t>Componding Frequency</t>
  </si>
  <si>
    <t>Forward Rate</t>
  </si>
  <si>
    <t>Maturity(yr)</t>
  </si>
  <si>
    <t>Settlement</t>
  </si>
  <si>
    <t>Caplet valuation</t>
  </si>
  <si>
    <t>Floorlet valuation</t>
  </si>
  <si>
    <t>d1</t>
  </si>
  <si>
    <t>d2</t>
  </si>
  <si>
    <t>N(d1)</t>
  </si>
  <si>
    <t>N(d2)</t>
  </si>
  <si>
    <t>Caplet Payoff</t>
  </si>
  <si>
    <t>N(-d1)</t>
  </si>
  <si>
    <t>N(-d2)</t>
  </si>
  <si>
    <t>Floorlet Payoff</t>
  </si>
  <si>
    <t>Sum</t>
  </si>
  <si>
    <t>Solve Cap Rate by setting error=0</t>
  </si>
  <si>
    <t>Spot rates in six-month increments are provided in the following table:</t>
    <phoneticPr fontId="14" type="noConversion"/>
  </si>
  <si>
    <t>All rates are stated as APR with semi-annual compounding. Use the Black’s model to answer the following questions:</t>
    <phoneticPr fontId="14" type="noConversion"/>
  </si>
  <si>
    <t>a) (10%) Consider a 5-year cap on the 6-month spot rate with a principal of $100,000 and semi-annual payments. If the cap rate is 4.25% and the flat volatility for the cap is 17%, how much is the cap worth today?</t>
    <phoneticPr fontId="14" type="noConversion"/>
  </si>
  <si>
    <t>b) (6%) Consider a 5-year floor on the 6-month spot rate with a principal of $100,000 and semi-annual payments. If the floor rate is 2.5% and the flat volatility for the floor is 17%, how much is the floor worth today?</t>
    <phoneticPr fontId="14" type="noConversion"/>
  </si>
  <si>
    <t>c) (4%) If a cap is added to the floor in b) above such that the resulting collar has zero value today, what should the cap rate be? Continue to assume that the flat volatility is 17%.</t>
    <phoneticPr fontId="14" type="noConversion"/>
  </si>
  <si>
    <t>Key Rate #</t>
    <phoneticPr fontId="14" type="noConversion"/>
  </si>
  <si>
    <t>Key Dur</t>
  </si>
  <si>
    <t>Key rate duration summary:</t>
  </si>
  <si>
    <t>Key rate duration</t>
  </si>
  <si>
    <t>Weight</t>
  </si>
  <si>
    <t>b) (4%) Consider the funding operation of the following annual liabilities:</t>
    <phoneticPr fontId="14" type="noConversion"/>
  </si>
  <si>
    <t>Year</t>
    <phoneticPr fontId="14" type="noConversion"/>
  </si>
  <si>
    <t>Liability ($000)</t>
    <phoneticPr fontId="14" type="noConversion"/>
  </si>
  <si>
    <t>and the other half in one year). What are the first 5 key rate durations of the portfolio of the liabilities?</t>
    <phoneticPr fontId="14" type="noConversion"/>
  </si>
  <si>
    <t>For each year, the annual liability is paid twice a year, the first half at the midpoint of the year and the second half at yearend (for example, half of the first year’s $1 million is paid in 6 months</t>
    <phoneticPr fontId="14" type="noConversion"/>
  </si>
  <si>
    <t>Term</t>
  </si>
  <si>
    <t>Calculate spot rate given the key rate</t>
    <phoneticPr fontId="14" type="noConversion"/>
  </si>
  <si>
    <t>t</t>
  </si>
  <si>
    <t>PV(+)</t>
    <phoneticPr fontId="14" type="noConversion"/>
  </si>
  <si>
    <t>PV(-)</t>
    <phoneticPr fontId="14" type="noConversion"/>
  </si>
  <si>
    <t>Key Rate Duration Summary</t>
  </si>
  <si>
    <t xml:space="preserve">c) (7%) Find a portfolio of the 6 bonds in a) above that match the first 5 key rate durations of the liabilities given in b) above. Assume that the present value of the bond portfolio is </t>
    <phoneticPr fontId="14" type="noConversion"/>
  </si>
  <si>
    <t>10% higher than the present value of the liabilities. Both shorting (negative weight) and leverage (&gt; 100% weight) are allowed for any of the 6 bonds.</t>
    <phoneticPr fontId="14" type="noConversion"/>
  </si>
  <si>
    <t>Weight</t>
    <phoneticPr fontId="14" type="noConversion"/>
  </si>
  <si>
    <t>Target</t>
    <phoneticPr fontId="14" type="noConversion"/>
  </si>
  <si>
    <t>Portfolio construction:</t>
    <phoneticPr fontId="14" type="noConversion"/>
  </si>
  <si>
    <t>Holding</t>
  </si>
  <si>
    <t># of Bond</t>
  </si>
  <si>
    <t>PV fund</t>
    <phoneticPr fontId="14" type="noConversion"/>
  </si>
  <si>
    <t xml:space="preserve">Consider the ten-period binomial tree of the six-month short rate (APR, compounded semiannually) provided </t>
    <phoneticPr fontId="14" type="noConversion"/>
  </si>
  <si>
    <t>in the excel spreadsheet (homework3_post.xlsx). Each binomial period is six month long and the whole tree covers</t>
    <phoneticPr fontId="14" type="noConversion"/>
  </si>
  <si>
    <t>a five-year span. The spot rate has equal probabilities of either going up or down in each period</t>
    <phoneticPr fontId="14" type="noConversion"/>
  </si>
  <si>
    <t>(in the risk-neutral world).</t>
    <phoneticPr fontId="14" type="noConversion"/>
  </si>
  <si>
    <t>Binomial tree of one-period spot rates:</t>
  </si>
  <si>
    <t>Time period ==&gt;</t>
  </si>
  <si>
    <t>Years</t>
  </si>
  <si>
    <t/>
  </si>
  <si>
    <t>a) (10%) Find the term structure of spot rates, with terms varying from 6 months to 5 years in 6-month increments. All spot rates should be stated as APR, compounded semiannually.</t>
    <phoneticPr fontId="14" type="noConversion"/>
  </si>
  <si>
    <t>Period</t>
    <phoneticPr fontId="14" type="noConversion"/>
  </si>
  <si>
    <t>Term(yr)</t>
    <phoneticPr fontId="14" type="noConversion"/>
  </si>
  <si>
    <t>Bond price</t>
    <phoneticPr fontId="14" type="noConversion"/>
  </si>
  <si>
    <t>Spot rate</t>
    <phoneticPr fontId="14" type="noConversion"/>
  </si>
  <si>
    <t>2) the term structure of spot rates in a) above. Verify that both calculations arrive at the same bond price.</t>
    <phoneticPr fontId="14" type="noConversion"/>
  </si>
  <si>
    <t>b) (5%) Consider a Treasury bond with 5 years remaining to maturity, $100 par, and 5.25% coupon rate (paid semiannually). Determine the value of the bond today using 1) the binomial tree of short rates;</t>
    <phoneticPr fontId="14" type="noConversion"/>
  </si>
  <si>
    <t>Time (yrs):</t>
  </si>
  <si>
    <t>Maturity</t>
    <phoneticPr fontId="14" type="noConversion"/>
  </si>
  <si>
    <t>Coupon/period</t>
  </si>
  <si>
    <t>Determine the value of the bond today using the term structure of spot rates</t>
    <phoneticPr fontId="14" type="noConversion"/>
  </si>
  <si>
    <t>Using Spot Rate</t>
  </si>
  <si>
    <t>Term (yr)</t>
  </si>
  <si>
    <t xml:space="preserve">Spot rate </t>
  </si>
  <si>
    <t>Total</t>
  </si>
  <si>
    <t>c) (5%) Consider a bond identical to the Treasury bond in b) above except that it is also callable. While it is not callable initially, the bond becomes callable at par after one year (the first call date is exactly one year from now).</t>
    <phoneticPr fontId="14" type="noConversion"/>
  </si>
  <si>
    <t>What is the price of this callable Treasury bond?</t>
    <phoneticPr fontId="14" type="noConversion"/>
  </si>
  <si>
    <t>callable at par</t>
    <phoneticPr fontId="14" type="noConversion"/>
  </si>
  <si>
    <t>d) (5%) Consider a collar consisting of a long position in a European call option on the Treasury bond in b) above and a short position in a European put option on the same bond. Both options have one year remaining to maturity.</t>
    <phoneticPr fontId="14" type="noConversion"/>
  </si>
  <si>
    <t>The strike price of the call option is exactly 5% below the Treasury bond price. In order for the collar to have an initial value of zero, what should the strike price of the put option be?</t>
    <phoneticPr fontId="14" type="noConversion"/>
  </si>
  <si>
    <t>Bond Price</t>
    <phoneticPr fontId="14" type="noConversion"/>
  </si>
  <si>
    <t>Strike Price (call)</t>
    <phoneticPr fontId="14" type="noConversion"/>
  </si>
  <si>
    <t>Strike Price (put)</t>
    <phoneticPr fontId="14" type="noConversion"/>
  </si>
  <si>
    <t>dt</t>
    <phoneticPr fontId="14" type="noConversion"/>
  </si>
  <si>
    <t>prob</t>
    <phoneticPr fontId="14" type="noConversion"/>
  </si>
  <si>
    <t>Option Price</t>
    <phoneticPr fontId="14" type="noConversion"/>
  </si>
  <si>
    <t>Call</t>
    <phoneticPr fontId="14" type="noConversion"/>
  </si>
  <si>
    <t>Put</t>
    <phoneticPr fontId="14" type="noConversion"/>
  </si>
  <si>
    <t>Effective</t>
  </si>
  <si>
    <t>Pool size ($million):</t>
  </si>
  <si>
    <t>Tranche</t>
  </si>
  <si>
    <t>Par amount</t>
  </si>
  <si>
    <t>mthly rate</t>
  </si>
  <si>
    <t>WAM (months):</t>
  </si>
  <si>
    <t>A</t>
  </si>
  <si>
    <t>WAC:</t>
  </si>
  <si>
    <t xml:space="preserve">compounded monthly </t>
  </si>
  <si>
    <t>B</t>
  </si>
  <si>
    <t>Passthrough rate:</t>
  </si>
  <si>
    <t>compounded semi</t>
  </si>
  <si>
    <t>C</t>
  </si>
  <si>
    <t>Canada/U.S. (1-Can, 0-U.S.):</t>
  </si>
  <si>
    <t>Compounding freq:</t>
  </si>
  <si>
    <t>Prepayment rate (PSA):</t>
  </si>
  <si>
    <t>Investor expected return:</t>
  </si>
  <si>
    <t>Mortgage pymt freq:</t>
  </si>
  <si>
    <t>Amortization period:</t>
  </si>
  <si>
    <t>Effective mortgage rate/period:</t>
  </si>
  <si>
    <t>Effective passthru rate/period:</t>
  </si>
  <si>
    <t>Scheduled monthly payment projection: Pass-throughs</t>
  </si>
  <si>
    <t>Months</t>
  </si>
  <si>
    <t>Scheduled monthly payment</t>
  </si>
  <si>
    <t>Prepayment</t>
  </si>
  <si>
    <t>Tranche A</t>
  </si>
  <si>
    <t>Tranche B</t>
  </si>
  <si>
    <t>Tranche C</t>
  </si>
  <si>
    <t>Month from now</t>
  </si>
  <si>
    <t>Remaining</t>
  </si>
  <si>
    <t>Seasoned</t>
  </si>
  <si>
    <t>Loan balance</t>
  </si>
  <si>
    <t>Interest</t>
  </si>
  <si>
    <t>Net interest</t>
  </si>
  <si>
    <t>Fees</t>
  </si>
  <si>
    <t>Principal</t>
  </si>
  <si>
    <t>CPR</t>
  </si>
  <si>
    <t>SMM</t>
  </si>
  <si>
    <t>Amount</t>
  </si>
  <si>
    <t>All CF</t>
  </si>
  <si>
    <t>All princ.</t>
  </si>
  <si>
    <t>Par pmt</t>
  </si>
  <si>
    <t>Total CF</t>
  </si>
  <si>
    <t>t/6</t>
  </si>
  <si>
    <t>Wi</t>
  </si>
  <si>
    <t>t/6*(t/6+1)</t>
  </si>
  <si>
    <t>IRS valuation as FRAs</t>
  </si>
  <si>
    <t>Notional</t>
  </si>
  <si>
    <t>Spread</t>
  </si>
  <si>
    <t>Time(months)</t>
  </si>
  <si>
    <t>LIBOR</t>
  </si>
  <si>
    <t>Question 1 (20%) excel 6 ex5</t>
  </si>
  <si>
    <t>Coupon rate</t>
  </si>
  <si>
    <t>PV(0)</t>
  </si>
  <si>
    <t>New rate</t>
  </si>
  <si>
    <t>semi-annual payment of liabilities</t>
  </si>
  <si>
    <t>Target:</t>
  </si>
  <si>
    <t>Value of target Portfolio</t>
  </si>
  <si>
    <t>Question 4 (20%) excel9, EX1</t>
  </si>
  <si>
    <t>a)</t>
  </si>
  <si>
    <t>b)</t>
  </si>
  <si>
    <t>Caplet PV</t>
  </si>
  <si>
    <t>Floorlet PV</t>
  </si>
  <si>
    <t xml:space="preserve"> Floorlet PV</t>
  </si>
  <si>
    <t>Question 5 (25%) Exvel 10 EX3</t>
  </si>
  <si>
    <t>Bond price: VBA function BondBin(par, mat, coupon, freq, dt, p, tree)</t>
  </si>
  <si>
    <t>redeemable after(yrs)</t>
  </si>
  <si>
    <t>effective Investor expected return:</t>
  </si>
  <si>
    <t>Macaulay</t>
  </si>
  <si>
    <t xml:space="preserve"> Dur</t>
  </si>
  <si>
    <t xml:space="preserve">Convexity </t>
  </si>
  <si>
    <t>in months</t>
  </si>
  <si>
    <t>first Mortgage pmt:</t>
  </si>
  <si>
    <t>in half-years</t>
  </si>
  <si>
    <t>in year</t>
  </si>
  <si>
    <t>tvec</t>
  </si>
  <si>
    <t>rvec</t>
  </si>
  <si>
    <t xml:space="preserve"> Calculate key rate durations (by numerical differentiation):</t>
  </si>
  <si>
    <t>P+</t>
  </si>
  <si>
    <t>P-</t>
  </si>
  <si>
    <t>Z+</t>
  </si>
  <si>
    <t>Z-</t>
  </si>
  <si>
    <t>r+</t>
  </si>
  <si>
    <t>r-</t>
  </si>
  <si>
    <t>Determine the value of the bond today using the binomial tree of short rates</t>
  </si>
  <si>
    <t>Value</t>
  </si>
  <si>
    <t>adj-LIBOR</t>
  </si>
  <si>
    <t>Fixed rate</t>
  </si>
  <si>
    <t>adj-fixed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</si>
</sst>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4" formatCode="_-&quot;$&quot;* #,##0.00_-;\-&quot;$&quot;* #,##0.00_-;_-&quot;$&quot;* &quot;-&quot;??_-;_-@_-"/>
    <numFmt numFmtId="43" formatCode="_-* #,##0.00_-;\-* #,##0.00_-;_-* &quot;-&quot;??_-;_-@_-"/>
    <numFmt numFmtId="164" formatCode="0.0000"/>
    <numFmt numFmtId="165" formatCode="0.00000"/>
    <numFmt numFmtId="166" formatCode="0.000000"/>
    <numFmt numFmtId="167" formatCode="0.000"/>
    <numFmt numFmtId="168" formatCode="0.0000%"/>
    <numFmt numFmtId="169" formatCode="0.000%"/>
    <numFmt numFmtId="170" formatCode="0.00000%"/>
    <numFmt numFmtId="171" formatCode="0.00000_ "/>
    <numFmt numFmtId="172" formatCode="_-* #,##0_-;\-* #,##0_-;_-* &quot;-&quot;??_-;_-@_-"/>
    <numFmt numFmtId="173" formatCode="&quot;$&quot;#,##0"/>
    <numFmt numFmtId="174" formatCode="_-* #,##0.0000_-;\-* #,##0.0000_-;_-* &quot;-&quot;??_-;_-@_-"/>
    <numFmt numFmtId="175" formatCode="_-&quot;$&quot;* #,##0_-;\-&quot;$&quot;* #,##0_-;_-&quot;$&quot;* &quot;-&quot;??_-;_-@_-"/>
  </numFmts>
  <fonts count="2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14"/>
      <name val="Arial"/>
      <family val="2"/>
    </font>
    <font>
      <sz val="10"/>
      <name val="Arial"/>
      <family val="2"/>
    </font>
    <font>
      <sz val="10"/>
      <color rgb="FFFF0000"/>
      <name val="Arial"/>
      <family val="2"/>
    </font>
    <font>
      <sz val="10"/>
      <color theme="1"/>
      <name val="Arial"/>
      <family val="2"/>
    </font>
    <font>
      <b/>
      <sz val="9"/>
      <color indexed="81"/>
      <name val="Tahoma"/>
      <family val="2"/>
    </font>
    <font>
      <sz val="9"/>
      <color indexed="81"/>
      <name val="Tahoma"/>
      <family val="2"/>
    </font>
    <font>
      <sz val="10"/>
      <name val="Arial"/>
      <family val="2"/>
    </font>
    <font>
      <sz val="9"/>
      <name val="MingLiU"/>
      <family val="3"/>
      <charset val="136"/>
    </font>
    <font>
      <b/>
      <sz val="12"/>
      <name val="Arial"/>
      <family val="2"/>
    </font>
    <font>
      <sz val="12"/>
      <name val="Arial"/>
      <family val="2"/>
    </font>
    <font>
      <b/>
      <sz val="12"/>
      <color theme="1"/>
      <name val="Arial"/>
      <family val="2"/>
    </font>
    <font>
      <sz val="12"/>
      <color rgb="FFFF0000"/>
      <name val="Arial"/>
      <family val="2"/>
    </font>
    <font>
      <b/>
      <sz val="10"/>
      <color theme="1"/>
      <name val="Calibri"/>
      <family val="2"/>
      <scheme val="minor"/>
    </font>
    <font>
      <sz val="10"/>
      <color theme="1"/>
      <name val="Calibri"/>
      <family val="2"/>
      <scheme val="minor"/>
    </font>
    <font>
      <sz val="10"/>
      <color rgb="FFFF0000"/>
      <name val="Calibri"/>
      <family val="2"/>
      <scheme val="minor"/>
    </font>
    <font>
      <b/>
      <sz val="12"/>
      <color theme="1"/>
      <name val="Calibri"/>
      <family val="2"/>
      <scheme val="minor"/>
    </font>
    <font>
      <sz val="10"/>
      <name val="Arial"/>
      <family val="2"/>
    </font>
    <font>
      <sz val="10"/>
      <name val="Calibri"/>
      <family val="2"/>
      <scheme val="minor"/>
    </font>
    <font>
      <b/>
      <sz val="10"/>
      <name val="Calibri"/>
      <family val="2"/>
      <scheme val="minor"/>
    </font>
    <font>
      <b/>
      <sz val="10"/>
      <color rgb="FFFF0000"/>
      <name val="Calibri"/>
      <family val="2"/>
      <scheme val="minor"/>
    </font>
  </fonts>
  <fills count="18">
    <fill>
      <patternFill patternType="none"/>
    </fill>
    <fill>
      <patternFill patternType="gray125"/>
    </fill>
    <fill>
      <patternFill patternType="solid">
        <fgColor rgb="FFFFC000"/>
        <bgColor indexed="64"/>
      </patternFill>
    </fill>
    <fill>
      <patternFill patternType="solid">
        <fgColor rgb="FF92D050"/>
        <bgColor indexed="64"/>
      </patternFill>
    </fill>
    <fill>
      <patternFill patternType="solid">
        <fgColor indexed="13"/>
        <bgColor indexed="64"/>
      </patternFill>
    </fill>
    <fill>
      <patternFill patternType="solid">
        <fgColor indexed="52"/>
        <bgColor indexed="64"/>
      </patternFill>
    </fill>
    <fill>
      <patternFill patternType="solid">
        <fgColor indexed="50"/>
        <bgColor indexed="64"/>
      </patternFill>
    </fill>
    <fill>
      <patternFill patternType="solid">
        <fgColor rgb="FFFFFF00"/>
        <bgColor indexed="64"/>
      </patternFill>
    </fill>
    <fill>
      <patternFill patternType="solid">
        <fgColor theme="5" tint="0.79998168889431442"/>
        <bgColor indexed="64"/>
      </patternFill>
    </fill>
    <fill>
      <patternFill patternType="solid">
        <fgColor rgb="FF00B0F0"/>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FFFF99"/>
        <bgColor indexed="64"/>
      </patternFill>
    </fill>
    <fill>
      <patternFill patternType="solid">
        <fgColor rgb="FFFF0000"/>
        <bgColor indexed="64"/>
      </patternFill>
    </fill>
    <fill>
      <patternFill patternType="solid">
        <fgColor theme="8" tint="0.59999389629810485"/>
        <bgColor indexed="64"/>
      </patternFill>
    </fill>
    <fill>
      <patternFill patternType="solid">
        <fgColor theme="9"/>
        <bgColor indexed="64"/>
      </patternFill>
    </fill>
    <fill>
      <patternFill patternType="solid">
        <fgColor theme="4"/>
        <bgColor indexed="64"/>
      </patternFill>
    </fill>
  </fills>
  <borders count="1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auto="1"/>
      </top>
      <bottom style="thin">
        <color auto="1"/>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6">
    <xf numFmtId="0" fontId="0" fillId="0" borderId="0"/>
    <xf numFmtId="0" fontId="5" fillId="0" borderId="0"/>
    <xf numFmtId="0" fontId="8" fillId="0" borderId="0"/>
    <xf numFmtId="0" fontId="8" fillId="0" borderId="0"/>
    <xf numFmtId="0" fontId="4" fillId="0" borderId="0"/>
    <xf numFmtId="9" fontId="13" fillId="0" borderId="0" applyFont="0" applyFill="0" applyBorder="0" applyAlignment="0" applyProtection="0">
      <alignment vertical="center"/>
    </xf>
    <xf numFmtId="0" fontId="3" fillId="0" borderId="0"/>
    <xf numFmtId="9" fontId="3" fillId="0" borderId="0" applyFont="0" applyFill="0" applyBorder="0" applyAlignment="0" applyProtection="0">
      <alignment vertical="center"/>
    </xf>
    <xf numFmtId="0" fontId="3" fillId="0" borderId="0"/>
    <xf numFmtId="0" fontId="2" fillId="0" borderId="0"/>
    <xf numFmtId="43" fontId="8" fillId="0" borderId="0" applyFont="0" applyFill="0" applyBorder="0" applyAlignment="0" applyProtection="0"/>
    <xf numFmtId="9" fontId="8" fillId="0" borderId="0" applyFont="0" applyFill="0" applyBorder="0" applyAlignment="0" applyProtection="0"/>
    <xf numFmtId="44" fontId="8" fillId="0" borderId="0" applyFont="0" applyFill="0" applyBorder="0" applyAlignment="0" applyProtection="0"/>
    <xf numFmtId="44" fontId="23" fillId="0" borderId="0" applyFont="0" applyFill="0" applyBorder="0" applyAlignment="0" applyProtection="0"/>
    <xf numFmtId="0" fontId="1" fillId="0" borderId="0"/>
    <xf numFmtId="9" fontId="8" fillId="0" borderId="0" applyFont="0" applyFill="0" applyBorder="0" applyAlignment="0" applyProtection="0">
      <alignment vertical="center"/>
    </xf>
  </cellStyleXfs>
  <cellXfs count="231">
    <xf numFmtId="0" fontId="0" fillId="0" borderId="0" xfId="0"/>
    <xf numFmtId="164" fontId="0" fillId="0" borderId="0" xfId="0" applyNumberFormat="1"/>
    <xf numFmtId="0" fontId="6" fillId="0" borderId="0" xfId="0" applyFont="1"/>
    <xf numFmtId="0" fontId="6" fillId="0" borderId="0" xfId="2" applyFont="1"/>
    <xf numFmtId="0" fontId="8" fillId="0" borderId="0" xfId="2"/>
    <xf numFmtId="164" fontId="8" fillId="0" borderId="0" xfId="2" applyNumberFormat="1"/>
    <xf numFmtId="0" fontId="8" fillId="3" borderId="0" xfId="2" applyFill="1"/>
    <xf numFmtId="0" fontId="7" fillId="4" borderId="0" xfId="2" applyFont="1" applyFill="1"/>
    <xf numFmtId="0" fontId="8" fillId="4" borderId="0" xfId="2" applyFill="1"/>
    <xf numFmtId="0" fontId="8" fillId="5" borderId="0" xfId="2" applyFill="1"/>
    <xf numFmtId="0" fontId="8" fillId="0" borderId="0" xfId="2" applyAlignment="1">
      <alignment horizontal="center"/>
    </xf>
    <xf numFmtId="0" fontId="8" fillId="0" borderId="0" xfId="2" applyAlignment="1">
      <alignment horizontal="right"/>
    </xf>
    <xf numFmtId="166" fontId="8" fillId="0" borderId="0" xfId="2" applyNumberFormat="1" applyAlignment="1">
      <alignment horizontal="center"/>
    </xf>
    <xf numFmtId="168" fontId="8" fillId="0" borderId="0" xfId="2" applyNumberFormat="1"/>
    <xf numFmtId="0" fontId="8" fillId="6" borderId="1" xfId="2" applyFill="1" applyBorder="1"/>
    <xf numFmtId="0" fontId="8" fillId="6" borderId="2" xfId="2" applyFill="1" applyBorder="1"/>
    <xf numFmtId="0" fontId="8" fillId="6" borderId="3" xfId="2" applyFill="1" applyBorder="1"/>
    <xf numFmtId="0" fontId="6" fillId="6" borderId="4" xfId="2" applyFont="1" applyFill="1" applyBorder="1"/>
    <xf numFmtId="0" fontId="8" fillId="6" borderId="0" xfId="2" applyFill="1"/>
    <xf numFmtId="0" fontId="8" fillId="6" borderId="5" xfId="2" applyFill="1" applyBorder="1"/>
    <xf numFmtId="0" fontId="8" fillId="6" borderId="4" xfId="2" applyFill="1" applyBorder="1"/>
    <xf numFmtId="0" fontId="6" fillId="6" borderId="0" xfId="2" applyFont="1" applyFill="1"/>
    <xf numFmtId="0" fontId="8" fillId="6" borderId="6" xfId="2" applyFill="1" applyBorder="1"/>
    <xf numFmtId="0" fontId="8" fillId="6" borderId="7" xfId="2" applyFill="1" applyBorder="1"/>
    <xf numFmtId="0" fontId="8" fillId="6" borderId="8" xfId="2" applyFill="1" applyBorder="1"/>
    <xf numFmtId="0" fontId="6" fillId="0" borderId="0" xfId="2" applyFont="1" applyAlignment="1">
      <alignment horizontal="left"/>
    </xf>
    <xf numFmtId="0" fontId="8" fillId="3" borderId="0" xfId="2" applyFill="1" applyAlignment="1">
      <alignment horizontal="center"/>
    </xf>
    <xf numFmtId="166" fontId="8" fillId="3" borderId="0" xfId="2" applyNumberFormat="1" applyFill="1" applyAlignment="1">
      <alignment horizontal="center"/>
    </xf>
    <xf numFmtId="168" fontId="8" fillId="3" borderId="0" xfId="2" applyNumberFormat="1" applyFill="1"/>
    <xf numFmtId="165" fontId="8" fillId="2" borderId="0" xfId="2" applyNumberFormat="1" applyFill="1"/>
    <xf numFmtId="0" fontId="8" fillId="2" borderId="0" xfId="2" applyFill="1"/>
    <xf numFmtId="165" fontId="8" fillId="0" borderId="0" xfId="2" applyNumberFormat="1"/>
    <xf numFmtId="14" fontId="8" fillId="0" borderId="0" xfId="2" applyNumberFormat="1"/>
    <xf numFmtId="0" fontId="6" fillId="0" borderId="0" xfId="2" applyFont="1" applyAlignment="1">
      <alignment horizontal="center"/>
    </xf>
    <xf numFmtId="0" fontId="8" fillId="2" borderId="0" xfId="2" applyFill="1" applyAlignment="1">
      <alignment horizontal="right" wrapText="1"/>
    </xf>
    <xf numFmtId="14" fontId="8" fillId="2" borderId="0" xfId="2" applyNumberFormat="1" applyFill="1" applyAlignment="1">
      <alignment horizontal="right" wrapText="1"/>
    </xf>
    <xf numFmtId="164" fontId="9" fillId="0" borderId="0" xfId="2" applyNumberFormat="1" applyFont="1"/>
    <xf numFmtId="0" fontId="8" fillId="0" borderId="0" xfId="2" applyAlignment="1">
      <alignment horizontal="right" wrapText="1"/>
    </xf>
    <xf numFmtId="0" fontId="6" fillId="0" borderId="0" xfId="0" applyFont="1" applyAlignment="1">
      <alignment horizontal="center"/>
    </xf>
    <xf numFmtId="0" fontId="6" fillId="8" borderId="0" xfId="0" applyFont="1" applyFill="1"/>
    <xf numFmtId="0" fontId="0" fillId="8" borderId="0" xfId="0" applyFill="1"/>
    <xf numFmtId="2" fontId="8" fillId="0" borderId="0" xfId="2" applyNumberFormat="1"/>
    <xf numFmtId="164" fontId="0" fillId="7" borderId="0" xfId="0" applyNumberFormat="1" applyFill="1"/>
    <xf numFmtId="0" fontId="6" fillId="2" borderId="0" xfId="2" applyFont="1" applyFill="1"/>
    <xf numFmtId="0" fontId="6" fillId="8" borderId="0" xfId="2" applyFont="1" applyFill="1"/>
    <xf numFmtId="0" fontId="8" fillId="8" borderId="0" xfId="2" applyFill="1"/>
    <xf numFmtId="0" fontId="6" fillId="7" borderId="0" xfId="2" applyFont="1" applyFill="1"/>
    <xf numFmtId="14" fontId="8" fillId="7" borderId="0" xfId="2" applyNumberFormat="1" applyFill="1"/>
    <xf numFmtId="0" fontId="8" fillId="7" borderId="0" xfId="2" applyFill="1"/>
    <xf numFmtId="164" fontId="8" fillId="2" borderId="0" xfId="2" applyNumberFormat="1" applyFill="1"/>
    <xf numFmtId="14" fontId="8" fillId="7" borderId="0" xfId="2" applyNumberFormat="1" applyFill="1" applyAlignment="1">
      <alignment horizontal="right" wrapText="1"/>
    </xf>
    <xf numFmtId="167" fontId="8" fillId="0" borderId="0" xfId="2" applyNumberFormat="1"/>
    <xf numFmtId="0" fontId="6" fillId="3" borderId="0" xfId="2" applyFont="1" applyFill="1" applyAlignment="1">
      <alignment horizontal="center"/>
    </xf>
    <xf numFmtId="164" fontId="8" fillId="3" borderId="0" xfId="2" applyNumberFormat="1" applyFill="1"/>
    <xf numFmtId="2" fontId="8" fillId="3" borderId="0" xfId="2" applyNumberFormat="1" applyFill="1"/>
    <xf numFmtId="164" fontId="4" fillId="0" borderId="0" xfId="4" applyNumberFormat="1"/>
    <xf numFmtId="165" fontId="0" fillId="0" borderId="0" xfId="0" applyNumberFormat="1"/>
    <xf numFmtId="14" fontId="8" fillId="0" borderId="0" xfId="2" applyNumberFormat="1" applyAlignment="1">
      <alignment horizontal="right" wrapText="1"/>
    </xf>
    <xf numFmtId="165" fontId="10" fillId="0" borderId="0" xfId="2" applyNumberFormat="1" applyFont="1"/>
    <xf numFmtId="165" fontId="4" fillId="0" borderId="0" xfId="4" applyNumberFormat="1"/>
    <xf numFmtId="0" fontId="6" fillId="7" borderId="0" xfId="2" applyFont="1" applyFill="1" applyAlignment="1">
      <alignment horizontal="left"/>
    </xf>
    <xf numFmtId="0" fontId="6" fillId="7" borderId="0" xfId="2" applyFont="1" applyFill="1" applyAlignment="1">
      <alignment horizontal="center"/>
    </xf>
    <xf numFmtId="164" fontId="8" fillId="7" borderId="0" xfId="2" applyNumberFormat="1" applyFill="1"/>
    <xf numFmtId="0" fontId="6" fillId="2" borderId="0" xfId="2" applyFont="1" applyFill="1" applyAlignment="1">
      <alignment horizontal="left"/>
    </xf>
    <xf numFmtId="0" fontId="6" fillId="9" borderId="0" xfId="2" applyFont="1" applyFill="1"/>
    <xf numFmtId="0" fontId="8" fillId="9" borderId="0" xfId="2" applyFill="1"/>
    <xf numFmtId="0" fontId="6" fillId="0" borderId="0" xfId="2" applyFont="1" applyAlignment="1">
      <alignment horizontal="right"/>
    </xf>
    <xf numFmtId="164" fontId="8" fillId="7" borderId="0" xfId="3" applyNumberFormat="1" applyFill="1"/>
    <xf numFmtId="0" fontId="6" fillId="3" borderId="0" xfId="2" applyFont="1" applyFill="1"/>
    <xf numFmtId="167" fontId="8" fillId="3" borderId="0" xfId="2" applyNumberFormat="1" applyFill="1"/>
    <xf numFmtId="167" fontId="8" fillId="7" borderId="0" xfId="2" applyNumberFormat="1" applyFill="1"/>
    <xf numFmtId="165" fontId="10" fillId="0" borderId="0" xfId="4" applyNumberFormat="1" applyFont="1"/>
    <xf numFmtId="2" fontId="6" fillId="7" borderId="0" xfId="2" applyNumberFormat="1" applyFont="1" applyFill="1" applyAlignment="1">
      <alignment horizontal="center"/>
    </xf>
    <xf numFmtId="2" fontId="6" fillId="3" borderId="0" xfId="2" applyNumberFormat="1" applyFont="1" applyFill="1" applyAlignment="1">
      <alignment horizontal="center"/>
    </xf>
    <xf numFmtId="0" fontId="16" fillId="0" borderId="0" xfId="0" applyFont="1" applyAlignment="1">
      <alignment horizontal="left" vertical="center"/>
    </xf>
    <xf numFmtId="0" fontId="16" fillId="10" borderId="0" xfId="0" applyFont="1" applyFill="1"/>
    <xf numFmtId="0" fontId="16" fillId="0" borderId="0" xfId="0" applyFont="1"/>
    <xf numFmtId="169" fontId="16" fillId="10" borderId="0" xfId="0" applyNumberFormat="1" applyFont="1" applyFill="1"/>
    <xf numFmtId="2" fontId="16" fillId="0" borderId="0" xfId="0" applyNumberFormat="1" applyFont="1"/>
    <xf numFmtId="169" fontId="16" fillId="0" borderId="0" xfId="0" applyNumberFormat="1" applyFont="1"/>
    <xf numFmtId="168" fontId="16" fillId="0" borderId="0" xfId="0" applyNumberFormat="1" applyFont="1"/>
    <xf numFmtId="0" fontId="15" fillId="0" borderId="0" xfId="0" applyFont="1"/>
    <xf numFmtId="10" fontId="16" fillId="0" borderId="0" xfId="0" applyNumberFormat="1" applyFont="1"/>
    <xf numFmtId="0" fontId="15" fillId="0" borderId="0" xfId="0" applyFont="1" applyAlignment="1">
      <alignment horizontal="center" vertical="center"/>
    </xf>
    <xf numFmtId="0" fontId="16" fillId="0" borderId="0" xfId="0" applyFont="1" applyAlignment="1">
      <alignment horizontal="center" vertical="center"/>
    </xf>
    <xf numFmtId="169" fontId="16" fillId="0" borderId="0" xfId="0" applyNumberFormat="1" applyFont="1" applyAlignment="1">
      <alignment horizontal="center" vertical="center"/>
    </xf>
    <xf numFmtId="169" fontId="16" fillId="0" borderId="0" xfId="5" applyNumberFormat="1" applyFont="1" applyAlignment="1">
      <alignment horizontal="center" vertical="center"/>
    </xf>
    <xf numFmtId="164" fontId="16" fillId="0" borderId="0" xfId="0" applyNumberFormat="1" applyFont="1" applyAlignment="1">
      <alignment horizontal="center" vertical="center"/>
    </xf>
    <xf numFmtId="167" fontId="16" fillId="0" borderId="0" xfId="0" applyNumberFormat="1" applyFont="1" applyAlignment="1">
      <alignment horizontal="center" vertical="center"/>
    </xf>
    <xf numFmtId="167" fontId="15" fillId="2" borderId="0" xfId="0" applyNumberFormat="1" applyFont="1" applyFill="1" applyAlignment="1">
      <alignment horizontal="center" vertical="center"/>
    </xf>
    <xf numFmtId="167" fontId="15" fillId="0" borderId="0" xfId="0" applyNumberFormat="1" applyFont="1" applyAlignment="1">
      <alignment horizontal="center" vertical="center"/>
    </xf>
    <xf numFmtId="0" fontId="15" fillId="10" borderId="0" xfId="0" applyFont="1" applyFill="1" applyAlignment="1">
      <alignment horizontal="center" vertical="center"/>
    </xf>
    <xf numFmtId="0" fontId="16" fillId="10" borderId="0" xfId="0" applyFont="1" applyFill="1" applyAlignment="1">
      <alignment horizontal="center" vertical="center"/>
    </xf>
    <xf numFmtId="169" fontId="16" fillId="10" borderId="0" xfId="0" applyNumberFormat="1" applyFont="1" applyFill="1" applyAlignment="1">
      <alignment horizontal="center" vertical="center"/>
    </xf>
    <xf numFmtId="0" fontId="17" fillId="7" borderId="0" xfId="4" applyFont="1" applyFill="1" applyAlignment="1">
      <alignment horizontal="center" vertical="center"/>
    </xf>
    <xf numFmtId="0" fontId="17" fillId="3" borderId="0" xfId="4" applyFont="1" applyFill="1" applyAlignment="1">
      <alignment horizontal="center" vertical="center"/>
    </xf>
    <xf numFmtId="0" fontId="16" fillId="12" borderId="0" xfId="0" applyFont="1" applyFill="1"/>
    <xf numFmtId="169" fontId="16" fillId="12" borderId="0" xfId="0" applyNumberFormat="1" applyFont="1" applyFill="1"/>
    <xf numFmtId="0" fontId="15" fillId="10" borderId="0" xfId="0" applyFont="1" applyFill="1"/>
    <xf numFmtId="0" fontId="15" fillId="12" borderId="0" xfId="0" applyFont="1" applyFill="1"/>
    <xf numFmtId="169" fontId="15" fillId="0" borderId="0" xfId="0" applyNumberFormat="1" applyFont="1"/>
    <xf numFmtId="0" fontId="16" fillId="11" borderId="0" xfId="0" applyFont="1" applyFill="1"/>
    <xf numFmtId="168" fontId="16" fillId="0" borderId="0" xfId="5" applyNumberFormat="1" applyFont="1" applyAlignment="1"/>
    <xf numFmtId="0" fontId="15" fillId="13" borderId="0" xfId="0" applyFont="1" applyFill="1"/>
    <xf numFmtId="0" fontId="18" fillId="0" borderId="0" xfId="0" applyFont="1"/>
    <xf numFmtId="0" fontId="15" fillId="0" borderId="0" xfId="0" applyFont="1" applyAlignment="1">
      <alignment horizontal="right"/>
    </xf>
    <xf numFmtId="165" fontId="16" fillId="0" borderId="0" xfId="0" applyNumberFormat="1" applyFont="1"/>
    <xf numFmtId="165" fontId="16" fillId="13" borderId="0" xfId="0" applyNumberFormat="1" applyFont="1" applyFill="1"/>
    <xf numFmtId="10" fontId="16" fillId="10" borderId="0" xfId="0" applyNumberFormat="1" applyFont="1" applyFill="1"/>
    <xf numFmtId="171" fontId="18" fillId="0" borderId="0" xfId="0" applyNumberFormat="1" applyFont="1"/>
    <xf numFmtId="165" fontId="18" fillId="0" borderId="0" xfId="0" applyNumberFormat="1" applyFont="1"/>
    <xf numFmtId="0" fontId="18" fillId="0" borderId="0" xfId="0" quotePrefix="1" applyFont="1"/>
    <xf numFmtId="0" fontId="15" fillId="0" borderId="0" xfId="0" applyFont="1" applyAlignment="1">
      <alignment horizontal="left" vertical="center"/>
    </xf>
    <xf numFmtId="172" fontId="20" fillId="0" borderId="0" xfId="10" applyNumberFormat="1" applyFont="1"/>
    <xf numFmtId="174" fontId="20" fillId="0" borderId="0" xfId="10" applyNumberFormat="1" applyFont="1"/>
    <xf numFmtId="174" fontId="21" fillId="0" borderId="0" xfId="10" applyNumberFormat="1" applyFont="1"/>
    <xf numFmtId="172" fontId="19" fillId="7" borderId="0" xfId="10" applyNumberFormat="1" applyFont="1" applyFill="1" applyAlignment="1">
      <alignment horizontal="center"/>
    </xf>
    <xf numFmtId="172" fontId="19" fillId="3" borderId="0" xfId="10" applyNumberFormat="1" applyFont="1" applyFill="1" applyAlignment="1">
      <alignment horizontal="center"/>
    </xf>
    <xf numFmtId="172" fontId="19" fillId="7" borderId="0" xfId="10" applyNumberFormat="1" applyFont="1" applyFill="1"/>
    <xf numFmtId="172" fontId="19" fillId="3" borderId="0" xfId="10" applyNumberFormat="1" applyFont="1" applyFill="1"/>
    <xf numFmtId="0" fontId="8" fillId="10" borderId="0" xfId="2" applyFill="1"/>
    <xf numFmtId="44" fontId="16" fillId="0" borderId="0" xfId="13" applyFont="1"/>
    <xf numFmtId="9" fontId="16" fillId="10" borderId="0" xfId="5" applyFont="1" applyFill="1" applyAlignment="1"/>
    <xf numFmtId="10" fontId="16" fillId="10" borderId="0" xfId="5" applyNumberFormat="1" applyFont="1" applyFill="1" applyAlignment="1"/>
    <xf numFmtId="44" fontId="16" fillId="0" borderId="0" xfId="0" applyNumberFormat="1" applyFont="1"/>
    <xf numFmtId="0" fontId="15" fillId="0" borderId="0" xfId="0" applyFont="1" applyAlignment="1">
      <alignment vertical="center"/>
    </xf>
    <xf numFmtId="0" fontId="15" fillId="0" borderId="10" xfId="0" applyFont="1" applyBorder="1"/>
    <xf numFmtId="168" fontId="16" fillId="0" borderId="10" xfId="5" applyNumberFormat="1" applyFont="1" applyFill="1" applyBorder="1" applyAlignment="1"/>
    <xf numFmtId="44" fontId="16" fillId="0" borderId="10" xfId="13" applyFont="1" applyBorder="1"/>
    <xf numFmtId="168" fontId="16" fillId="12" borderId="10" xfId="0" applyNumberFormat="1" applyFont="1" applyFill="1" applyBorder="1"/>
    <xf numFmtId="168" fontId="16" fillId="0" borderId="10" xfId="0" applyNumberFormat="1" applyFont="1" applyBorder="1"/>
    <xf numFmtId="44" fontId="15" fillId="0" borderId="11" xfId="13" applyFont="1" applyBorder="1"/>
    <xf numFmtId="44" fontId="15" fillId="0" borderId="12" xfId="13" applyFont="1" applyBorder="1"/>
    <xf numFmtId="0" fontId="16" fillId="0" borderId="10" xfId="0" applyFont="1" applyBorder="1"/>
    <xf numFmtId="0" fontId="15" fillId="13" borderId="10" xfId="0" applyFont="1" applyFill="1" applyBorder="1"/>
    <xf numFmtId="0" fontId="16" fillId="11" borderId="10" xfId="0" applyFont="1" applyFill="1" applyBorder="1"/>
    <xf numFmtId="0" fontId="16" fillId="12" borderId="10" xfId="0" applyFont="1" applyFill="1" applyBorder="1"/>
    <xf numFmtId="10" fontId="8" fillId="10" borderId="0" xfId="2" applyNumberFormat="1" applyFill="1"/>
    <xf numFmtId="10" fontId="0" fillId="10" borderId="0" xfId="11" applyNumberFormat="1" applyFont="1" applyFill="1"/>
    <xf numFmtId="44" fontId="16" fillId="10" borderId="0" xfId="13" applyFont="1" applyFill="1"/>
    <xf numFmtId="9" fontId="16" fillId="10" borderId="0" xfId="0" applyNumberFormat="1" applyFont="1" applyFill="1"/>
    <xf numFmtId="170" fontId="18" fillId="10" borderId="0" xfId="0" applyNumberFormat="1" applyFont="1" applyFill="1"/>
    <xf numFmtId="44" fontId="16" fillId="13" borderId="0" xfId="13" applyFont="1" applyFill="1"/>
    <xf numFmtId="44" fontId="16" fillId="7" borderId="0" xfId="13" applyFont="1" applyFill="1"/>
    <xf numFmtId="44" fontId="16" fillId="0" borderId="0" xfId="13" applyFont="1" applyFill="1"/>
    <xf numFmtId="44" fontId="15" fillId="10" borderId="0" xfId="13" applyFont="1" applyFill="1"/>
    <xf numFmtId="0" fontId="19" fillId="0" borderId="0" xfId="14" applyFont="1"/>
    <xf numFmtId="0" fontId="20" fillId="0" borderId="0" xfId="14" applyFont="1"/>
    <xf numFmtId="173" fontId="24" fillId="10" borderId="0" xfId="14" applyNumberFormat="1" applyFont="1" applyFill="1"/>
    <xf numFmtId="173" fontId="20" fillId="0" borderId="0" xfId="14" applyNumberFormat="1" applyFont="1"/>
    <xf numFmtId="0" fontId="24" fillId="10" borderId="0" xfId="14" applyFont="1" applyFill="1"/>
    <xf numFmtId="0" fontId="19" fillId="0" borderId="0" xfId="14" applyFont="1" applyAlignment="1">
      <alignment horizontal="center"/>
    </xf>
    <xf numFmtId="10" fontId="24" fillId="10" borderId="0" xfId="11" applyNumberFormat="1" applyFont="1" applyFill="1"/>
    <xf numFmtId="166" fontId="20" fillId="0" borderId="0" xfId="14" applyNumberFormat="1" applyFont="1"/>
    <xf numFmtId="164" fontId="20" fillId="0" borderId="0" xfId="14" applyNumberFormat="1" applyFont="1"/>
    <xf numFmtId="0" fontId="24" fillId="0" borderId="0" xfId="14" applyFont="1"/>
    <xf numFmtId="0" fontId="19" fillId="0" borderId="0" xfId="2" applyFont="1"/>
    <xf numFmtId="172" fontId="24" fillId="2" borderId="0" xfId="10" applyNumberFormat="1" applyFont="1" applyFill="1"/>
    <xf numFmtId="0" fontId="24" fillId="2" borderId="0" xfId="14" applyFont="1" applyFill="1" applyAlignment="1">
      <alignment horizontal="center"/>
    </xf>
    <xf numFmtId="174" fontId="24" fillId="2" borderId="0" xfId="10" applyNumberFormat="1" applyFont="1" applyFill="1"/>
    <xf numFmtId="0" fontId="24" fillId="2" borderId="0" xfId="14" applyFont="1" applyFill="1"/>
    <xf numFmtId="172" fontId="24" fillId="2" borderId="0" xfId="10" applyNumberFormat="1" applyFont="1" applyFill="1" applyAlignment="1">
      <alignment horizontal="center"/>
    </xf>
    <xf numFmtId="43" fontId="24" fillId="2" borderId="0" xfId="10" applyFont="1" applyFill="1"/>
    <xf numFmtId="43" fontId="20" fillId="0" borderId="0" xfId="10" applyFont="1"/>
    <xf numFmtId="0" fontId="22" fillId="3" borderId="0" xfId="14" applyFont="1" applyFill="1" applyAlignment="1">
      <alignment horizontal="center"/>
    </xf>
    <xf numFmtId="0" fontId="19" fillId="7" borderId="0" xfId="14" applyFont="1" applyFill="1" applyAlignment="1">
      <alignment horizontal="center"/>
    </xf>
    <xf numFmtId="0" fontId="19" fillId="9" borderId="0" xfId="14" applyFont="1" applyFill="1" applyAlignment="1">
      <alignment horizontal="center"/>
    </xf>
    <xf numFmtId="0" fontId="19" fillId="14" borderId="0" xfId="14" applyFont="1" applyFill="1" applyAlignment="1">
      <alignment horizontal="center"/>
    </xf>
    <xf numFmtId="0" fontId="19" fillId="3" borderId="0" xfId="14" applyFont="1" applyFill="1" applyAlignment="1">
      <alignment horizontal="center"/>
    </xf>
    <xf numFmtId="0" fontId="19" fillId="7" borderId="0" xfId="14" applyFont="1" applyFill="1"/>
    <xf numFmtId="0" fontId="25" fillId="7" borderId="0" xfId="14" applyFont="1" applyFill="1" applyAlignment="1">
      <alignment horizontal="center"/>
    </xf>
    <xf numFmtId="172" fontId="19" fillId="0" borderId="0" xfId="10" applyNumberFormat="1" applyFont="1" applyFill="1"/>
    <xf numFmtId="0" fontId="19" fillId="3" borderId="0" xfId="14" applyFont="1" applyFill="1"/>
    <xf numFmtId="172" fontId="19" fillId="0" borderId="0" xfId="10" applyNumberFormat="1" applyFont="1" applyFill="1" applyAlignment="1">
      <alignment horizontal="center"/>
    </xf>
    <xf numFmtId="172" fontId="20" fillId="15" borderId="0" xfId="10" applyNumberFormat="1" applyFont="1" applyFill="1"/>
    <xf numFmtId="165" fontId="20" fillId="0" borderId="0" xfId="14" applyNumberFormat="1" applyFont="1"/>
    <xf numFmtId="173" fontId="24" fillId="0" borderId="0" xfId="14" applyNumberFormat="1" applyFont="1"/>
    <xf numFmtId="0" fontId="26" fillId="7" borderId="0" xfId="14" applyFont="1" applyFill="1" applyAlignment="1">
      <alignment horizontal="center"/>
    </xf>
    <xf numFmtId="173" fontId="21" fillId="0" borderId="0" xfId="14" applyNumberFormat="1" applyFont="1"/>
    <xf numFmtId="0" fontId="18" fillId="0" borderId="0" xfId="0" applyFont="1" applyAlignment="1">
      <alignment horizontal="center"/>
    </xf>
    <xf numFmtId="0" fontId="16" fillId="2" borderId="10" xfId="0" applyFont="1" applyFill="1" applyBorder="1"/>
    <xf numFmtId="10" fontId="16" fillId="0" borderId="10" xfId="5" applyNumberFormat="1" applyFont="1" applyBorder="1" applyAlignment="1"/>
    <xf numFmtId="2" fontId="16" fillId="0" borderId="10" xfId="0" applyNumberFormat="1" applyFont="1" applyBorder="1"/>
    <xf numFmtId="44" fontId="16" fillId="2" borderId="10" xfId="13" applyFont="1" applyFill="1" applyBorder="1"/>
    <xf numFmtId="168" fontId="16" fillId="0" borderId="12" xfId="0" applyNumberFormat="1" applyFont="1" applyBorder="1"/>
    <xf numFmtId="168" fontId="16" fillId="12" borderId="12" xfId="0" applyNumberFormat="1" applyFont="1" applyFill="1" applyBorder="1"/>
    <xf numFmtId="169" fontId="16" fillId="0" borderId="10" xfId="0" applyNumberFormat="1" applyFont="1" applyBorder="1"/>
    <xf numFmtId="1" fontId="16" fillId="0" borderId="10" xfId="0" applyNumberFormat="1" applyFont="1" applyBorder="1"/>
    <xf numFmtId="0" fontId="19" fillId="2" borderId="0" xfId="14" applyFont="1" applyFill="1"/>
    <xf numFmtId="0" fontId="20" fillId="2" borderId="0" xfId="14" applyFont="1" applyFill="1"/>
    <xf numFmtId="173" fontId="20" fillId="2" borderId="0" xfId="14" applyNumberFormat="1" applyFont="1" applyFill="1"/>
    <xf numFmtId="165" fontId="20" fillId="2" borderId="0" xfId="14" applyNumberFormat="1" applyFont="1" applyFill="1"/>
    <xf numFmtId="173" fontId="24" fillId="2" borderId="0" xfId="14" applyNumberFormat="1" applyFont="1" applyFill="1"/>
    <xf numFmtId="172" fontId="20" fillId="2" borderId="0" xfId="10" applyNumberFormat="1" applyFont="1" applyFill="1"/>
    <xf numFmtId="174" fontId="20" fillId="2" borderId="0" xfId="10" applyNumberFormat="1" applyFont="1" applyFill="1"/>
    <xf numFmtId="173" fontId="21" fillId="2" borderId="0" xfId="14" applyNumberFormat="1" applyFont="1" applyFill="1"/>
    <xf numFmtId="2" fontId="18" fillId="12" borderId="0" xfId="0" applyNumberFormat="1" applyFont="1" applyFill="1" applyAlignment="1">
      <alignment horizontal="center" vertical="center"/>
    </xf>
    <xf numFmtId="0" fontId="15" fillId="2" borderId="0" xfId="0" applyFont="1" applyFill="1"/>
    <xf numFmtId="10" fontId="16" fillId="2" borderId="0" xfId="5" applyNumberFormat="1" applyFont="1" applyFill="1" applyAlignment="1"/>
    <xf numFmtId="175" fontId="8" fillId="10" borderId="0" xfId="12" applyNumberFormat="1" applyFont="1" applyFill="1"/>
    <xf numFmtId="10" fontId="8" fillId="10" borderId="0" xfId="15" applyNumberFormat="1" applyFont="1" applyFill="1" applyAlignment="1"/>
    <xf numFmtId="166" fontId="8" fillId="0" borderId="0" xfId="2" applyNumberFormat="1"/>
    <xf numFmtId="175" fontId="8" fillId="0" borderId="0" xfId="12" applyNumberFormat="1" applyFont="1"/>
    <xf numFmtId="10" fontId="16" fillId="16" borderId="0" xfId="5" applyNumberFormat="1" applyFont="1" applyFill="1" applyAlignment="1"/>
    <xf numFmtId="0" fontId="16" fillId="17" borderId="0" xfId="0" applyFont="1" applyFill="1"/>
    <xf numFmtId="10" fontId="8" fillId="0" borderId="0" xfId="2" applyNumberFormat="1"/>
    <xf numFmtId="10" fontId="8" fillId="0" borderId="0" xfId="5" applyNumberFormat="1" applyFont="1" applyAlignment="1"/>
    <xf numFmtId="0" fontId="6" fillId="3" borderId="0" xfId="2" applyFont="1" applyFill="1" applyAlignment="1">
      <alignment horizontal="center"/>
    </xf>
    <xf numFmtId="2" fontId="6" fillId="7" borderId="0" xfId="2" applyNumberFormat="1" applyFont="1" applyFill="1" applyAlignment="1">
      <alignment horizontal="center"/>
    </xf>
    <xf numFmtId="0" fontId="15" fillId="0" borderId="0" xfId="0" applyFont="1" applyAlignment="1">
      <alignment horizontal="left" vertical="center"/>
    </xf>
    <xf numFmtId="0" fontId="15" fillId="0" borderId="10" xfId="0" applyFont="1" applyBorder="1" applyAlignment="1">
      <alignment horizontal="center"/>
    </xf>
    <xf numFmtId="0" fontId="15" fillId="0" borderId="0" xfId="0" applyFont="1" applyAlignment="1">
      <alignment horizontal="center"/>
    </xf>
    <xf numFmtId="0" fontId="15" fillId="13" borderId="10" xfId="0" applyFont="1" applyFill="1" applyBorder="1" applyAlignment="1">
      <alignment horizontal="center"/>
    </xf>
    <xf numFmtId="168" fontId="15" fillId="0" borderId="10" xfId="0" applyNumberFormat="1" applyFont="1" applyBorder="1" applyAlignment="1">
      <alignment horizontal="center"/>
    </xf>
    <xf numFmtId="0" fontId="16" fillId="0" borderId="0" xfId="0" applyFont="1" applyAlignment="1">
      <alignment horizontal="left" vertical="center"/>
    </xf>
    <xf numFmtId="0" fontId="16" fillId="0" borderId="0" xfId="0" applyFont="1" applyAlignment="1">
      <alignment horizontal="center"/>
    </xf>
    <xf numFmtId="0" fontId="15" fillId="0" borderId="13" xfId="0" applyFont="1" applyBorder="1" applyAlignment="1">
      <alignment horizontal="center"/>
    </xf>
    <xf numFmtId="0" fontId="15" fillId="0" borderId="9" xfId="0" applyFont="1" applyBorder="1" applyAlignment="1">
      <alignment horizontal="center"/>
    </xf>
    <xf numFmtId="0" fontId="15" fillId="0" borderId="14" xfId="0" applyFont="1" applyBorder="1" applyAlignment="1">
      <alignment horizontal="center"/>
    </xf>
    <xf numFmtId="0" fontId="15" fillId="0" borderId="0" xfId="0" applyFont="1" applyAlignment="1">
      <alignment horizontal="center" vertical="center"/>
    </xf>
    <xf numFmtId="0" fontId="19" fillId="7" borderId="0" xfId="14" applyFont="1" applyFill="1" applyAlignment="1">
      <alignment horizontal="center"/>
    </xf>
    <xf numFmtId="0" fontId="22" fillId="3" borderId="0" xfId="14" applyFont="1" applyFill="1" applyAlignment="1">
      <alignment horizontal="center"/>
    </xf>
    <xf numFmtId="0" fontId="19" fillId="9" borderId="0" xfId="14" applyFont="1" applyFill="1" applyAlignment="1">
      <alignment horizontal="center"/>
    </xf>
    <xf numFmtId="0" fontId="19" fillId="14" borderId="0" xfId="14" applyFont="1" applyFill="1" applyAlignment="1">
      <alignment horizontal="center"/>
    </xf>
    <xf numFmtId="0" fontId="19" fillId="3" borderId="0" xfId="14" applyFont="1" applyFill="1" applyAlignment="1">
      <alignment horizontal="center"/>
    </xf>
    <xf numFmtId="0" fontId="8" fillId="0" borderId="0" xfId="2" applyAlignment="1">
      <alignment horizontal="center"/>
    </xf>
    <xf numFmtId="0" fontId="17" fillId="7" borderId="0" xfId="4" applyFont="1" applyFill="1" applyAlignment="1">
      <alignment horizontal="center" vertical="center"/>
    </xf>
    <xf numFmtId="0" fontId="17" fillId="3" borderId="0" xfId="4" applyFont="1" applyFill="1" applyAlignment="1">
      <alignment horizontal="center" vertical="center"/>
    </xf>
    <xf numFmtId="0" fontId="16" fillId="0" borderId="0" xfId="0" applyFont="1" applyAlignment="1">
      <alignment horizontal="center" vertical="center"/>
    </xf>
    <xf numFmtId="0" fontId="16" fillId="10" borderId="0" xfId="0" applyFont="1" applyFill="1" applyAlignment="1">
      <alignment horizontal="center"/>
    </xf>
    <xf numFmtId="0" fontId="15" fillId="0" borderId="0" xfId="0" applyFont="1" applyAlignment="1">
      <alignment horizontal="left"/>
    </xf>
  </cellXfs>
  <cellStyles count="16">
    <cellStyle name="Comma 2" xfId="10" xr:uid="{4B695FC7-B300-4E65-8CB3-163993F820E7}"/>
    <cellStyle name="Currency" xfId="13" builtinId="4"/>
    <cellStyle name="Currency 2" xfId="12" xr:uid="{38271791-FB83-4C5B-8A68-A95B4EB9754C}"/>
    <cellStyle name="Normal" xfId="0" builtinId="0"/>
    <cellStyle name="Normal 2" xfId="1" xr:uid="{00000000-0005-0000-0000-000001000000}"/>
    <cellStyle name="Normal 3" xfId="2" xr:uid="{00000000-0005-0000-0000-000002000000}"/>
    <cellStyle name="Normal 3 2" xfId="3" xr:uid="{00000000-0005-0000-0000-000003000000}"/>
    <cellStyle name="Normal 4" xfId="6" xr:uid="{C8C434B7-08A5-4918-B8A0-C9BC61F2F85A}"/>
    <cellStyle name="Normal 4 2" xfId="9" xr:uid="{FA42AC42-DEF1-4400-89BD-62DB22D05139}"/>
    <cellStyle name="Normal 4 3" xfId="14" xr:uid="{DD40B718-4422-45E2-9F81-479203943D56}"/>
    <cellStyle name="Normal 5" xfId="4" xr:uid="{0B376528-1DA7-48C9-A087-17761E079C00}"/>
    <cellStyle name="Percent" xfId="5" builtinId="5"/>
    <cellStyle name="Percent 2" xfId="7" xr:uid="{EF49AC62-15D8-453A-828D-637FCCBCE271}"/>
    <cellStyle name="Percent 3" xfId="11" xr:uid="{F56194A5-2A87-4F08-8E0E-316B7F5A336D}"/>
    <cellStyle name="Percent 4" xfId="15" xr:uid="{AE355F91-ECF3-4DBC-8893-525A853CA7A7}"/>
    <cellStyle name="常规 3" xfId="8" xr:uid="{29CC7D4E-E617-433F-A438-DA562081BCBA}"/>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136351706036735"/>
          <c:y val="5.1400554097404488E-2"/>
          <c:w val="0.8335253718285216"/>
          <c:h val="0.79822506561679785"/>
        </c:manualLayout>
      </c:layout>
      <c:scatterChart>
        <c:scatterStyle val="smoothMarker"/>
        <c:varyColors val="0"/>
        <c:ser>
          <c:idx val="0"/>
          <c:order val="0"/>
          <c:tx>
            <c:v>Partial info</c:v>
          </c:tx>
          <c:marker>
            <c:symbol val="none"/>
          </c:marker>
          <c:xVal>
            <c:numRef>
              <c:f>'Ex2'!$D$19:$D$28</c:f>
              <c:numCache>
                <c:formatCode>General</c:formatCode>
                <c:ptCount val="10"/>
                <c:pt idx="0">
                  <c:v>0.5</c:v>
                </c:pt>
                <c:pt idx="1">
                  <c:v>1</c:v>
                </c:pt>
                <c:pt idx="2">
                  <c:v>1.5</c:v>
                </c:pt>
                <c:pt idx="3">
                  <c:v>2</c:v>
                </c:pt>
                <c:pt idx="4">
                  <c:v>2.5</c:v>
                </c:pt>
                <c:pt idx="5">
                  <c:v>3</c:v>
                </c:pt>
                <c:pt idx="6">
                  <c:v>3.5</c:v>
                </c:pt>
                <c:pt idx="7">
                  <c:v>4</c:v>
                </c:pt>
                <c:pt idx="8">
                  <c:v>4.5</c:v>
                </c:pt>
                <c:pt idx="9">
                  <c:v>5</c:v>
                </c:pt>
              </c:numCache>
            </c:numRef>
          </c:xVal>
          <c:yVal>
            <c:numRef>
              <c:f>'Ex2'!$G$19:$G$28</c:f>
              <c:numCache>
                <c:formatCode>0.0000%</c:formatCode>
                <c:ptCount val="10"/>
                <c:pt idx="0">
                  <c:v>5.2500000000000213E-2</c:v>
                </c:pt>
                <c:pt idx="1">
                  <c:v>5.5034417734308949E-2</c:v>
                </c:pt>
                <c:pt idx="2">
                  <c:v>5.7612596807941938E-2</c:v>
                </c:pt>
                <c:pt idx="3">
                  <c:v>6.0190775881574926E-2</c:v>
                </c:pt>
                <c:pt idx="4">
                  <c:v>6.2842024085413464E-2</c:v>
                </c:pt>
                <c:pt idx="5">
                  <c:v>6.5493272289252003E-2</c:v>
                </c:pt>
                <c:pt idx="6">
                  <c:v>6.7141732198797835E-2</c:v>
                </c:pt>
                <c:pt idx="7">
                  <c:v>6.8790192108343667E-2</c:v>
                </c:pt>
                <c:pt idx="8">
                  <c:v>7.0438652017889486E-2</c:v>
                </c:pt>
                <c:pt idx="9">
                  <c:v>7.2087111927435318E-2</c:v>
                </c:pt>
              </c:numCache>
            </c:numRef>
          </c:yVal>
          <c:smooth val="1"/>
          <c:extLst>
            <c:ext xmlns:c16="http://schemas.microsoft.com/office/drawing/2014/chart" uri="{C3380CC4-5D6E-409C-BE32-E72D297353CC}">
              <c16:uniqueId val="{00000000-3D02-4BC5-922B-306F2C100A5C}"/>
            </c:ext>
          </c:extLst>
        </c:ser>
        <c:ser>
          <c:idx val="1"/>
          <c:order val="1"/>
          <c:tx>
            <c:v>Full info</c:v>
          </c:tx>
          <c:marker>
            <c:symbol val="none"/>
          </c:marker>
          <c:xVal>
            <c:numRef>
              <c:f>'Ex2'!$D$6:$D$15</c:f>
              <c:numCache>
                <c:formatCode>General</c:formatCode>
                <c:ptCount val="10"/>
                <c:pt idx="0">
                  <c:v>0.5</c:v>
                </c:pt>
                <c:pt idx="1">
                  <c:v>1</c:v>
                </c:pt>
                <c:pt idx="2">
                  <c:v>1.5</c:v>
                </c:pt>
                <c:pt idx="3">
                  <c:v>2</c:v>
                </c:pt>
                <c:pt idx="4">
                  <c:v>2.5</c:v>
                </c:pt>
                <c:pt idx="5">
                  <c:v>3</c:v>
                </c:pt>
                <c:pt idx="6">
                  <c:v>3.5</c:v>
                </c:pt>
                <c:pt idx="7">
                  <c:v>4</c:v>
                </c:pt>
                <c:pt idx="8">
                  <c:v>4.5</c:v>
                </c:pt>
                <c:pt idx="9">
                  <c:v>5</c:v>
                </c:pt>
              </c:numCache>
            </c:numRef>
          </c:xVal>
          <c:yVal>
            <c:numRef>
              <c:f>'Ex2'!$G$6:$G$15</c:f>
              <c:numCache>
                <c:formatCode>0.0000%</c:formatCode>
                <c:ptCount val="10"/>
                <c:pt idx="0">
                  <c:v>5.2500000000000213E-2</c:v>
                </c:pt>
                <c:pt idx="1">
                  <c:v>5.5034417734308949E-2</c:v>
                </c:pt>
                <c:pt idx="2">
                  <c:v>5.7596765529686511E-2</c:v>
                </c:pt>
                <c:pt idx="3">
                  <c:v>6.0191133728880075E-2</c:v>
                </c:pt>
                <c:pt idx="4">
                  <c:v>6.2821958686090085E-2</c:v>
                </c:pt>
                <c:pt idx="5">
                  <c:v>6.5494086944738239E-2</c:v>
                </c:pt>
                <c:pt idx="6">
                  <c:v>6.821285076018091E-2</c:v>
                </c:pt>
                <c:pt idx="7">
                  <c:v>6.9836544503029785E-2</c:v>
                </c:pt>
                <c:pt idx="8">
                  <c:v>7.0910577807171471E-2</c:v>
                </c:pt>
                <c:pt idx="9">
                  <c:v>7.2012291872333378E-2</c:v>
                </c:pt>
              </c:numCache>
            </c:numRef>
          </c:yVal>
          <c:smooth val="1"/>
          <c:extLst>
            <c:ext xmlns:c16="http://schemas.microsoft.com/office/drawing/2014/chart" uri="{C3380CC4-5D6E-409C-BE32-E72D297353CC}">
              <c16:uniqueId val="{00000001-3D02-4BC5-922B-306F2C100A5C}"/>
            </c:ext>
          </c:extLst>
        </c:ser>
        <c:dLbls>
          <c:showLegendKey val="0"/>
          <c:showVal val="0"/>
          <c:showCatName val="0"/>
          <c:showSerName val="0"/>
          <c:showPercent val="0"/>
          <c:showBubbleSize val="0"/>
        </c:dLbls>
        <c:axId val="183005952"/>
        <c:axId val="183007488"/>
      </c:scatterChart>
      <c:valAx>
        <c:axId val="183005952"/>
        <c:scaling>
          <c:orientation val="minMax"/>
          <c:max val="5"/>
        </c:scaling>
        <c:delete val="0"/>
        <c:axPos val="b"/>
        <c:numFmt formatCode="General" sourceLinked="1"/>
        <c:majorTickMark val="out"/>
        <c:minorTickMark val="none"/>
        <c:tickLblPos val="nextTo"/>
        <c:crossAx val="183007488"/>
        <c:crosses val="autoZero"/>
        <c:crossBetween val="midCat"/>
      </c:valAx>
      <c:valAx>
        <c:axId val="183007488"/>
        <c:scaling>
          <c:orientation val="minMax"/>
          <c:max val="7.5000000000000011E-2"/>
          <c:min val="0.05"/>
        </c:scaling>
        <c:delete val="0"/>
        <c:axPos val="l"/>
        <c:majorGridlines/>
        <c:numFmt formatCode="0.0%" sourceLinked="0"/>
        <c:majorTickMark val="out"/>
        <c:minorTickMark val="none"/>
        <c:tickLblPos val="nextTo"/>
        <c:crossAx val="183005952"/>
        <c:crosses val="autoZero"/>
        <c:crossBetween val="midCat"/>
      </c:valAx>
    </c:plotArea>
    <c:legend>
      <c:legendPos val="r"/>
      <c:layout>
        <c:manualLayout>
          <c:xMode val="edge"/>
          <c:yMode val="edge"/>
          <c:x val="0.14940527320448579"/>
          <c:y val="6.2548198188318388E-2"/>
          <c:w val="0.18763898830827971"/>
          <c:h val="0.12055275590551236"/>
        </c:manualLayout>
      </c:layout>
      <c:overlay val="0"/>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'Ex4'!$G$9:$G$21</c:f>
              <c:numCache>
                <c:formatCode>0.0000</c:formatCode>
                <c:ptCount val="13"/>
                <c:pt idx="0">
                  <c:v>0.24931506849315069</c:v>
                </c:pt>
                <c:pt idx="1">
                  <c:v>0.49863013698630138</c:v>
                </c:pt>
                <c:pt idx="2">
                  <c:v>1.3186813186813187</c:v>
                </c:pt>
                <c:pt idx="3">
                  <c:v>2.3186813186813189</c:v>
                </c:pt>
                <c:pt idx="4">
                  <c:v>3.3186813186813189</c:v>
                </c:pt>
                <c:pt idx="5">
                  <c:v>5.3186813186813184</c:v>
                </c:pt>
                <c:pt idx="6">
                  <c:v>7.3186813186813184</c:v>
                </c:pt>
                <c:pt idx="7">
                  <c:v>10.318681318681319</c:v>
                </c:pt>
                <c:pt idx="8">
                  <c:v>15.318681318681319</c:v>
                </c:pt>
                <c:pt idx="9">
                  <c:v>19.318681318681318</c:v>
                </c:pt>
                <c:pt idx="10">
                  <c:v>23.318681318681318</c:v>
                </c:pt>
                <c:pt idx="11">
                  <c:v>27.318681318681318</c:v>
                </c:pt>
                <c:pt idx="12">
                  <c:v>31.318681318681318</c:v>
                </c:pt>
              </c:numCache>
            </c:numRef>
          </c:xVal>
          <c:yVal>
            <c:numRef>
              <c:f>'Ex4'!$K$9:$K$21</c:f>
              <c:numCache>
                <c:formatCode>0.0000</c:formatCode>
                <c:ptCount val="13"/>
                <c:pt idx="0">
                  <c:v>1.5002820207405954E-3</c:v>
                </c:pt>
                <c:pt idx="1">
                  <c:v>2.3000036219071873E-3</c:v>
                </c:pt>
                <c:pt idx="2">
                  <c:v>8.2272035712298471E-3</c:v>
                </c:pt>
                <c:pt idx="3">
                  <c:v>1.4334968368852466E-2</c:v>
                </c:pt>
                <c:pt idx="4">
                  <c:v>1.9750663158380807E-2</c:v>
                </c:pt>
                <c:pt idx="5">
                  <c:v>2.6073142931933434E-2</c:v>
                </c:pt>
                <c:pt idx="6">
                  <c:v>3.103303918882263E-2</c:v>
                </c:pt>
                <c:pt idx="7">
                  <c:v>3.6548664382743734E-2</c:v>
                </c:pt>
                <c:pt idx="8">
                  <c:v>4.3783174005260272E-2</c:v>
                </c:pt>
                <c:pt idx="9">
                  <c:v>4.2932520443761869E-2</c:v>
                </c:pt>
                <c:pt idx="10">
                  <c:v>4.2957362470663653E-2</c:v>
                </c:pt>
                <c:pt idx="11">
                  <c:v>4.1046523202330945E-2</c:v>
                </c:pt>
                <c:pt idx="12">
                  <c:v>4.0481139065995111E-2</c:v>
                </c:pt>
              </c:numCache>
            </c:numRef>
          </c:yVal>
          <c:smooth val="0"/>
          <c:extLst>
            <c:ext xmlns:c16="http://schemas.microsoft.com/office/drawing/2014/chart" uri="{C3380CC4-5D6E-409C-BE32-E72D297353CC}">
              <c16:uniqueId val="{00000000-A8FE-4E1E-9BEB-AF581B0FF562}"/>
            </c:ext>
          </c:extLst>
        </c:ser>
        <c:dLbls>
          <c:showLegendKey val="0"/>
          <c:showVal val="0"/>
          <c:showCatName val="0"/>
          <c:showSerName val="0"/>
          <c:showPercent val="0"/>
          <c:showBubbleSize val="0"/>
        </c:dLbls>
        <c:axId val="183530624"/>
        <c:axId val="183532160"/>
      </c:scatterChart>
      <c:valAx>
        <c:axId val="183530624"/>
        <c:scaling>
          <c:orientation val="minMax"/>
        </c:scaling>
        <c:delete val="0"/>
        <c:axPos val="b"/>
        <c:numFmt formatCode="0" sourceLinked="0"/>
        <c:majorTickMark val="out"/>
        <c:minorTickMark val="none"/>
        <c:tickLblPos val="nextTo"/>
        <c:crossAx val="183532160"/>
        <c:crosses val="autoZero"/>
        <c:crossBetween val="midCat"/>
      </c:valAx>
      <c:valAx>
        <c:axId val="183532160"/>
        <c:scaling>
          <c:orientation val="minMax"/>
        </c:scaling>
        <c:delete val="0"/>
        <c:axPos val="l"/>
        <c:majorGridlines/>
        <c:numFmt formatCode="0.000" sourceLinked="0"/>
        <c:majorTickMark val="out"/>
        <c:minorTickMark val="none"/>
        <c:tickLblPos val="nextTo"/>
        <c:crossAx val="183530624"/>
        <c:crosses val="autoZero"/>
        <c:crossBetween val="midCat"/>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Spot rates</a:t>
            </a:r>
          </a:p>
        </c:rich>
      </c:tx>
      <c:overlay val="0"/>
    </c:title>
    <c:autoTitleDeleted val="0"/>
    <c:plotArea>
      <c:layout>
        <c:manualLayout>
          <c:layoutTarget val="inner"/>
          <c:xMode val="edge"/>
          <c:yMode val="edge"/>
          <c:x val="0.11966885389326334"/>
          <c:y val="0.10525082789530145"/>
          <c:w val="0.80781036745406831"/>
          <c:h val="0.74437476413994297"/>
        </c:manualLayout>
      </c:layout>
      <c:scatterChart>
        <c:scatterStyle val="lineMarker"/>
        <c:varyColors val="0"/>
        <c:ser>
          <c:idx val="0"/>
          <c:order val="0"/>
          <c:tx>
            <c:v>Cubic splines</c:v>
          </c:tx>
          <c:spPr>
            <a:ln w="22225">
              <a:solidFill>
                <a:schemeClr val="tx1"/>
              </a:solidFill>
            </a:ln>
          </c:spPr>
          <c:marker>
            <c:symbol val="none"/>
          </c:marker>
          <c:xVal>
            <c:numRef>
              <c:f>'Ex5'!$K$9:$K$128</c:f>
              <c:numCache>
                <c:formatCode>General</c:formatCode>
                <c:ptCount val="120"/>
                <c:pt idx="0">
                  <c:v>0.25</c:v>
                </c:pt>
                <c:pt idx="1">
                  <c:v>0.5</c:v>
                </c:pt>
                <c:pt idx="2">
                  <c:v>0.75</c:v>
                </c:pt>
                <c:pt idx="3">
                  <c:v>1</c:v>
                </c:pt>
                <c:pt idx="4">
                  <c:v>1.25</c:v>
                </c:pt>
                <c:pt idx="5">
                  <c:v>1.5</c:v>
                </c:pt>
                <c:pt idx="6">
                  <c:v>1.75</c:v>
                </c:pt>
                <c:pt idx="7">
                  <c:v>2</c:v>
                </c:pt>
                <c:pt idx="8">
                  <c:v>2.25</c:v>
                </c:pt>
                <c:pt idx="9">
                  <c:v>2.5</c:v>
                </c:pt>
                <c:pt idx="10">
                  <c:v>2.75</c:v>
                </c:pt>
                <c:pt idx="11">
                  <c:v>3</c:v>
                </c:pt>
                <c:pt idx="12">
                  <c:v>3.25</c:v>
                </c:pt>
                <c:pt idx="13">
                  <c:v>3.5</c:v>
                </c:pt>
                <c:pt idx="14">
                  <c:v>3.75</c:v>
                </c:pt>
                <c:pt idx="15">
                  <c:v>4</c:v>
                </c:pt>
                <c:pt idx="16">
                  <c:v>4.25</c:v>
                </c:pt>
                <c:pt idx="17">
                  <c:v>4.5</c:v>
                </c:pt>
                <c:pt idx="18">
                  <c:v>4.75</c:v>
                </c:pt>
                <c:pt idx="19">
                  <c:v>5</c:v>
                </c:pt>
                <c:pt idx="20">
                  <c:v>5.25</c:v>
                </c:pt>
                <c:pt idx="21">
                  <c:v>5.5</c:v>
                </c:pt>
                <c:pt idx="22">
                  <c:v>5.75</c:v>
                </c:pt>
                <c:pt idx="23">
                  <c:v>6</c:v>
                </c:pt>
                <c:pt idx="24">
                  <c:v>6.25</c:v>
                </c:pt>
                <c:pt idx="25">
                  <c:v>6.5</c:v>
                </c:pt>
                <c:pt idx="26">
                  <c:v>6.75</c:v>
                </c:pt>
                <c:pt idx="27">
                  <c:v>7</c:v>
                </c:pt>
                <c:pt idx="28">
                  <c:v>7.25</c:v>
                </c:pt>
                <c:pt idx="29">
                  <c:v>7.5</c:v>
                </c:pt>
                <c:pt idx="30">
                  <c:v>7.75</c:v>
                </c:pt>
                <c:pt idx="31">
                  <c:v>8</c:v>
                </c:pt>
                <c:pt idx="32">
                  <c:v>8.25</c:v>
                </c:pt>
                <c:pt idx="33">
                  <c:v>8.5</c:v>
                </c:pt>
                <c:pt idx="34">
                  <c:v>8.75</c:v>
                </c:pt>
                <c:pt idx="35">
                  <c:v>9</c:v>
                </c:pt>
                <c:pt idx="36">
                  <c:v>9.25</c:v>
                </c:pt>
                <c:pt idx="37">
                  <c:v>9.5</c:v>
                </c:pt>
                <c:pt idx="38">
                  <c:v>9.75</c:v>
                </c:pt>
                <c:pt idx="39">
                  <c:v>10</c:v>
                </c:pt>
                <c:pt idx="40">
                  <c:v>10.25</c:v>
                </c:pt>
                <c:pt idx="41">
                  <c:v>10.5</c:v>
                </c:pt>
                <c:pt idx="42">
                  <c:v>10.75</c:v>
                </c:pt>
                <c:pt idx="43">
                  <c:v>11</c:v>
                </c:pt>
                <c:pt idx="44">
                  <c:v>11.25</c:v>
                </c:pt>
                <c:pt idx="45">
                  <c:v>11.5</c:v>
                </c:pt>
                <c:pt idx="46">
                  <c:v>11.75</c:v>
                </c:pt>
                <c:pt idx="47">
                  <c:v>12</c:v>
                </c:pt>
                <c:pt idx="48">
                  <c:v>12.25</c:v>
                </c:pt>
                <c:pt idx="49">
                  <c:v>12.5</c:v>
                </c:pt>
                <c:pt idx="50">
                  <c:v>12.75</c:v>
                </c:pt>
                <c:pt idx="51">
                  <c:v>13</c:v>
                </c:pt>
                <c:pt idx="52">
                  <c:v>13.25</c:v>
                </c:pt>
                <c:pt idx="53">
                  <c:v>13.5</c:v>
                </c:pt>
                <c:pt idx="54">
                  <c:v>13.75</c:v>
                </c:pt>
                <c:pt idx="55">
                  <c:v>14</c:v>
                </c:pt>
                <c:pt idx="56">
                  <c:v>14.25</c:v>
                </c:pt>
                <c:pt idx="57">
                  <c:v>14.5</c:v>
                </c:pt>
                <c:pt idx="58">
                  <c:v>14.75</c:v>
                </c:pt>
                <c:pt idx="59">
                  <c:v>15</c:v>
                </c:pt>
                <c:pt idx="60">
                  <c:v>15.25</c:v>
                </c:pt>
                <c:pt idx="61">
                  <c:v>15.5</c:v>
                </c:pt>
                <c:pt idx="62">
                  <c:v>15.75</c:v>
                </c:pt>
                <c:pt idx="63">
                  <c:v>16</c:v>
                </c:pt>
                <c:pt idx="64">
                  <c:v>16.25</c:v>
                </c:pt>
                <c:pt idx="65">
                  <c:v>16.5</c:v>
                </c:pt>
                <c:pt idx="66">
                  <c:v>16.75</c:v>
                </c:pt>
                <c:pt idx="67">
                  <c:v>17</c:v>
                </c:pt>
                <c:pt idx="68">
                  <c:v>17.25</c:v>
                </c:pt>
                <c:pt idx="69">
                  <c:v>17.5</c:v>
                </c:pt>
                <c:pt idx="70">
                  <c:v>17.75</c:v>
                </c:pt>
                <c:pt idx="71">
                  <c:v>18</c:v>
                </c:pt>
                <c:pt idx="72">
                  <c:v>18.25</c:v>
                </c:pt>
                <c:pt idx="73">
                  <c:v>18.5</c:v>
                </c:pt>
                <c:pt idx="74">
                  <c:v>18.75</c:v>
                </c:pt>
                <c:pt idx="75">
                  <c:v>19</c:v>
                </c:pt>
                <c:pt idx="76">
                  <c:v>19.25</c:v>
                </c:pt>
                <c:pt idx="77">
                  <c:v>19.5</c:v>
                </c:pt>
                <c:pt idx="78">
                  <c:v>19.75</c:v>
                </c:pt>
                <c:pt idx="79">
                  <c:v>20</c:v>
                </c:pt>
                <c:pt idx="80">
                  <c:v>20.25</c:v>
                </c:pt>
                <c:pt idx="81">
                  <c:v>20.5</c:v>
                </c:pt>
                <c:pt idx="82">
                  <c:v>20.75</c:v>
                </c:pt>
                <c:pt idx="83">
                  <c:v>21</c:v>
                </c:pt>
                <c:pt idx="84">
                  <c:v>21.25</c:v>
                </c:pt>
                <c:pt idx="85">
                  <c:v>21.5</c:v>
                </c:pt>
                <c:pt idx="86">
                  <c:v>21.75</c:v>
                </c:pt>
                <c:pt idx="87">
                  <c:v>22</c:v>
                </c:pt>
                <c:pt idx="88">
                  <c:v>22.25</c:v>
                </c:pt>
                <c:pt idx="89">
                  <c:v>22.5</c:v>
                </c:pt>
                <c:pt idx="90">
                  <c:v>22.75</c:v>
                </c:pt>
                <c:pt idx="91">
                  <c:v>23</c:v>
                </c:pt>
                <c:pt idx="92">
                  <c:v>23.25</c:v>
                </c:pt>
                <c:pt idx="93">
                  <c:v>23.5</c:v>
                </c:pt>
                <c:pt idx="94">
                  <c:v>23.75</c:v>
                </c:pt>
                <c:pt idx="95">
                  <c:v>24</c:v>
                </c:pt>
                <c:pt idx="96">
                  <c:v>24.25</c:v>
                </c:pt>
                <c:pt idx="97">
                  <c:v>24.5</c:v>
                </c:pt>
                <c:pt idx="98">
                  <c:v>24.75</c:v>
                </c:pt>
                <c:pt idx="99">
                  <c:v>25</c:v>
                </c:pt>
                <c:pt idx="100">
                  <c:v>25.25</c:v>
                </c:pt>
                <c:pt idx="101">
                  <c:v>25.5</c:v>
                </c:pt>
                <c:pt idx="102">
                  <c:v>25.75</c:v>
                </c:pt>
                <c:pt idx="103">
                  <c:v>26</c:v>
                </c:pt>
                <c:pt idx="104">
                  <c:v>26.25</c:v>
                </c:pt>
                <c:pt idx="105">
                  <c:v>26.5</c:v>
                </c:pt>
                <c:pt idx="106">
                  <c:v>26.75</c:v>
                </c:pt>
                <c:pt idx="107">
                  <c:v>27</c:v>
                </c:pt>
                <c:pt idx="108">
                  <c:v>27.25</c:v>
                </c:pt>
                <c:pt idx="109">
                  <c:v>27.5</c:v>
                </c:pt>
                <c:pt idx="110">
                  <c:v>27.75</c:v>
                </c:pt>
                <c:pt idx="111">
                  <c:v>28</c:v>
                </c:pt>
                <c:pt idx="112">
                  <c:v>28.25</c:v>
                </c:pt>
                <c:pt idx="113">
                  <c:v>28.5</c:v>
                </c:pt>
                <c:pt idx="114">
                  <c:v>28.75</c:v>
                </c:pt>
                <c:pt idx="115">
                  <c:v>29</c:v>
                </c:pt>
                <c:pt idx="116">
                  <c:v>29.25</c:v>
                </c:pt>
                <c:pt idx="117">
                  <c:v>29.5</c:v>
                </c:pt>
                <c:pt idx="118">
                  <c:v>29.75</c:v>
                </c:pt>
                <c:pt idx="119">
                  <c:v>30</c:v>
                </c:pt>
              </c:numCache>
            </c:numRef>
          </c:xVal>
          <c:yVal>
            <c:numRef>
              <c:f>'Ex5'!$M$9:$M$128</c:f>
              <c:numCache>
                <c:formatCode>0.00000</c:formatCode>
                <c:ptCount val="120"/>
                <c:pt idx="0">
                  <c:v>1.5002900343083199E-3</c:v>
                </c:pt>
                <c:pt idx="1">
                  <c:v>2.3073562733822539E-3</c:v>
                </c:pt>
                <c:pt idx="2">
                  <c:v>3.8850701943631129E-3</c:v>
                </c:pt>
                <c:pt idx="3">
                  <c:v>5.7687467009021566E-3</c:v>
                </c:pt>
                <c:pt idx="4">
                  <c:v>7.7142892890307959E-3</c:v>
                </c:pt>
                <c:pt idx="5">
                  <c:v>9.4976453452542721E-3</c:v>
                </c:pt>
                <c:pt idx="6">
                  <c:v>1.108439118341868E-2</c:v>
                </c:pt>
                <c:pt idx="7">
                  <c:v>1.2544569563200405E-2</c:v>
                </c:pt>
                <c:pt idx="8">
                  <c:v>1.3949312601305681E-2</c:v>
                </c:pt>
                <c:pt idx="9">
                  <c:v>1.53622659246078E-2</c:v>
                </c:pt>
                <c:pt idx="10">
                  <c:v>1.67762478403824E-2</c:v>
                </c:pt>
                <c:pt idx="11">
                  <c:v>1.8145057934184711E-2</c:v>
                </c:pt>
                <c:pt idx="12">
                  <c:v>1.9422088911461577E-2</c:v>
                </c:pt>
                <c:pt idx="13">
                  <c:v>2.0565003952277536E-2</c:v>
                </c:pt>
                <c:pt idx="14">
                  <c:v>2.1571867850447943E-2</c:v>
                </c:pt>
                <c:pt idx="15">
                  <c:v>2.2463002621054686E-2</c:v>
                </c:pt>
                <c:pt idx="16">
                  <c:v>2.3258962373420608E-2</c:v>
                </c:pt>
                <c:pt idx="17">
                  <c:v>2.3980301216868567E-2</c:v>
                </c:pt>
                <c:pt idx="18">
                  <c:v>2.4647573260721398E-2</c:v>
                </c:pt>
                <c:pt idx="19">
                  <c:v>2.5281332614301971E-2</c:v>
                </c:pt>
                <c:pt idx="20">
                  <c:v>2.5902133386933111E-2</c:v>
                </c:pt>
                <c:pt idx="21">
                  <c:v>2.6528882863559058E-2</c:v>
                </c:pt>
                <c:pt idx="22">
                  <c:v>2.7164908242970316E-2</c:v>
                </c:pt>
                <c:pt idx="23">
                  <c:v>2.7804953665196107E-2</c:v>
                </c:pt>
                <c:pt idx="24">
                  <c:v>2.8443673767695465E-2</c:v>
                </c:pt>
                <c:pt idx="25">
                  <c:v>2.9075723187927432E-2</c:v>
                </c:pt>
                <c:pt idx="26">
                  <c:v>2.9695756563351043E-2</c:v>
                </c:pt>
                <c:pt idx="27">
                  <c:v>3.029842853142534E-2</c:v>
                </c:pt>
                <c:pt idx="28">
                  <c:v>3.0878393729609366E-2</c:v>
                </c:pt>
                <c:pt idx="29">
                  <c:v>3.1430852903337365E-2</c:v>
                </c:pt>
                <c:pt idx="30">
                  <c:v>3.1956173353393139E-2</c:v>
                </c:pt>
                <c:pt idx="31">
                  <c:v>3.2457568632354009E-2</c:v>
                </c:pt>
                <c:pt idx="32">
                  <c:v>3.2938281972991514E-2</c:v>
                </c:pt>
                <c:pt idx="33">
                  <c:v>3.3401556608077178E-2</c:v>
                </c:pt>
                <c:pt idx="34">
                  <c:v>3.3850635770382533E-2</c:v>
                </c:pt>
                <c:pt idx="35">
                  <c:v>3.428876269267913E-2</c:v>
                </c:pt>
                <c:pt idx="36">
                  <c:v>3.471918060773848E-2</c:v>
                </c:pt>
                <c:pt idx="37">
                  <c:v>3.5145132748332121E-2</c:v>
                </c:pt>
                <c:pt idx="38">
                  <c:v>3.5569862347231598E-2</c:v>
                </c:pt>
                <c:pt idx="39">
                  <c:v>3.5996612637208429E-2</c:v>
                </c:pt>
                <c:pt idx="40">
                  <c:v>3.6428626851034145E-2</c:v>
                </c:pt>
                <c:pt idx="41">
                  <c:v>3.6868779434958747E-2</c:v>
                </c:pt>
                <c:pt idx="42">
                  <c:v>3.7316455862241207E-2</c:v>
                </c:pt>
                <c:pt idx="43">
                  <c:v>3.7769119533316055E-2</c:v>
                </c:pt>
                <c:pt idx="44">
                  <c:v>3.8224213805593217E-2</c:v>
                </c:pt>
                <c:pt idx="45">
                  <c:v>3.8679182036482657E-2</c:v>
                </c:pt>
                <c:pt idx="46">
                  <c:v>3.9131467583394294E-2</c:v>
                </c:pt>
                <c:pt idx="47">
                  <c:v>3.9578513803738058E-2</c:v>
                </c:pt>
                <c:pt idx="48">
                  <c:v>4.001776405492391E-2</c:v>
                </c:pt>
                <c:pt idx="49">
                  <c:v>4.0446661694361785E-2</c:v>
                </c:pt>
                <c:pt idx="50">
                  <c:v>4.0862650079461604E-2</c:v>
                </c:pt>
                <c:pt idx="51">
                  <c:v>4.1263172567633316E-2</c:v>
                </c:pt>
                <c:pt idx="52">
                  <c:v>4.1645672516286862E-2</c:v>
                </c:pt>
                <c:pt idx="53">
                  <c:v>4.200759328283217E-2</c:v>
                </c:pt>
                <c:pt idx="54">
                  <c:v>4.2346378224679196E-2</c:v>
                </c:pt>
                <c:pt idx="55">
                  <c:v>4.2659470699237853E-2</c:v>
                </c:pt>
                <c:pt idx="56">
                  <c:v>4.2944314063918104E-2</c:v>
                </c:pt>
                <c:pt idx="57">
                  <c:v>4.3198351676129884E-2</c:v>
                </c:pt>
                <c:pt idx="58">
                  <c:v>4.3419026893283114E-2</c:v>
                </c:pt>
                <c:pt idx="59">
                  <c:v>4.3603783072787734E-2</c:v>
                </c:pt>
                <c:pt idx="60">
                  <c:v>4.3750063572053702E-2</c:v>
                </c:pt>
                <c:pt idx="61">
                  <c:v>4.3855721536245798E-2</c:v>
                </c:pt>
                <c:pt idx="62">
                  <c:v>4.392248698325938E-2</c:v>
                </c:pt>
                <c:pt idx="63">
                  <c:v>4.3954225697514254E-2</c:v>
                </c:pt>
                <c:pt idx="64">
                  <c:v>4.3954825734813817E-2</c:v>
                </c:pt>
                <c:pt idx="65">
                  <c:v>4.3928175150961382E-2</c:v>
                </c:pt>
                <c:pt idx="66">
                  <c:v>4.3878162001760326E-2</c:v>
                </c:pt>
                <c:pt idx="67">
                  <c:v>4.380867434301397E-2</c:v>
                </c:pt>
                <c:pt idx="68">
                  <c:v>4.3723600230525669E-2</c:v>
                </c:pt>
                <c:pt idx="69">
                  <c:v>4.3626827720098793E-2</c:v>
                </c:pt>
                <c:pt idx="70">
                  <c:v>4.3522244867536662E-2</c:v>
                </c:pt>
                <c:pt idx="71">
                  <c:v>4.3413739728642646E-2</c:v>
                </c:pt>
                <c:pt idx="72">
                  <c:v>4.3305200359220072E-2</c:v>
                </c:pt>
                <c:pt idx="73">
                  <c:v>4.3200514815072304E-2</c:v>
                </c:pt>
                <c:pt idx="74">
                  <c:v>4.3103571152002675E-2</c:v>
                </c:pt>
                <c:pt idx="75">
                  <c:v>4.3018257425814561E-2</c:v>
                </c:pt>
                <c:pt idx="76">
                  <c:v>4.2948461692311285E-2</c:v>
                </c:pt>
                <c:pt idx="77">
                  <c:v>4.2897665356789953E-2</c:v>
                </c:pt>
                <c:pt idx="78">
                  <c:v>4.2865502632337106E-2</c:v>
                </c:pt>
                <c:pt idx="79">
                  <c:v>4.2849488316492795E-2</c:v>
                </c:pt>
                <c:pt idx="80">
                  <c:v>4.2847115105918585E-2</c:v>
                </c:pt>
                <c:pt idx="81">
                  <c:v>4.2855875697276072E-2</c:v>
                </c:pt>
                <c:pt idx="82">
                  <c:v>4.2873262787226814E-2</c:v>
                </c:pt>
                <c:pt idx="83">
                  <c:v>4.2896769072432395E-2</c:v>
                </c:pt>
                <c:pt idx="84">
                  <c:v>4.2923887249554385E-2</c:v>
                </c:pt>
                <c:pt idx="85">
                  <c:v>4.2952110015254362E-2</c:v>
                </c:pt>
                <c:pt idx="86">
                  <c:v>4.2978930066193903E-2</c:v>
                </c:pt>
                <c:pt idx="87">
                  <c:v>4.3001840099034586E-2</c:v>
                </c:pt>
                <c:pt idx="88">
                  <c:v>4.301833281043798E-2</c:v>
                </c:pt>
                <c:pt idx="89">
                  <c:v>4.3025900897065664E-2</c:v>
                </c:pt>
                <c:pt idx="90">
                  <c:v>4.3022037055579214E-2</c:v>
                </c:pt>
                <c:pt idx="91">
                  <c:v>4.3004233982640201E-2</c:v>
                </c:pt>
                <c:pt idx="92">
                  <c:v>4.296998437491021E-2</c:v>
                </c:pt>
                <c:pt idx="93">
                  <c:v>4.2917069003676617E-2</c:v>
                </c:pt>
                <c:pt idx="94">
                  <c:v>4.2845994023423151E-2</c:v>
                </c:pt>
                <c:pt idx="95">
                  <c:v>4.2758767000364517E-2</c:v>
                </c:pt>
                <c:pt idx="96">
                  <c:v>4.2657411157162942E-2</c:v>
                </c:pt>
                <c:pt idx="97">
                  <c:v>4.2543949716480636E-2</c:v>
                </c:pt>
                <c:pt idx="98">
                  <c:v>4.242040590097982E-2</c:v>
                </c:pt>
                <c:pt idx="99">
                  <c:v>4.2288802933322697E-2</c:v>
                </c:pt>
                <c:pt idx="100">
                  <c:v>4.2151164036171473E-2</c:v>
                </c:pt>
                <c:pt idx="101">
                  <c:v>4.2009512432188381E-2</c:v>
                </c:pt>
                <c:pt idx="102">
                  <c:v>4.1865871344035611E-2</c:v>
                </c:pt>
                <c:pt idx="103">
                  <c:v>4.1722263994375404E-2</c:v>
                </c:pt>
                <c:pt idx="104">
                  <c:v>4.1580713605869943E-2</c:v>
                </c:pt>
                <c:pt idx="105">
                  <c:v>4.1443243401181468E-2</c:v>
                </c:pt>
                <c:pt idx="106">
                  <c:v>4.1311876602972177E-2</c:v>
                </c:pt>
                <c:pt idx="107">
                  <c:v>4.1188636433904295E-2</c:v>
                </c:pt>
                <c:pt idx="108">
                  <c:v>4.1075546116640008E-2</c:v>
                </c:pt>
                <c:pt idx="109">
                  <c:v>4.0974450678864315E-2</c:v>
                </c:pt>
                <c:pt idx="110">
                  <c:v>4.0885509301772677E-2</c:v>
                </c:pt>
                <c:pt idx="111">
                  <c:v>4.0807952434887371E-2</c:v>
                </c:pt>
                <c:pt idx="112">
                  <c:v>4.0741000843086288E-2</c:v>
                </c:pt>
                <c:pt idx="113">
                  <c:v>4.0683875291247319E-2</c:v>
                </c:pt>
                <c:pt idx="114">
                  <c:v>4.0635796544248384E-2</c:v>
                </c:pt>
                <c:pt idx="115">
                  <c:v>4.0595985366967374E-2</c:v>
                </c:pt>
                <c:pt idx="116">
                  <c:v>4.056366252428218E-2</c:v>
                </c:pt>
                <c:pt idx="117">
                  <c:v>4.0538048781070708E-2</c:v>
                </c:pt>
                <c:pt idx="118">
                  <c:v>4.0518364902210856E-2</c:v>
                </c:pt>
                <c:pt idx="119">
                  <c:v>4.0503831652580521E-2</c:v>
                </c:pt>
              </c:numCache>
            </c:numRef>
          </c:yVal>
          <c:smooth val="0"/>
          <c:extLst>
            <c:ext xmlns:c16="http://schemas.microsoft.com/office/drawing/2014/chart" uri="{C3380CC4-5D6E-409C-BE32-E72D297353CC}">
              <c16:uniqueId val="{00000000-04E7-47A4-863A-9C89823BF1C4}"/>
            </c:ext>
          </c:extLst>
        </c:ser>
        <c:ser>
          <c:idx val="1"/>
          <c:order val="1"/>
          <c:tx>
            <c:v>Bootstrapping</c:v>
          </c:tx>
          <c:spPr>
            <a:ln w="22225">
              <a:solidFill>
                <a:srgbClr val="FFC000"/>
              </a:solidFill>
            </a:ln>
          </c:spPr>
          <c:marker>
            <c:symbol val="none"/>
          </c:marker>
          <c:xVal>
            <c:numRef>
              <c:f>'Ex5'!$G$9:$G$30</c:f>
              <c:numCache>
                <c:formatCode>0.0000</c:formatCode>
                <c:ptCount val="22"/>
                <c:pt idx="0">
                  <c:v>0.24931506849315069</c:v>
                </c:pt>
                <c:pt idx="1">
                  <c:v>0.49863013698630138</c:v>
                </c:pt>
                <c:pt idx="2">
                  <c:v>1.3186813186813187</c:v>
                </c:pt>
                <c:pt idx="3">
                  <c:v>2.3186813186813189</c:v>
                </c:pt>
                <c:pt idx="4">
                  <c:v>3.3186813186813189</c:v>
                </c:pt>
                <c:pt idx="5">
                  <c:v>5.3186813186813184</c:v>
                </c:pt>
                <c:pt idx="6">
                  <c:v>7.3186813186813184</c:v>
                </c:pt>
                <c:pt idx="7">
                  <c:v>10.318681318681319</c:v>
                </c:pt>
                <c:pt idx="8">
                  <c:v>15.318681318681319</c:v>
                </c:pt>
                <c:pt idx="9">
                  <c:v>19.318681318681318</c:v>
                </c:pt>
                <c:pt idx="10">
                  <c:v>23.318681318681318</c:v>
                </c:pt>
                <c:pt idx="11">
                  <c:v>27.318681318681318</c:v>
                </c:pt>
                <c:pt idx="12">
                  <c:v>31.318681318681318</c:v>
                </c:pt>
              </c:numCache>
            </c:numRef>
          </c:xVal>
          <c:yVal>
            <c:numRef>
              <c:f>'Ex5'!$H$9:$H$30</c:f>
              <c:numCache>
                <c:formatCode>0.00000</c:formatCode>
                <c:ptCount val="22"/>
                <c:pt idx="0">
                  <c:v>1.5002820207405954E-3</c:v>
                </c:pt>
                <c:pt idx="1">
                  <c:v>2.3000036219071873E-3</c:v>
                </c:pt>
                <c:pt idx="2">
                  <c:v>8.2272035712298471E-3</c:v>
                </c:pt>
                <c:pt idx="3">
                  <c:v>1.4334968368852466E-2</c:v>
                </c:pt>
                <c:pt idx="4">
                  <c:v>1.9750663158380807E-2</c:v>
                </c:pt>
                <c:pt idx="5">
                  <c:v>2.6073142931933434E-2</c:v>
                </c:pt>
                <c:pt idx="6">
                  <c:v>3.103303918882263E-2</c:v>
                </c:pt>
                <c:pt idx="7">
                  <c:v>3.6548664382743734E-2</c:v>
                </c:pt>
                <c:pt idx="8">
                  <c:v>4.3783174005260272E-2</c:v>
                </c:pt>
                <c:pt idx="9">
                  <c:v>4.2932520443761869E-2</c:v>
                </c:pt>
                <c:pt idx="10">
                  <c:v>4.2957362470663653E-2</c:v>
                </c:pt>
                <c:pt idx="11">
                  <c:v>4.1046523202330945E-2</c:v>
                </c:pt>
                <c:pt idx="12">
                  <c:v>4.0481139065995111E-2</c:v>
                </c:pt>
              </c:numCache>
            </c:numRef>
          </c:yVal>
          <c:smooth val="0"/>
          <c:extLst>
            <c:ext xmlns:c16="http://schemas.microsoft.com/office/drawing/2014/chart" uri="{C3380CC4-5D6E-409C-BE32-E72D297353CC}">
              <c16:uniqueId val="{00000001-04E7-47A4-863A-9C89823BF1C4}"/>
            </c:ext>
          </c:extLst>
        </c:ser>
        <c:dLbls>
          <c:showLegendKey val="0"/>
          <c:showVal val="0"/>
          <c:showCatName val="0"/>
          <c:showSerName val="0"/>
          <c:showPercent val="0"/>
          <c:showBubbleSize val="0"/>
        </c:dLbls>
        <c:axId val="183885824"/>
        <c:axId val="183887744"/>
      </c:scatterChart>
      <c:valAx>
        <c:axId val="183885824"/>
        <c:scaling>
          <c:orientation val="minMax"/>
          <c:max val="30"/>
          <c:min val="0"/>
        </c:scaling>
        <c:delete val="0"/>
        <c:axPos val="b"/>
        <c:title>
          <c:tx>
            <c:rich>
              <a:bodyPr/>
              <a:lstStyle/>
              <a:p>
                <a:pPr>
                  <a:defRPr/>
                </a:pPr>
                <a:r>
                  <a:rPr lang="en-US"/>
                  <a:t>Years to maturity</a:t>
                </a:r>
              </a:p>
            </c:rich>
          </c:tx>
          <c:overlay val="0"/>
        </c:title>
        <c:numFmt formatCode="0" sourceLinked="0"/>
        <c:majorTickMark val="out"/>
        <c:minorTickMark val="none"/>
        <c:tickLblPos val="nextTo"/>
        <c:crossAx val="183887744"/>
        <c:crosses val="autoZero"/>
        <c:crossBetween val="midCat"/>
      </c:valAx>
      <c:valAx>
        <c:axId val="183887744"/>
        <c:scaling>
          <c:orientation val="minMax"/>
        </c:scaling>
        <c:delete val="0"/>
        <c:axPos val="l"/>
        <c:majorGridlines/>
        <c:numFmt formatCode="0.000" sourceLinked="0"/>
        <c:majorTickMark val="out"/>
        <c:minorTickMark val="none"/>
        <c:tickLblPos val="nextTo"/>
        <c:crossAx val="183885824"/>
        <c:crosses val="autoZero"/>
        <c:crossBetween val="midCat"/>
      </c:valAx>
    </c:plotArea>
    <c:legend>
      <c:legendPos val="r"/>
      <c:layout>
        <c:manualLayout>
          <c:xMode val="edge"/>
          <c:yMode val="edge"/>
          <c:x val="0.11766673722757537"/>
          <c:y val="0.13131755138039086"/>
          <c:w val="0.23268574756165844"/>
          <c:h val="8.2939617569028762E-2"/>
        </c:manualLayout>
      </c:layout>
      <c:overlay val="0"/>
    </c:legend>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Forward rates</a:t>
            </a:r>
          </a:p>
        </c:rich>
      </c:tx>
      <c:overlay val="0"/>
    </c:title>
    <c:autoTitleDeleted val="0"/>
    <c:plotArea>
      <c:layout>
        <c:manualLayout>
          <c:layoutTarget val="inner"/>
          <c:xMode val="edge"/>
          <c:yMode val="edge"/>
          <c:x val="0.11966885389326334"/>
          <c:y val="0.10525082789530145"/>
          <c:w val="0.80781036745406831"/>
          <c:h val="0.74437476413994297"/>
        </c:manualLayout>
      </c:layout>
      <c:scatterChart>
        <c:scatterStyle val="lineMarker"/>
        <c:varyColors val="0"/>
        <c:ser>
          <c:idx val="0"/>
          <c:order val="0"/>
          <c:tx>
            <c:v>Cubic splines</c:v>
          </c:tx>
          <c:spPr>
            <a:ln w="22225">
              <a:solidFill>
                <a:schemeClr val="tx1"/>
              </a:solidFill>
            </a:ln>
          </c:spPr>
          <c:marker>
            <c:symbol val="none"/>
          </c:marker>
          <c:xVal>
            <c:numRef>
              <c:f>'Ex5'!$K$9:$K$128</c:f>
              <c:numCache>
                <c:formatCode>General</c:formatCode>
                <c:ptCount val="120"/>
                <c:pt idx="0">
                  <c:v>0.25</c:v>
                </c:pt>
                <c:pt idx="1">
                  <c:v>0.5</c:v>
                </c:pt>
                <c:pt idx="2">
                  <c:v>0.75</c:v>
                </c:pt>
                <c:pt idx="3">
                  <c:v>1</c:v>
                </c:pt>
                <c:pt idx="4">
                  <c:v>1.25</c:v>
                </c:pt>
                <c:pt idx="5">
                  <c:v>1.5</c:v>
                </c:pt>
                <c:pt idx="6">
                  <c:v>1.75</c:v>
                </c:pt>
                <c:pt idx="7">
                  <c:v>2</c:v>
                </c:pt>
                <c:pt idx="8">
                  <c:v>2.25</c:v>
                </c:pt>
                <c:pt idx="9">
                  <c:v>2.5</c:v>
                </c:pt>
                <c:pt idx="10">
                  <c:v>2.75</c:v>
                </c:pt>
                <c:pt idx="11">
                  <c:v>3</c:v>
                </c:pt>
                <c:pt idx="12">
                  <c:v>3.25</c:v>
                </c:pt>
                <c:pt idx="13">
                  <c:v>3.5</c:v>
                </c:pt>
                <c:pt idx="14">
                  <c:v>3.75</c:v>
                </c:pt>
                <c:pt idx="15">
                  <c:v>4</c:v>
                </c:pt>
                <c:pt idx="16">
                  <c:v>4.25</c:v>
                </c:pt>
                <c:pt idx="17">
                  <c:v>4.5</c:v>
                </c:pt>
                <c:pt idx="18">
                  <c:v>4.75</c:v>
                </c:pt>
                <c:pt idx="19">
                  <c:v>5</c:v>
                </c:pt>
                <c:pt idx="20">
                  <c:v>5.25</c:v>
                </c:pt>
                <c:pt idx="21">
                  <c:v>5.5</c:v>
                </c:pt>
                <c:pt idx="22">
                  <c:v>5.75</c:v>
                </c:pt>
                <c:pt idx="23">
                  <c:v>6</c:v>
                </c:pt>
                <c:pt idx="24">
                  <c:v>6.25</c:v>
                </c:pt>
                <c:pt idx="25">
                  <c:v>6.5</c:v>
                </c:pt>
                <c:pt idx="26">
                  <c:v>6.75</c:v>
                </c:pt>
                <c:pt idx="27">
                  <c:v>7</c:v>
                </c:pt>
                <c:pt idx="28">
                  <c:v>7.25</c:v>
                </c:pt>
                <c:pt idx="29">
                  <c:v>7.5</c:v>
                </c:pt>
                <c:pt idx="30">
                  <c:v>7.75</c:v>
                </c:pt>
                <c:pt idx="31">
                  <c:v>8</c:v>
                </c:pt>
                <c:pt idx="32">
                  <c:v>8.25</c:v>
                </c:pt>
                <c:pt idx="33">
                  <c:v>8.5</c:v>
                </c:pt>
                <c:pt idx="34">
                  <c:v>8.75</c:v>
                </c:pt>
                <c:pt idx="35">
                  <c:v>9</c:v>
                </c:pt>
                <c:pt idx="36">
                  <c:v>9.25</c:v>
                </c:pt>
                <c:pt idx="37">
                  <c:v>9.5</c:v>
                </c:pt>
                <c:pt idx="38">
                  <c:v>9.75</c:v>
                </c:pt>
                <c:pt idx="39">
                  <c:v>10</c:v>
                </c:pt>
                <c:pt idx="40">
                  <c:v>10.25</c:v>
                </c:pt>
                <c:pt idx="41">
                  <c:v>10.5</c:v>
                </c:pt>
                <c:pt idx="42">
                  <c:v>10.75</c:v>
                </c:pt>
                <c:pt idx="43">
                  <c:v>11</c:v>
                </c:pt>
                <c:pt idx="44">
                  <c:v>11.25</c:v>
                </c:pt>
                <c:pt idx="45">
                  <c:v>11.5</c:v>
                </c:pt>
                <c:pt idx="46">
                  <c:v>11.75</c:v>
                </c:pt>
                <c:pt idx="47">
                  <c:v>12</c:v>
                </c:pt>
                <c:pt idx="48">
                  <c:v>12.25</c:v>
                </c:pt>
                <c:pt idx="49">
                  <c:v>12.5</c:v>
                </c:pt>
                <c:pt idx="50">
                  <c:v>12.75</c:v>
                </c:pt>
                <c:pt idx="51">
                  <c:v>13</c:v>
                </c:pt>
                <c:pt idx="52">
                  <c:v>13.25</c:v>
                </c:pt>
                <c:pt idx="53">
                  <c:v>13.5</c:v>
                </c:pt>
                <c:pt idx="54">
                  <c:v>13.75</c:v>
                </c:pt>
                <c:pt idx="55">
                  <c:v>14</c:v>
                </c:pt>
                <c:pt idx="56">
                  <c:v>14.25</c:v>
                </c:pt>
                <c:pt idx="57">
                  <c:v>14.5</c:v>
                </c:pt>
                <c:pt idx="58">
                  <c:v>14.75</c:v>
                </c:pt>
                <c:pt idx="59">
                  <c:v>15</c:v>
                </c:pt>
                <c:pt idx="60">
                  <c:v>15.25</c:v>
                </c:pt>
                <c:pt idx="61">
                  <c:v>15.5</c:v>
                </c:pt>
                <c:pt idx="62">
                  <c:v>15.75</c:v>
                </c:pt>
                <c:pt idx="63">
                  <c:v>16</c:v>
                </c:pt>
                <c:pt idx="64">
                  <c:v>16.25</c:v>
                </c:pt>
                <c:pt idx="65">
                  <c:v>16.5</c:v>
                </c:pt>
                <c:pt idx="66">
                  <c:v>16.75</c:v>
                </c:pt>
                <c:pt idx="67">
                  <c:v>17</c:v>
                </c:pt>
                <c:pt idx="68">
                  <c:v>17.25</c:v>
                </c:pt>
                <c:pt idx="69">
                  <c:v>17.5</c:v>
                </c:pt>
                <c:pt idx="70">
                  <c:v>17.75</c:v>
                </c:pt>
                <c:pt idx="71">
                  <c:v>18</c:v>
                </c:pt>
                <c:pt idx="72">
                  <c:v>18.25</c:v>
                </c:pt>
                <c:pt idx="73">
                  <c:v>18.5</c:v>
                </c:pt>
                <c:pt idx="74">
                  <c:v>18.75</c:v>
                </c:pt>
                <c:pt idx="75">
                  <c:v>19</c:v>
                </c:pt>
                <c:pt idx="76">
                  <c:v>19.25</c:v>
                </c:pt>
                <c:pt idx="77">
                  <c:v>19.5</c:v>
                </c:pt>
                <c:pt idx="78">
                  <c:v>19.75</c:v>
                </c:pt>
                <c:pt idx="79">
                  <c:v>20</c:v>
                </c:pt>
                <c:pt idx="80">
                  <c:v>20.25</c:v>
                </c:pt>
                <c:pt idx="81">
                  <c:v>20.5</c:v>
                </c:pt>
                <c:pt idx="82">
                  <c:v>20.75</c:v>
                </c:pt>
                <c:pt idx="83">
                  <c:v>21</c:v>
                </c:pt>
                <c:pt idx="84">
                  <c:v>21.25</c:v>
                </c:pt>
                <c:pt idx="85">
                  <c:v>21.5</c:v>
                </c:pt>
                <c:pt idx="86">
                  <c:v>21.75</c:v>
                </c:pt>
                <c:pt idx="87">
                  <c:v>22</c:v>
                </c:pt>
                <c:pt idx="88">
                  <c:v>22.25</c:v>
                </c:pt>
                <c:pt idx="89">
                  <c:v>22.5</c:v>
                </c:pt>
                <c:pt idx="90">
                  <c:v>22.75</c:v>
                </c:pt>
                <c:pt idx="91">
                  <c:v>23</c:v>
                </c:pt>
                <c:pt idx="92">
                  <c:v>23.25</c:v>
                </c:pt>
                <c:pt idx="93">
                  <c:v>23.5</c:v>
                </c:pt>
                <c:pt idx="94">
                  <c:v>23.75</c:v>
                </c:pt>
                <c:pt idx="95">
                  <c:v>24</c:v>
                </c:pt>
                <c:pt idx="96">
                  <c:v>24.25</c:v>
                </c:pt>
                <c:pt idx="97">
                  <c:v>24.5</c:v>
                </c:pt>
                <c:pt idx="98">
                  <c:v>24.75</c:v>
                </c:pt>
                <c:pt idx="99">
                  <c:v>25</c:v>
                </c:pt>
                <c:pt idx="100">
                  <c:v>25.25</c:v>
                </c:pt>
                <c:pt idx="101">
                  <c:v>25.5</c:v>
                </c:pt>
                <c:pt idx="102">
                  <c:v>25.75</c:v>
                </c:pt>
                <c:pt idx="103">
                  <c:v>26</c:v>
                </c:pt>
                <c:pt idx="104">
                  <c:v>26.25</c:v>
                </c:pt>
                <c:pt idx="105">
                  <c:v>26.5</c:v>
                </c:pt>
                <c:pt idx="106">
                  <c:v>26.75</c:v>
                </c:pt>
                <c:pt idx="107">
                  <c:v>27</c:v>
                </c:pt>
                <c:pt idx="108">
                  <c:v>27.25</c:v>
                </c:pt>
                <c:pt idx="109">
                  <c:v>27.5</c:v>
                </c:pt>
                <c:pt idx="110">
                  <c:v>27.75</c:v>
                </c:pt>
                <c:pt idx="111">
                  <c:v>28</c:v>
                </c:pt>
                <c:pt idx="112">
                  <c:v>28.25</c:v>
                </c:pt>
                <c:pt idx="113">
                  <c:v>28.5</c:v>
                </c:pt>
                <c:pt idx="114">
                  <c:v>28.75</c:v>
                </c:pt>
                <c:pt idx="115">
                  <c:v>29</c:v>
                </c:pt>
                <c:pt idx="116">
                  <c:v>29.25</c:v>
                </c:pt>
                <c:pt idx="117">
                  <c:v>29.5</c:v>
                </c:pt>
                <c:pt idx="118">
                  <c:v>29.75</c:v>
                </c:pt>
                <c:pt idx="119">
                  <c:v>30</c:v>
                </c:pt>
              </c:numCache>
            </c:numRef>
          </c:xVal>
          <c:yVal>
            <c:numRef>
              <c:f>'Ex5'!$O$9:$O$128</c:f>
              <c:numCache>
                <c:formatCode>0.00000</c:formatCode>
                <c:ptCount val="120"/>
                <c:pt idx="0">
                  <c:v>1.5002900343083199E-3</c:v>
                </c:pt>
                <c:pt idx="1">
                  <c:v>3.1147479462916294E-3</c:v>
                </c:pt>
                <c:pt idx="2">
                  <c:v>7.0442284850846804E-3</c:v>
                </c:pt>
                <c:pt idx="3">
                  <c:v>1.1430406953830907E-2</c:v>
                </c:pt>
                <c:pt idx="4">
                  <c:v>1.5515349203123474E-2</c:v>
                </c:pt>
                <c:pt idx="5">
                  <c:v>1.8438214827577681E-2</c:v>
                </c:pt>
                <c:pt idx="6">
                  <c:v>2.0631212422598022E-2</c:v>
                </c:pt>
                <c:pt idx="7">
                  <c:v>2.2795546539139622E-2</c:v>
                </c:pt>
                <c:pt idx="8">
                  <c:v>2.5222612509213427E-2</c:v>
                </c:pt>
                <c:pt idx="9">
                  <c:v>2.8123538099045664E-2</c:v>
                </c:pt>
                <c:pt idx="10">
                  <c:v>3.097074488256224E-2</c:v>
                </c:pt>
                <c:pt idx="11">
                  <c:v>3.32634237279823E-2</c:v>
                </c:pt>
                <c:pt idx="12">
                  <c:v>3.4809636788170728E-2</c:v>
                </c:pt>
                <c:pt idx="13">
                  <c:v>3.5481895919237338E-2</c:v>
                </c:pt>
                <c:pt idx="14">
                  <c:v>3.5720757837323536E-2</c:v>
                </c:pt>
                <c:pt idx="15">
                  <c:v>3.5877260124181909E-2</c:v>
                </c:pt>
                <c:pt idx="16">
                  <c:v>3.6037005396063471E-2</c:v>
                </c:pt>
                <c:pt idx="17">
                  <c:v>3.6282484105031099E-2</c:v>
                </c:pt>
                <c:pt idx="18">
                  <c:v>3.6696158419799563E-2</c:v>
                </c:pt>
                <c:pt idx="19">
                  <c:v>3.7360523542839363E-2</c:v>
                </c:pt>
                <c:pt idx="20">
                  <c:v>3.8358187716347025E-2</c:v>
                </c:pt>
                <c:pt idx="21">
                  <c:v>3.9735504428870527E-2</c:v>
                </c:pt>
                <c:pt idx="22">
                  <c:v>4.1208080651246703E-2</c:v>
                </c:pt>
                <c:pt idx="23">
                  <c:v>4.2581902990681986E-2</c:v>
                </c:pt>
                <c:pt idx="24">
                  <c:v>4.3833457645697571E-2</c:v>
                </c:pt>
                <c:pt idx="25">
                  <c:v>4.4941124796012311E-2</c:v>
                </c:pt>
                <c:pt idx="26">
                  <c:v>4.5883296638066895E-2</c:v>
                </c:pt>
                <c:pt idx="27">
                  <c:v>4.6638389060075447E-2</c:v>
                </c:pt>
                <c:pt idx="28">
                  <c:v>4.7184854562118961E-2</c:v>
                </c:pt>
                <c:pt idx="29">
                  <c:v>4.7517709326879931E-2</c:v>
                </c:pt>
                <c:pt idx="30">
                  <c:v>4.7779113395964856E-2</c:v>
                </c:pt>
                <c:pt idx="31">
                  <c:v>4.8062339975779356E-2</c:v>
                </c:pt>
                <c:pt idx="32">
                  <c:v>4.8381288126791766E-2</c:v>
                </c:pt>
                <c:pt idx="33">
                  <c:v>4.8748990237540646E-2</c:v>
                </c:pt>
                <c:pt idx="34">
                  <c:v>4.9178482807016088E-2</c:v>
                </c:pt>
                <c:pt idx="35">
                  <c:v>4.9682809912525272E-2</c:v>
                </c:pt>
                <c:pt idx="36">
                  <c:v>5.0275027141427842E-2</c:v>
                </c:pt>
                <c:pt idx="37">
                  <c:v>5.0968205987522719E-2</c:v>
                </c:pt>
                <c:pt idx="38">
                  <c:v>5.1775438713423494E-2</c:v>
                </c:pt>
                <c:pt idx="39">
                  <c:v>5.270984368060061E-2</c:v>
                </c:pt>
                <c:pt idx="40">
                  <c:v>5.3784571148307148E-2</c:v>
                </c:pt>
                <c:pt idx="41">
                  <c:v>5.4997182597513294E-2</c:v>
                </c:pt>
                <c:pt idx="42">
                  <c:v>5.6207982400717782E-2</c:v>
                </c:pt>
                <c:pt idx="43">
                  <c:v>5.7329098574120163E-2</c:v>
                </c:pt>
                <c:pt idx="44">
                  <c:v>5.8349304317822703E-2</c:v>
                </c:pt>
                <c:pt idx="45">
                  <c:v>5.9258208948240743E-2</c:v>
                </c:pt>
                <c:pt idx="46">
                  <c:v>6.0045432730526649E-2</c:v>
                </c:pt>
                <c:pt idx="47">
                  <c:v>6.0700611250382952E-2</c:v>
                </c:pt>
                <c:pt idx="48">
                  <c:v>6.1213400067370749E-2</c:v>
                </c:pt>
                <c:pt idx="49">
                  <c:v>6.1573479646102047E-2</c:v>
                </c:pt>
                <c:pt idx="50">
                  <c:v>6.1770560564733845E-2</c:v>
                </c:pt>
                <c:pt idx="51">
                  <c:v>6.1794388996732508E-2</c:v>
                </c:pt>
                <c:pt idx="52">
                  <c:v>6.1634752464398979E-2</c:v>
                </c:pt>
                <c:pt idx="53">
                  <c:v>6.1281485861006679E-2</c:v>
                </c:pt>
                <c:pt idx="54">
                  <c:v>6.0724477738659743E-2</c:v>
                </c:pt>
                <c:pt idx="55">
                  <c:v>5.9953676858830018E-2</c:v>
                </c:pt>
                <c:pt idx="56">
                  <c:v>5.8959099003024207E-2</c:v>
                </c:pt>
                <c:pt idx="57">
                  <c:v>5.7730834039046997E-2</c:v>
                </c:pt>
                <c:pt idx="58">
                  <c:v>5.625905324116065E-2</c:v>
                </c:pt>
                <c:pt idx="59">
                  <c:v>5.4534016858676537E-2</c:v>
                </c:pt>
                <c:pt idx="60">
                  <c:v>5.2546081931185373E-2</c:v>
                </c:pt>
                <c:pt idx="61">
                  <c:v>5.0311197276670772E-2</c:v>
                </c:pt>
                <c:pt idx="62">
                  <c:v>4.8066206998377048E-2</c:v>
                </c:pt>
                <c:pt idx="63">
                  <c:v>4.5954758598917511E-2</c:v>
                </c:pt>
                <c:pt idx="64">
                  <c:v>4.3993228488369951E-2</c:v>
                </c:pt>
                <c:pt idx="65">
                  <c:v>4.2196632359075004E-2</c:v>
                </c:pt>
                <c:pt idx="66">
                  <c:v>4.0579998494518765E-2</c:v>
                </c:pt>
                <c:pt idx="67">
                  <c:v>3.9158378816988026E-2</c:v>
                </c:pt>
                <c:pt idx="68">
                  <c:v>3.7946860598271126E-2</c:v>
                </c:pt>
                <c:pt idx="69">
                  <c:v>3.6960578844897896E-2</c:v>
                </c:pt>
                <c:pt idx="70">
                  <c:v>3.6214729367576748E-2</c:v>
                </c:pt>
                <c:pt idx="71">
                  <c:v>3.5724582547820738E-2</c:v>
                </c:pt>
                <c:pt idx="72">
                  <c:v>3.5505497813846265E-2</c:v>
                </c:pt>
                <c:pt idx="73">
                  <c:v>3.5572938839255386E-2</c:v>
                </c:pt>
                <c:pt idx="74">
                  <c:v>3.5942489479829032E-2</c:v>
                </c:pt>
                <c:pt idx="75">
                  <c:v>3.6629870463284142E-2</c:v>
                </c:pt>
                <c:pt idx="76">
                  <c:v>3.7650956848149786E-2</c:v>
                </c:pt>
                <c:pt idx="77">
                  <c:v>3.8990137957657378E-2</c:v>
                </c:pt>
                <c:pt idx="78">
                  <c:v>4.0358369588699983E-2</c:v>
                </c:pt>
                <c:pt idx="79">
                  <c:v>4.1584753985684397E-2</c:v>
                </c:pt>
                <c:pt idx="80">
                  <c:v>4.2657267192377279E-2</c:v>
                </c:pt>
                <c:pt idx="81">
                  <c:v>4.3565608378515641E-2</c:v>
                </c:pt>
                <c:pt idx="82">
                  <c:v>4.4299507870019905E-2</c:v>
                </c:pt>
                <c:pt idx="83">
                  <c:v>4.4848733915760608E-2</c:v>
                </c:pt>
                <c:pt idx="84">
                  <c:v>4.5203099717225914E-2</c:v>
                </c:pt>
                <c:pt idx="85">
                  <c:v>4.5352470715041893E-2</c:v>
                </c:pt>
                <c:pt idx="86">
                  <c:v>4.5286772127978825E-2</c:v>
                </c:pt>
                <c:pt idx="87">
                  <c:v>4.4995996738663724E-2</c:v>
                </c:pt>
                <c:pt idx="88">
                  <c:v>4.4470212920411978E-2</c:v>
                </c:pt>
                <c:pt idx="89">
                  <c:v>4.3699572899135841E-2</c:v>
                </c:pt>
                <c:pt idx="90">
                  <c:v>4.2674321244060565E-2</c:v>
                </c:pt>
                <c:pt idx="91">
                  <c:v>4.1384803581182794E-2</c:v>
                </c:pt>
                <c:pt idx="92">
                  <c:v>3.9821475522557215E-2</c:v>
                </c:pt>
                <c:pt idx="93">
                  <c:v>3.8001925491452759E-2</c:v>
                </c:pt>
                <c:pt idx="94">
                  <c:v>3.6175974874848915E-2</c:v>
                </c:pt>
                <c:pt idx="95">
                  <c:v>3.4489160771132177E-2</c:v>
                </c:pt>
                <c:pt idx="96">
                  <c:v>3.2950628425597817E-2</c:v>
                </c:pt>
                <c:pt idx="97">
                  <c:v>3.1568091764876627E-2</c:v>
                </c:pt>
                <c:pt idx="98">
                  <c:v>3.0349290680529606E-2</c:v>
                </c:pt>
                <c:pt idx="99">
                  <c:v>2.9301995990531182E-2</c:v>
                </c:pt>
                <c:pt idx="100">
                  <c:v>2.8434014592753076E-2</c:v>
                </c:pt>
                <c:pt idx="101">
                  <c:v>2.7753194813407323E-2</c:v>
                </c:pt>
                <c:pt idx="102">
                  <c:v>2.7267431954113963E-2</c:v>
                </c:pt>
                <c:pt idx="103">
                  <c:v>2.6984674041924617E-2</c:v>
                </c:pt>
                <c:pt idx="104">
                  <c:v>2.6912927785901264E-2</c:v>
                </c:pt>
                <c:pt idx="105">
                  <c:v>2.706026474438028E-2</c:v>
                </c:pt>
                <c:pt idx="106">
                  <c:v>2.7434827708915144E-2</c:v>
                </c:pt>
                <c:pt idx="107">
                  <c:v>2.804483730696683E-2</c:v>
                </c:pt>
                <c:pt idx="108">
                  <c:v>2.8898598830960243E-2</c:v>
                </c:pt>
                <c:pt idx="109">
                  <c:v>2.998501329847203E-2</c:v>
                </c:pt>
                <c:pt idx="110">
                  <c:v>3.1125582637533178E-2</c:v>
                </c:pt>
                <c:pt idx="111">
                  <c:v>3.2217435022142471E-2</c:v>
                </c:pt>
                <c:pt idx="112">
                  <c:v>3.3256304788267688E-2</c:v>
                </c:pt>
                <c:pt idx="113">
                  <c:v>3.4238976917186914E-2</c:v>
                </c:pt>
                <c:pt idx="114">
                  <c:v>3.5162237917440109E-2</c:v>
                </c:pt>
                <c:pt idx="115">
                  <c:v>3.6022876625660505E-2</c:v>
                </c:pt>
                <c:pt idx="116">
                  <c:v>3.6817685033010861E-2</c:v>
                </c:pt>
                <c:pt idx="117">
                  <c:v>3.7543459139577795E-2</c:v>
                </c:pt>
                <c:pt idx="118">
                  <c:v>3.8196999834949175E-2</c:v>
                </c:pt>
                <c:pt idx="119">
                  <c:v>3.8775113805480821E-2</c:v>
                </c:pt>
              </c:numCache>
            </c:numRef>
          </c:yVal>
          <c:smooth val="0"/>
          <c:extLst>
            <c:ext xmlns:c16="http://schemas.microsoft.com/office/drawing/2014/chart" uri="{C3380CC4-5D6E-409C-BE32-E72D297353CC}">
              <c16:uniqueId val="{00000000-B9E8-4C4F-BD01-BDBB01AB25EA}"/>
            </c:ext>
          </c:extLst>
        </c:ser>
        <c:ser>
          <c:idx val="1"/>
          <c:order val="1"/>
          <c:tx>
            <c:v>Bootstrapping</c:v>
          </c:tx>
          <c:spPr>
            <a:ln w="22225">
              <a:solidFill>
                <a:srgbClr val="FFC000"/>
              </a:solidFill>
            </a:ln>
          </c:spPr>
          <c:marker>
            <c:symbol val="none"/>
          </c:marker>
          <c:xVal>
            <c:numRef>
              <c:f>'Ex5'!$K$9:$K$128</c:f>
              <c:numCache>
                <c:formatCode>General</c:formatCode>
                <c:ptCount val="120"/>
                <c:pt idx="0">
                  <c:v>0.25</c:v>
                </c:pt>
                <c:pt idx="1">
                  <c:v>0.5</c:v>
                </c:pt>
                <c:pt idx="2">
                  <c:v>0.75</c:v>
                </c:pt>
                <c:pt idx="3">
                  <c:v>1</c:v>
                </c:pt>
                <c:pt idx="4">
                  <c:v>1.25</c:v>
                </c:pt>
                <c:pt idx="5">
                  <c:v>1.5</c:v>
                </c:pt>
                <c:pt idx="6">
                  <c:v>1.75</c:v>
                </c:pt>
                <c:pt idx="7">
                  <c:v>2</c:v>
                </c:pt>
                <c:pt idx="8">
                  <c:v>2.25</c:v>
                </c:pt>
                <c:pt idx="9">
                  <c:v>2.5</c:v>
                </c:pt>
                <c:pt idx="10">
                  <c:v>2.75</c:v>
                </c:pt>
                <c:pt idx="11">
                  <c:v>3</c:v>
                </c:pt>
                <c:pt idx="12">
                  <c:v>3.25</c:v>
                </c:pt>
                <c:pt idx="13">
                  <c:v>3.5</c:v>
                </c:pt>
                <c:pt idx="14">
                  <c:v>3.75</c:v>
                </c:pt>
                <c:pt idx="15">
                  <c:v>4</c:v>
                </c:pt>
                <c:pt idx="16">
                  <c:v>4.25</c:v>
                </c:pt>
                <c:pt idx="17">
                  <c:v>4.5</c:v>
                </c:pt>
                <c:pt idx="18">
                  <c:v>4.75</c:v>
                </c:pt>
                <c:pt idx="19">
                  <c:v>5</c:v>
                </c:pt>
                <c:pt idx="20">
                  <c:v>5.25</c:v>
                </c:pt>
                <c:pt idx="21">
                  <c:v>5.5</c:v>
                </c:pt>
                <c:pt idx="22">
                  <c:v>5.75</c:v>
                </c:pt>
                <c:pt idx="23">
                  <c:v>6</c:v>
                </c:pt>
                <c:pt idx="24">
                  <c:v>6.25</c:v>
                </c:pt>
                <c:pt idx="25">
                  <c:v>6.5</c:v>
                </c:pt>
                <c:pt idx="26">
                  <c:v>6.75</c:v>
                </c:pt>
                <c:pt idx="27">
                  <c:v>7</c:v>
                </c:pt>
                <c:pt idx="28">
                  <c:v>7.25</c:v>
                </c:pt>
                <c:pt idx="29">
                  <c:v>7.5</c:v>
                </c:pt>
                <c:pt idx="30">
                  <c:v>7.75</c:v>
                </c:pt>
                <c:pt idx="31">
                  <c:v>8</c:v>
                </c:pt>
                <c:pt idx="32">
                  <c:v>8.25</c:v>
                </c:pt>
                <c:pt idx="33">
                  <c:v>8.5</c:v>
                </c:pt>
                <c:pt idx="34">
                  <c:v>8.75</c:v>
                </c:pt>
                <c:pt idx="35">
                  <c:v>9</c:v>
                </c:pt>
                <c:pt idx="36">
                  <c:v>9.25</c:v>
                </c:pt>
                <c:pt idx="37">
                  <c:v>9.5</c:v>
                </c:pt>
                <c:pt idx="38">
                  <c:v>9.75</c:v>
                </c:pt>
                <c:pt idx="39">
                  <c:v>10</c:v>
                </c:pt>
                <c:pt idx="40">
                  <c:v>10.25</c:v>
                </c:pt>
                <c:pt idx="41">
                  <c:v>10.5</c:v>
                </c:pt>
                <c:pt idx="42">
                  <c:v>10.75</c:v>
                </c:pt>
                <c:pt idx="43">
                  <c:v>11</c:v>
                </c:pt>
                <c:pt idx="44">
                  <c:v>11.25</c:v>
                </c:pt>
                <c:pt idx="45">
                  <c:v>11.5</c:v>
                </c:pt>
                <c:pt idx="46">
                  <c:v>11.75</c:v>
                </c:pt>
                <c:pt idx="47">
                  <c:v>12</c:v>
                </c:pt>
                <c:pt idx="48">
                  <c:v>12.25</c:v>
                </c:pt>
                <c:pt idx="49">
                  <c:v>12.5</c:v>
                </c:pt>
                <c:pt idx="50">
                  <c:v>12.75</c:v>
                </c:pt>
                <c:pt idx="51">
                  <c:v>13</c:v>
                </c:pt>
                <c:pt idx="52">
                  <c:v>13.25</c:v>
                </c:pt>
                <c:pt idx="53">
                  <c:v>13.5</c:v>
                </c:pt>
                <c:pt idx="54">
                  <c:v>13.75</c:v>
                </c:pt>
                <c:pt idx="55">
                  <c:v>14</c:v>
                </c:pt>
                <c:pt idx="56">
                  <c:v>14.25</c:v>
                </c:pt>
                <c:pt idx="57">
                  <c:v>14.5</c:v>
                </c:pt>
                <c:pt idx="58">
                  <c:v>14.75</c:v>
                </c:pt>
                <c:pt idx="59">
                  <c:v>15</c:v>
                </c:pt>
                <c:pt idx="60">
                  <c:v>15.25</c:v>
                </c:pt>
                <c:pt idx="61">
                  <c:v>15.5</c:v>
                </c:pt>
                <c:pt idx="62">
                  <c:v>15.75</c:v>
                </c:pt>
                <c:pt idx="63">
                  <c:v>16</c:v>
                </c:pt>
                <c:pt idx="64">
                  <c:v>16.25</c:v>
                </c:pt>
                <c:pt idx="65">
                  <c:v>16.5</c:v>
                </c:pt>
                <c:pt idx="66">
                  <c:v>16.75</c:v>
                </c:pt>
                <c:pt idx="67">
                  <c:v>17</c:v>
                </c:pt>
                <c:pt idx="68">
                  <c:v>17.25</c:v>
                </c:pt>
                <c:pt idx="69">
                  <c:v>17.5</c:v>
                </c:pt>
                <c:pt idx="70">
                  <c:v>17.75</c:v>
                </c:pt>
                <c:pt idx="71">
                  <c:v>18</c:v>
                </c:pt>
                <c:pt idx="72">
                  <c:v>18.25</c:v>
                </c:pt>
                <c:pt idx="73">
                  <c:v>18.5</c:v>
                </c:pt>
                <c:pt idx="74">
                  <c:v>18.75</c:v>
                </c:pt>
                <c:pt idx="75">
                  <c:v>19</c:v>
                </c:pt>
                <c:pt idx="76">
                  <c:v>19.25</c:v>
                </c:pt>
                <c:pt idx="77">
                  <c:v>19.5</c:v>
                </c:pt>
                <c:pt idx="78">
                  <c:v>19.75</c:v>
                </c:pt>
                <c:pt idx="79">
                  <c:v>20</c:v>
                </c:pt>
                <c:pt idx="80">
                  <c:v>20.25</c:v>
                </c:pt>
                <c:pt idx="81">
                  <c:v>20.5</c:v>
                </c:pt>
                <c:pt idx="82">
                  <c:v>20.75</c:v>
                </c:pt>
                <c:pt idx="83">
                  <c:v>21</c:v>
                </c:pt>
                <c:pt idx="84">
                  <c:v>21.25</c:v>
                </c:pt>
                <c:pt idx="85">
                  <c:v>21.5</c:v>
                </c:pt>
                <c:pt idx="86">
                  <c:v>21.75</c:v>
                </c:pt>
                <c:pt idx="87">
                  <c:v>22</c:v>
                </c:pt>
                <c:pt idx="88">
                  <c:v>22.25</c:v>
                </c:pt>
                <c:pt idx="89">
                  <c:v>22.5</c:v>
                </c:pt>
                <c:pt idx="90">
                  <c:v>22.75</c:v>
                </c:pt>
                <c:pt idx="91">
                  <c:v>23</c:v>
                </c:pt>
                <c:pt idx="92">
                  <c:v>23.25</c:v>
                </c:pt>
                <c:pt idx="93">
                  <c:v>23.5</c:v>
                </c:pt>
                <c:pt idx="94">
                  <c:v>23.75</c:v>
                </c:pt>
                <c:pt idx="95">
                  <c:v>24</c:v>
                </c:pt>
                <c:pt idx="96">
                  <c:v>24.25</c:v>
                </c:pt>
                <c:pt idx="97">
                  <c:v>24.5</c:v>
                </c:pt>
                <c:pt idx="98">
                  <c:v>24.75</c:v>
                </c:pt>
                <c:pt idx="99">
                  <c:v>25</c:v>
                </c:pt>
                <c:pt idx="100">
                  <c:v>25.25</c:v>
                </c:pt>
                <c:pt idx="101">
                  <c:v>25.5</c:v>
                </c:pt>
                <c:pt idx="102">
                  <c:v>25.75</c:v>
                </c:pt>
                <c:pt idx="103">
                  <c:v>26</c:v>
                </c:pt>
                <c:pt idx="104">
                  <c:v>26.25</c:v>
                </c:pt>
                <c:pt idx="105">
                  <c:v>26.5</c:v>
                </c:pt>
                <c:pt idx="106">
                  <c:v>26.75</c:v>
                </c:pt>
                <c:pt idx="107">
                  <c:v>27</c:v>
                </c:pt>
                <c:pt idx="108">
                  <c:v>27.25</c:v>
                </c:pt>
                <c:pt idx="109">
                  <c:v>27.5</c:v>
                </c:pt>
                <c:pt idx="110">
                  <c:v>27.75</c:v>
                </c:pt>
                <c:pt idx="111">
                  <c:v>28</c:v>
                </c:pt>
                <c:pt idx="112">
                  <c:v>28.25</c:v>
                </c:pt>
                <c:pt idx="113">
                  <c:v>28.5</c:v>
                </c:pt>
                <c:pt idx="114">
                  <c:v>28.75</c:v>
                </c:pt>
                <c:pt idx="115">
                  <c:v>29</c:v>
                </c:pt>
                <c:pt idx="116">
                  <c:v>29.25</c:v>
                </c:pt>
                <c:pt idx="117">
                  <c:v>29.5</c:v>
                </c:pt>
                <c:pt idx="118">
                  <c:v>29.75</c:v>
                </c:pt>
                <c:pt idx="119">
                  <c:v>30</c:v>
                </c:pt>
              </c:numCache>
            </c:numRef>
          </c:xVal>
          <c:yVal>
            <c:numRef>
              <c:f>'Ex5'!$N$9:$N$128</c:f>
              <c:numCache>
                <c:formatCode>0.00000</c:formatCode>
                <c:ptCount val="120"/>
                <c:pt idx="0">
                  <c:v>1.5024790581064376E-3</c:v>
                </c:pt>
                <c:pt idx="1">
                  <c:v>3.1176562145880382E-3</c:v>
                </c:pt>
                <c:pt idx="2">
                  <c:v>7.7356793671650159E-3</c:v>
                </c:pt>
                <c:pt idx="3">
                  <c:v>1.1354487701290772E-2</c:v>
                </c:pt>
                <c:pt idx="4">
                  <c:v>1.4974919356377736E-2</c:v>
                </c:pt>
                <c:pt idx="5">
                  <c:v>1.7373242322277438E-2</c:v>
                </c:pt>
                <c:pt idx="6">
                  <c:v>2.0047642249588105E-2</c:v>
                </c:pt>
                <c:pt idx="7">
                  <c:v>2.3109640955623068E-2</c:v>
                </c:pt>
                <c:pt idx="8">
                  <c:v>2.6172792082594043E-2</c:v>
                </c:pt>
                <c:pt idx="9">
                  <c:v>2.7974006773094917E-2</c:v>
                </c:pt>
                <c:pt idx="10">
                  <c:v>3.0260224015888681E-2</c:v>
                </c:pt>
                <c:pt idx="11">
                  <c:v>3.2978070077825716E-2</c:v>
                </c:pt>
                <c:pt idx="12">
                  <c:v>3.5696817772619127E-2</c:v>
                </c:pt>
                <c:pt idx="13">
                  <c:v>3.2651121657784721E-2</c:v>
                </c:pt>
                <c:pt idx="14">
                  <c:v>3.221102077109661E-2</c:v>
                </c:pt>
                <c:pt idx="15">
                  <c:v>3.3796276174616224E-2</c:v>
                </c:pt>
                <c:pt idx="16">
                  <c:v>3.53818386722482E-2</c:v>
                </c:pt>
                <c:pt idx="17">
                  <c:v>3.6967708023242896E-2</c:v>
                </c:pt>
                <c:pt idx="18">
                  <c:v>3.8553883987132664E-2</c:v>
                </c:pt>
                <c:pt idx="19">
                  <c:v>4.0140366323667909E-2</c:v>
                </c:pt>
                <c:pt idx="20">
                  <c:v>4.1727154792801979E-2</c:v>
                </c:pt>
                <c:pt idx="21">
                  <c:v>4.0575970538287986E-2</c:v>
                </c:pt>
                <c:pt idx="22">
                  <c:v>4.0830596696957766E-2</c:v>
                </c:pt>
                <c:pt idx="23">
                  <c:v>4.2074931952298833E-2</c:v>
                </c:pt>
                <c:pt idx="24">
                  <c:v>4.3319455429903453E-2</c:v>
                </c:pt>
                <c:pt idx="25">
                  <c:v>4.4564167014303546E-2</c:v>
                </c:pt>
                <c:pt idx="26">
                  <c:v>4.580906659009365E-2</c:v>
                </c:pt>
                <c:pt idx="27">
                  <c:v>4.7054154041982432E-2</c:v>
                </c:pt>
                <c:pt idx="28">
                  <c:v>4.8299429254706094E-2</c:v>
                </c:pt>
                <c:pt idx="29">
                  <c:v>4.6027822732633172E-2</c:v>
                </c:pt>
                <c:pt idx="30">
                  <c:v>4.5663566115027976E-2</c:v>
                </c:pt>
                <c:pt idx="31">
                  <c:v>4.6586060264939277E-2</c:v>
                </c:pt>
                <c:pt idx="32">
                  <c:v>4.7508657637436613E-2</c:v>
                </c:pt>
                <c:pt idx="33">
                  <c:v>4.8431358185724083E-2</c:v>
                </c:pt>
                <c:pt idx="34">
                  <c:v>4.9354161862919188E-2</c:v>
                </c:pt>
                <c:pt idx="35">
                  <c:v>5.0277068622284649E-2</c:v>
                </c:pt>
                <c:pt idx="36">
                  <c:v>5.1200078417001471E-2</c:v>
                </c:pt>
                <c:pt idx="37">
                  <c:v>5.2123191200358132E-2</c:v>
                </c:pt>
                <c:pt idx="38">
                  <c:v>5.3046406925649325E-2</c:v>
                </c:pt>
                <c:pt idx="39">
                  <c:v>5.3969725546127112E-2</c:v>
                </c:pt>
                <c:pt idx="40">
                  <c:v>5.4893147015200761E-2</c:v>
                </c:pt>
                <c:pt idx="41">
                  <c:v>5.2808608995985828E-2</c:v>
                </c:pt>
                <c:pt idx="42">
                  <c:v>5.2423360444125322E-2</c:v>
                </c:pt>
                <c:pt idx="43">
                  <c:v>5.3149573221282331E-2</c:v>
                </c:pt>
                <c:pt idx="44">
                  <c:v>5.3875849723710623E-2</c:v>
                </c:pt>
                <c:pt idx="45">
                  <c:v>5.4602189928703027E-2</c:v>
                </c:pt>
                <c:pt idx="46">
                  <c:v>5.5328593813502192E-2</c:v>
                </c:pt>
                <c:pt idx="47">
                  <c:v>5.6055061355465341E-2</c:v>
                </c:pt>
                <c:pt idx="48">
                  <c:v>5.6781592531936376E-2</c:v>
                </c:pt>
                <c:pt idx="49">
                  <c:v>5.7508187320156168E-2</c:v>
                </c:pt>
                <c:pt idx="50">
                  <c:v>5.8234845697541449E-2</c:v>
                </c:pt>
                <c:pt idx="51">
                  <c:v>5.8961567641446333E-2</c:v>
                </c:pt>
                <c:pt idx="52">
                  <c:v>5.9688353129151661E-2</c:v>
                </c:pt>
                <c:pt idx="53">
                  <c:v>6.0415202138107027E-2</c:v>
                </c:pt>
                <c:pt idx="54">
                  <c:v>6.1142114645689638E-2</c:v>
                </c:pt>
                <c:pt idx="55">
                  <c:v>6.1869090629214085E-2</c:v>
                </c:pt>
                <c:pt idx="56">
                  <c:v>6.2596130066156164E-2</c:v>
                </c:pt>
                <c:pt idx="57">
                  <c:v>6.3323232933930385E-2</c:v>
                </c:pt>
                <c:pt idx="58">
                  <c:v>6.4050399209875764E-2</c:v>
                </c:pt>
                <c:pt idx="59">
                  <c:v>6.4777628871503179E-2</c:v>
                </c:pt>
                <c:pt idx="60">
                  <c:v>6.5504921896254675E-2</c:v>
                </c:pt>
                <c:pt idx="61">
                  <c:v>4.7457770868117866E-2</c:v>
                </c:pt>
                <c:pt idx="62">
                  <c:v>4.0397865435911839E-2</c:v>
                </c:pt>
                <c:pt idx="63">
                  <c:v>4.0291620875274603E-2</c:v>
                </c:pt>
                <c:pt idx="64">
                  <c:v>4.0185377700045599E-2</c:v>
                </c:pt>
                <c:pt idx="65">
                  <c:v>4.0079135910285668E-2</c:v>
                </c:pt>
                <c:pt idx="66">
                  <c:v>3.9972895506059647E-2</c:v>
                </c:pt>
                <c:pt idx="67">
                  <c:v>3.98666564874679E-2</c:v>
                </c:pt>
                <c:pt idx="68">
                  <c:v>3.976041885449666E-2</c:v>
                </c:pt>
                <c:pt idx="69">
                  <c:v>3.9654182607300026E-2</c:v>
                </c:pt>
                <c:pt idx="70">
                  <c:v>3.9547947745931289E-2</c:v>
                </c:pt>
                <c:pt idx="71">
                  <c:v>3.9441714270457506E-2</c:v>
                </c:pt>
                <c:pt idx="72">
                  <c:v>3.9335482180973713E-2</c:v>
                </c:pt>
                <c:pt idx="73">
                  <c:v>3.9229251477472804E-2</c:v>
                </c:pt>
                <c:pt idx="74">
                  <c:v>3.9123022160112875E-2</c:v>
                </c:pt>
                <c:pt idx="75">
                  <c:v>3.9016794228934781E-2</c:v>
                </c:pt>
                <c:pt idx="76">
                  <c:v>3.8910567684005137E-2</c:v>
                </c:pt>
                <c:pt idx="77">
                  <c:v>4.1895959647306302E-2</c:v>
                </c:pt>
                <c:pt idx="78">
                  <c:v>4.3056307668118077E-2</c:v>
                </c:pt>
                <c:pt idx="79">
                  <c:v>4.3059413014664649E-2</c:v>
                </c:pt>
                <c:pt idx="80">
                  <c:v>4.3062518362463109E-2</c:v>
                </c:pt>
                <c:pt idx="81">
                  <c:v>4.3065623711405987E-2</c:v>
                </c:pt>
                <c:pt idx="82">
                  <c:v>4.3068729061525257E-2</c:v>
                </c:pt>
                <c:pt idx="83">
                  <c:v>4.3071834412837351E-2</c:v>
                </c:pt>
                <c:pt idx="84">
                  <c:v>4.3074939765303188E-2</c:v>
                </c:pt>
                <c:pt idx="85">
                  <c:v>4.3078045118934316E-2</c:v>
                </c:pt>
                <c:pt idx="86">
                  <c:v>4.3081150473814223E-2</c:v>
                </c:pt>
                <c:pt idx="87">
                  <c:v>4.3084255829833218E-2</c:v>
                </c:pt>
                <c:pt idx="88">
                  <c:v>4.3087361187040596E-2</c:v>
                </c:pt>
                <c:pt idx="89">
                  <c:v>4.3090466545419481E-2</c:v>
                </c:pt>
                <c:pt idx="90">
                  <c:v>4.3093571904939232E-2</c:v>
                </c:pt>
                <c:pt idx="91">
                  <c:v>4.3096677265715755E-2</c:v>
                </c:pt>
                <c:pt idx="92">
                  <c:v>4.3099782627647354E-2</c:v>
                </c:pt>
                <c:pt idx="93">
                  <c:v>3.4870840069874731E-2</c:v>
                </c:pt>
                <c:pt idx="94">
                  <c:v>3.1556253922305544E-2</c:v>
                </c:pt>
                <c:pt idx="95">
                  <c:v>3.1318062320218498E-2</c:v>
                </c:pt>
                <c:pt idx="96">
                  <c:v>3.1079877739491835E-2</c:v>
                </c:pt>
                <c:pt idx="97">
                  <c:v>3.0841700180762377E-2</c:v>
                </c:pt>
                <c:pt idx="98">
                  <c:v>3.0603529645012451E-2</c:v>
                </c:pt>
                <c:pt idx="99">
                  <c:v>3.0365366133015659E-2</c:v>
                </c:pt>
                <c:pt idx="100">
                  <c:v>3.0127209645564701E-2</c:v>
                </c:pt>
                <c:pt idx="101">
                  <c:v>2.9889060183517557E-2</c:v>
                </c:pt>
                <c:pt idx="102">
                  <c:v>2.9650917747674033E-2</c:v>
                </c:pt>
                <c:pt idx="103">
                  <c:v>2.9412782338841037E-2</c:v>
                </c:pt>
                <c:pt idx="104">
                  <c:v>2.9174653957926733E-2</c:v>
                </c:pt>
                <c:pt idx="105">
                  <c:v>2.8936532605554621E-2</c:v>
                </c:pt>
                <c:pt idx="106">
                  <c:v>2.8698418282724791E-2</c:v>
                </c:pt>
                <c:pt idx="107">
                  <c:v>2.8460310990200632E-2</c:v>
                </c:pt>
                <c:pt idx="108">
                  <c:v>2.8222210728785058E-2</c:v>
                </c:pt>
                <c:pt idx="109">
                  <c:v>3.4661127358522226E-2</c:v>
                </c:pt>
                <c:pt idx="110">
                  <c:v>3.7102274687675241E-2</c:v>
                </c:pt>
                <c:pt idx="111">
                  <c:v>3.7031669579999704E-2</c:v>
                </c:pt>
                <c:pt idx="112">
                  <c:v>3.6961065085386657E-2</c:v>
                </c:pt>
                <c:pt idx="113">
                  <c:v>3.689046120374373E-2</c:v>
                </c:pt>
                <c:pt idx="114">
                  <c:v>3.6819857935135758E-2</c:v>
                </c:pt>
                <c:pt idx="115">
                  <c:v>3.6749255279588056E-2</c:v>
                </c:pt>
                <c:pt idx="116">
                  <c:v>3.6678653237069536E-2</c:v>
                </c:pt>
                <c:pt idx="117">
                  <c:v>3.6608051807727637E-2</c:v>
                </c:pt>
                <c:pt idx="118">
                  <c:v>3.6537450991380283E-2</c:v>
                </c:pt>
                <c:pt idx="119">
                  <c:v>3.6466850788221095E-2</c:v>
                </c:pt>
              </c:numCache>
            </c:numRef>
          </c:yVal>
          <c:smooth val="0"/>
          <c:extLst>
            <c:ext xmlns:c16="http://schemas.microsoft.com/office/drawing/2014/chart" uri="{C3380CC4-5D6E-409C-BE32-E72D297353CC}">
              <c16:uniqueId val="{00000001-B9E8-4C4F-BD01-BDBB01AB25EA}"/>
            </c:ext>
          </c:extLst>
        </c:ser>
        <c:dLbls>
          <c:showLegendKey val="0"/>
          <c:showVal val="0"/>
          <c:showCatName val="0"/>
          <c:showSerName val="0"/>
          <c:showPercent val="0"/>
          <c:showBubbleSize val="0"/>
        </c:dLbls>
        <c:axId val="183885824"/>
        <c:axId val="183887744"/>
      </c:scatterChart>
      <c:valAx>
        <c:axId val="183885824"/>
        <c:scaling>
          <c:orientation val="minMax"/>
          <c:max val="30"/>
          <c:min val="0"/>
        </c:scaling>
        <c:delete val="0"/>
        <c:axPos val="b"/>
        <c:title>
          <c:tx>
            <c:rich>
              <a:bodyPr/>
              <a:lstStyle/>
              <a:p>
                <a:pPr>
                  <a:defRPr/>
                </a:pPr>
                <a:r>
                  <a:rPr lang="en-US"/>
                  <a:t>Years to maturity</a:t>
                </a:r>
              </a:p>
            </c:rich>
          </c:tx>
          <c:overlay val="0"/>
        </c:title>
        <c:numFmt formatCode="0" sourceLinked="0"/>
        <c:majorTickMark val="out"/>
        <c:minorTickMark val="none"/>
        <c:tickLblPos val="nextTo"/>
        <c:crossAx val="183887744"/>
        <c:crosses val="autoZero"/>
        <c:crossBetween val="midCat"/>
      </c:valAx>
      <c:valAx>
        <c:axId val="183887744"/>
        <c:scaling>
          <c:orientation val="minMax"/>
        </c:scaling>
        <c:delete val="0"/>
        <c:axPos val="l"/>
        <c:majorGridlines/>
        <c:numFmt formatCode="0.000" sourceLinked="0"/>
        <c:majorTickMark val="out"/>
        <c:minorTickMark val="none"/>
        <c:tickLblPos val="nextTo"/>
        <c:crossAx val="183885824"/>
        <c:crosses val="autoZero"/>
        <c:crossBetween val="midCat"/>
      </c:valAx>
    </c:plotArea>
    <c:legend>
      <c:legendPos val="r"/>
      <c:layout>
        <c:manualLayout>
          <c:xMode val="edge"/>
          <c:yMode val="edge"/>
          <c:x val="0.11766673722757537"/>
          <c:y val="0.13131755138039086"/>
          <c:w val="0.23268574756165844"/>
          <c:h val="8.2939617569028762E-2"/>
        </c:manualLayout>
      </c:layout>
      <c:overlay val="0"/>
    </c:legend>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9</xdr:col>
      <xdr:colOff>15240</xdr:colOff>
      <xdr:row>4</xdr:row>
      <xdr:rowOff>7620</xdr:rowOff>
    </xdr:from>
    <xdr:to>
      <xdr:col>12</xdr:col>
      <xdr:colOff>588839</xdr:colOff>
      <xdr:row>8</xdr:row>
      <xdr:rowOff>52862</xdr:rowOff>
    </xdr:to>
    <mc:AlternateContent xmlns:mc="http://schemas.openxmlformats.org/markup-compatibility/2006" xmlns:a14="http://schemas.microsoft.com/office/drawing/2010/main">
      <mc:Choice Requires="a14">
        <xdr:sp macro="" textlink="">
          <xdr:nvSpPr>
            <xdr:cNvPr id="2" name="Object 1">
              <a:extLst>
                <a:ext uri="{63B3BB69-23CF-44E3-9099-C40C66FF867C}">
                  <a14:compatExt spid="_x0000_s9217"/>
                </a:ext>
                <a:ext uri="{FF2B5EF4-FFF2-40B4-BE49-F238E27FC236}">
                  <a16:creationId xmlns:a16="http://schemas.microsoft.com/office/drawing/2014/main" id="{00000000-0008-0000-0000-000001240000}"/>
                </a:ext>
              </a:extLst>
            </xdr:cNvPr>
            <xdr:cNvSpPr txBox="1"/>
          </xdr:nvSpPr>
          <xdr:spPr>
            <a:xfrm>
              <a:off x="8721090" y="788670"/>
              <a:ext cx="2757999" cy="705642"/>
            </a:xfrm>
            <a:prstGeom prst="rect">
              <a:avLst/>
            </a:prstGeom>
            <a:solidFill>
              <a:srgbClr val="92D050"/>
            </a:solidFill>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n-US" sz="1400" i="1">
                            <a:solidFill>
                              <a:srgbClr val="000000"/>
                            </a:solidFill>
                            <a:latin typeface="Cambria Math" panose="02040503050406030204" pitchFamily="18" charset="0"/>
                          </a:rPr>
                        </m:ctrlPr>
                      </m:sSubPr>
                      <m:e>
                        <m:r>
                          <a:rPr lang="en-US" sz="1400" i="1">
                            <a:solidFill>
                              <a:srgbClr val="000000"/>
                            </a:solidFill>
                            <a:latin typeface="Cambria Math" panose="02040503050406030204" pitchFamily="18" charset="0"/>
                          </a:rPr>
                          <m:t>𝑃</m:t>
                        </m:r>
                      </m:e>
                      <m:sub>
                        <m:r>
                          <a:rPr lang="en-US" sz="1400" i="1">
                            <a:solidFill>
                              <a:srgbClr val="000000"/>
                            </a:solidFill>
                            <a:latin typeface="Cambria Math" panose="02040503050406030204" pitchFamily="18" charset="0"/>
                          </a:rPr>
                          <m:t>𝑖</m:t>
                        </m:r>
                      </m:sub>
                    </m:sSub>
                    <m:r>
                      <a:rPr lang="en-US" sz="1400" i="1">
                        <a:solidFill>
                          <a:srgbClr val="000000"/>
                        </a:solidFill>
                        <a:latin typeface="Cambria Math" panose="02040503050406030204" pitchFamily="18" charset="0"/>
                      </a:rPr>
                      <m:t>=</m:t>
                    </m:r>
                    <m:nary>
                      <m:naryPr>
                        <m:chr m:val="∑"/>
                        <m:ctrlPr>
                          <a:rPr lang="en-US" sz="1400" i="1">
                            <a:solidFill>
                              <a:srgbClr val="000000"/>
                            </a:solidFill>
                            <a:latin typeface="Cambria Math" panose="02040503050406030204" pitchFamily="18" charset="0"/>
                          </a:rPr>
                        </m:ctrlPr>
                      </m:naryPr>
                      <m:sub>
                        <m:r>
                          <a:rPr lang="en-US" sz="1400" i="1">
                            <a:solidFill>
                              <a:srgbClr val="000000"/>
                            </a:solidFill>
                            <a:latin typeface="Cambria Math" panose="02040503050406030204" pitchFamily="18" charset="0"/>
                          </a:rPr>
                          <m:t>𝑡</m:t>
                        </m:r>
                        <m:r>
                          <a:rPr lang="en-US" sz="1400" i="1">
                            <a:solidFill>
                              <a:srgbClr val="000000"/>
                            </a:solidFill>
                            <a:latin typeface="Cambria Math" panose="02040503050406030204" pitchFamily="18" charset="0"/>
                          </a:rPr>
                          <m:t>=1</m:t>
                        </m:r>
                      </m:sub>
                      <m:sup>
                        <m:r>
                          <a:rPr lang="en-US" sz="1400" i="1">
                            <a:solidFill>
                              <a:srgbClr val="000000"/>
                            </a:solidFill>
                            <a:latin typeface="Cambria Math" panose="02040503050406030204" pitchFamily="18" charset="0"/>
                          </a:rPr>
                          <m:t>𝑖</m:t>
                        </m:r>
                        <m:r>
                          <a:rPr lang="en-US" sz="1400" i="1">
                            <a:solidFill>
                              <a:srgbClr val="000000"/>
                            </a:solidFill>
                            <a:latin typeface="Cambria Math" panose="02040503050406030204" pitchFamily="18" charset="0"/>
                          </a:rPr>
                          <m:t>−1</m:t>
                        </m:r>
                      </m:sup>
                      <m:e>
                        <m:f>
                          <m:fPr>
                            <m:ctrlPr>
                              <a:rPr lang="en-US" sz="1400" i="1">
                                <a:solidFill>
                                  <a:srgbClr val="000000"/>
                                </a:solidFill>
                                <a:latin typeface="Cambria Math" panose="02040503050406030204" pitchFamily="18" charset="0"/>
                              </a:rPr>
                            </m:ctrlPr>
                          </m:fPr>
                          <m:num>
                            <m:sSub>
                              <m:sSubPr>
                                <m:ctrlPr>
                                  <a:rPr lang="en-US" sz="1400" i="1">
                                    <a:solidFill>
                                      <a:srgbClr val="000000"/>
                                    </a:solidFill>
                                    <a:latin typeface="Cambria Math" panose="02040503050406030204" pitchFamily="18" charset="0"/>
                                  </a:rPr>
                                </m:ctrlPr>
                              </m:sSubPr>
                              <m:e>
                                <m:r>
                                  <a:rPr lang="en-US" sz="1400" i="1">
                                    <a:solidFill>
                                      <a:srgbClr val="000000"/>
                                    </a:solidFill>
                                    <a:latin typeface="Cambria Math" panose="02040503050406030204" pitchFamily="18" charset="0"/>
                                  </a:rPr>
                                  <m:t>𝐶</m:t>
                                </m:r>
                              </m:e>
                              <m:sub>
                                <m:r>
                                  <a:rPr lang="en-US" sz="1400" i="1">
                                    <a:solidFill>
                                      <a:srgbClr val="000000"/>
                                    </a:solidFill>
                                    <a:latin typeface="Cambria Math" panose="02040503050406030204" pitchFamily="18" charset="0"/>
                                  </a:rPr>
                                  <m:t>𝑖</m:t>
                                </m:r>
                              </m:sub>
                            </m:sSub>
                          </m:num>
                          <m:den>
                            <m:r>
                              <a:rPr lang="en-US" sz="1400" i="1">
                                <a:solidFill>
                                  <a:srgbClr val="000000"/>
                                </a:solidFill>
                                <a:latin typeface="Cambria Math" panose="02040503050406030204" pitchFamily="18" charset="0"/>
                              </a:rPr>
                              <m:t>(1+</m:t>
                            </m:r>
                            <m:sSub>
                              <m:sSubPr>
                                <m:ctrlPr>
                                  <a:rPr lang="en-US" sz="1400" i="1">
                                    <a:solidFill>
                                      <a:srgbClr val="000000"/>
                                    </a:solidFill>
                                    <a:latin typeface="Cambria Math" panose="02040503050406030204" pitchFamily="18" charset="0"/>
                                  </a:rPr>
                                </m:ctrlPr>
                              </m:sSubPr>
                              <m:e>
                                <m:r>
                                  <a:rPr lang="en-US" sz="1400" b="0" i="1">
                                    <a:solidFill>
                                      <a:srgbClr val="000000"/>
                                    </a:solidFill>
                                    <a:latin typeface="Cambria Math" panose="02040503050406030204" pitchFamily="18" charset="0"/>
                                  </a:rPr>
                                  <m:t>𝑧</m:t>
                                </m:r>
                              </m:e>
                              <m:sub>
                                <m:r>
                                  <a:rPr lang="en-US" sz="1400" i="1">
                                    <a:solidFill>
                                      <a:srgbClr val="000000"/>
                                    </a:solidFill>
                                    <a:latin typeface="Cambria Math" panose="02040503050406030204" pitchFamily="18" charset="0"/>
                                  </a:rPr>
                                  <m:t>𝑡</m:t>
                                </m:r>
                              </m:sub>
                            </m:sSub>
                            <m:r>
                              <a:rPr lang="en-US" sz="1400" i="1">
                                <a:solidFill>
                                  <a:srgbClr val="000000"/>
                                </a:solidFill>
                                <a:latin typeface="Cambria Math" panose="02040503050406030204" pitchFamily="18" charset="0"/>
                              </a:rPr>
                              <m:t>/2</m:t>
                            </m:r>
                            <m:sSup>
                              <m:sSupPr>
                                <m:ctrlPr>
                                  <a:rPr lang="en-US" sz="1400" i="1">
                                    <a:solidFill>
                                      <a:srgbClr val="000000"/>
                                    </a:solidFill>
                                    <a:latin typeface="Cambria Math" panose="02040503050406030204" pitchFamily="18" charset="0"/>
                                  </a:rPr>
                                </m:ctrlPr>
                              </m:sSupPr>
                              <m:e>
                                <m:r>
                                  <a:rPr lang="en-US" sz="1400" i="1">
                                    <a:solidFill>
                                      <a:srgbClr val="000000"/>
                                    </a:solidFill>
                                    <a:latin typeface="Cambria Math" panose="02040503050406030204" pitchFamily="18" charset="0"/>
                                  </a:rPr>
                                  <m:t>)</m:t>
                                </m:r>
                              </m:e>
                              <m:sup>
                                <m:r>
                                  <a:rPr lang="en-US" sz="1400" i="1">
                                    <a:solidFill>
                                      <a:srgbClr val="000000"/>
                                    </a:solidFill>
                                    <a:latin typeface="Cambria Math" panose="02040503050406030204" pitchFamily="18" charset="0"/>
                                  </a:rPr>
                                  <m:t>𝑡</m:t>
                                </m:r>
                              </m:sup>
                            </m:sSup>
                          </m:den>
                        </m:f>
                      </m:e>
                    </m:nary>
                    <m:r>
                      <a:rPr lang="en-US" sz="1400" i="1">
                        <a:solidFill>
                          <a:srgbClr val="000000"/>
                        </a:solidFill>
                        <a:latin typeface="Cambria Math" panose="02040503050406030204" pitchFamily="18" charset="0"/>
                      </a:rPr>
                      <m:t>+</m:t>
                    </m:r>
                    <m:f>
                      <m:fPr>
                        <m:ctrlPr>
                          <a:rPr lang="en-US" sz="1400" i="1">
                            <a:solidFill>
                              <a:srgbClr val="000000"/>
                            </a:solidFill>
                            <a:latin typeface="Cambria Math" panose="02040503050406030204" pitchFamily="18" charset="0"/>
                          </a:rPr>
                        </m:ctrlPr>
                      </m:fPr>
                      <m:num>
                        <m:sSub>
                          <m:sSubPr>
                            <m:ctrlPr>
                              <a:rPr lang="en-US" sz="1400" i="1">
                                <a:solidFill>
                                  <a:srgbClr val="000000"/>
                                </a:solidFill>
                                <a:latin typeface="Cambria Math" panose="02040503050406030204" pitchFamily="18" charset="0"/>
                              </a:rPr>
                            </m:ctrlPr>
                          </m:sSubPr>
                          <m:e>
                            <m:r>
                              <a:rPr lang="en-US" sz="1400" i="1">
                                <a:solidFill>
                                  <a:srgbClr val="000000"/>
                                </a:solidFill>
                                <a:latin typeface="Cambria Math" panose="02040503050406030204" pitchFamily="18" charset="0"/>
                              </a:rPr>
                              <m:t>𝐶</m:t>
                            </m:r>
                          </m:e>
                          <m:sub>
                            <m:r>
                              <a:rPr lang="en-US" sz="1400" i="1">
                                <a:solidFill>
                                  <a:srgbClr val="000000"/>
                                </a:solidFill>
                                <a:latin typeface="Cambria Math" panose="02040503050406030204" pitchFamily="18" charset="0"/>
                              </a:rPr>
                              <m:t>𝑖</m:t>
                            </m:r>
                          </m:sub>
                        </m:sSub>
                        <m:r>
                          <a:rPr lang="en-US" sz="1400" i="1">
                            <a:solidFill>
                              <a:srgbClr val="000000"/>
                            </a:solidFill>
                            <a:latin typeface="Cambria Math" panose="02040503050406030204" pitchFamily="18" charset="0"/>
                          </a:rPr>
                          <m:t>+</m:t>
                        </m:r>
                        <m:r>
                          <a:rPr lang="en-US" sz="1400" i="1">
                            <a:solidFill>
                              <a:srgbClr val="000000"/>
                            </a:solidFill>
                            <a:latin typeface="Cambria Math" panose="02040503050406030204" pitchFamily="18" charset="0"/>
                          </a:rPr>
                          <m:t>𝐹</m:t>
                        </m:r>
                      </m:num>
                      <m:den>
                        <m:r>
                          <a:rPr lang="en-US" sz="1400" i="1">
                            <a:solidFill>
                              <a:srgbClr val="000000"/>
                            </a:solidFill>
                            <a:latin typeface="Cambria Math" panose="02040503050406030204" pitchFamily="18" charset="0"/>
                          </a:rPr>
                          <m:t>(1+</m:t>
                        </m:r>
                        <m:r>
                          <a:rPr lang="en-US" sz="1400" b="0" i="1">
                            <a:solidFill>
                              <a:srgbClr val="000000"/>
                            </a:solidFill>
                            <a:latin typeface="Cambria Math" panose="02040503050406030204" pitchFamily="18" charset="0"/>
                          </a:rPr>
                          <m:t>𝑧</m:t>
                        </m:r>
                        <m:r>
                          <a:rPr lang="en-US" sz="1400" i="1">
                            <a:solidFill>
                              <a:srgbClr val="000000"/>
                            </a:solidFill>
                            <a:latin typeface="Cambria Math" panose="02040503050406030204" pitchFamily="18" charset="0"/>
                          </a:rPr>
                          <m:t>/2</m:t>
                        </m:r>
                        <m:sSup>
                          <m:sSupPr>
                            <m:ctrlPr>
                              <a:rPr lang="en-US" sz="1400" i="1">
                                <a:solidFill>
                                  <a:srgbClr val="000000"/>
                                </a:solidFill>
                                <a:latin typeface="Cambria Math" panose="02040503050406030204" pitchFamily="18" charset="0"/>
                              </a:rPr>
                            </m:ctrlPr>
                          </m:sSupPr>
                          <m:e>
                            <m:r>
                              <a:rPr lang="en-US" sz="1400" i="1">
                                <a:solidFill>
                                  <a:srgbClr val="000000"/>
                                </a:solidFill>
                                <a:latin typeface="Cambria Math" panose="02040503050406030204" pitchFamily="18" charset="0"/>
                              </a:rPr>
                              <m:t>)</m:t>
                            </m:r>
                          </m:e>
                          <m:sup>
                            <m:r>
                              <a:rPr lang="en-US" sz="1400" i="1">
                                <a:solidFill>
                                  <a:srgbClr val="000000"/>
                                </a:solidFill>
                                <a:latin typeface="Cambria Math" panose="02040503050406030204" pitchFamily="18" charset="0"/>
                              </a:rPr>
                              <m:t>𝑖</m:t>
                            </m:r>
                          </m:sup>
                        </m:sSup>
                      </m:den>
                    </m:f>
                  </m:oMath>
                </m:oMathPara>
              </a14:m>
              <a:endParaRPr lang="en-US" sz="1400"/>
            </a:p>
          </xdr:txBody>
        </xdr:sp>
      </mc:Choice>
      <mc:Fallback xmlns="">
        <xdr:sp macro="" textlink="">
          <xdr:nvSpPr>
            <xdr:cNvPr id="2" name="Object 1">
              <a:extLst>
                <a:ext uri="{63B3BB69-23CF-44E3-9099-C40C66FF867C}">
                  <a14:compatExt xmlns:a14="http://schemas.microsoft.com/office/drawing/2010/main" spid="_x0000_s9217"/>
                </a:ext>
                <a:ext uri="{FF2B5EF4-FFF2-40B4-BE49-F238E27FC236}">
                  <a16:creationId xmlns:a16="http://schemas.microsoft.com/office/drawing/2014/main" id="{00000000-0008-0000-0000-000001240000}"/>
                </a:ext>
              </a:extLst>
            </xdr:cNvPr>
            <xdr:cNvSpPr txBox="1"/>
          </xdr:nvSpPr>
          <xdr:spPr>
            <a:xfrm>
              <a:off x="8721090" y="788670"/>
              <a:ext cx="2757999" cy="705642"/>
            </a:xfrm>
            <a:prstGeom prst="rect">
              <a:avLst/>
            </a:prstGeom>
            <a:solidFill>
              <a:srgbClr val="92D050"/>
            </a:solidFill>
          </xdr:spPr>
          <xdr:txBody>
            <a:bodyPr vertOverflow="clip" horzOverflow="clip" wrap="none">
              <a:spAutoFit/>
            </a:bodyPr>
            <a:lstStyle/>
            <a:p>
              <a:pPr/>
              <a:r>
                <a:rPr lang="en-US" sz="1400" i="0">
                  <a:solidFill>
                    <a:srgbClr val="000000"/>
                  </a:solidFill>
                  <a:latin typeface="Cambria Math" panose="02040503050406030204" pitchFamily="18" charset="0"/>
                </a:rPr>
                <a:t>𝑃_𝑖=∑24_(𝑡=1)^(𝑖−1)▒𝐶_𝑖/((1+</a:t>
              </a:r>
              <a:r>
                <a:rPr lang="en-US" sz="1400" b="0" i="0">
                  <a:solidFill>
                    <a:srgbClr val="000000"/>
                  </a:solidFill>
                  <a:latin typeface="Cambria Math" panose="02040503050406030204" pitchFamily="18" charset="0"/>
                </a:rPr>
                <a:t>𝑧_</a:t>
              </a:r>
              <a:r>
                <a:rPr lang="en-US" sz="1400" i="0">
                  <a:solidFill>
                    <a:srgbClr val="000000"/>
                  </a:solidFill>
                  <a:latin typeface="Cambria Math" panose="02040503050406030204" pitchFamily="18" charset="0"/>
                </a:rPr>
                <a:t>𝑡/2)^𝑡 )+(𝐶_𝑖+𝐹)/((1+</a:t>
              </a:r>
              <a:r>
                <a:rPr lang="en-US" sz="1400" b="0" i="0">
                  <a:solidFill>
                    <a:srgbClr val="000000"/>
                  </a:solidFill>
                  <a:latin typeface="Cambria Math" panose="02040503050406030204" pitchFamily="18" charset="0"/>
                </a:rPr>
                <a:t>𝑧</a:t>
              </a:r>
              <a:r>
                <a:rPr lang="en-US" sz="1400" i="0">
                  <a:solidFill>
                    <a:srgbClr val="000000"/>
                  </a:solidFill>
                  <a:latin typeface="Cambria Math" panose="02040503050406030204" pitchFamily="18" charset="0"/>
                </a:rPr>
                <a:t>/2)^𝑖 )</a:t>
              </a:r>
              <a:endParaRPr lang="en-US" sz="1400"/>
            </a:p>
          </xdr:txBody>
        </xdr:sp>
      </mc:Fallback>
    </mc:AlternateContent>
    <xdr:clientData/>
  </xdr:twoCellAnchor>
  <xdr:twoCellAnchor>
    <xdr:from>
      <xdr:col>9</xdr:col>
      <xdr:colOff>0</xdr:colOff>
      <xdr:row>9</xdr:row>
      <xdr:rowOff>0</xdr:rowOff>
    </xdr:from>
    <xdr:to>
      <xdr:col>13</xdr:col>
      <xdr:colOff>67485</xdr:colOff>
      <xdr:row>12</xdr:row>
      <xdr:rowOff>156926</xdr:rowOff>
    </xdr:to>
    <mc:AlternateContent xmlns:mc="http://schemas.openxmlformats.org/markup-compatibility/2006" xmlns:a14="http://schemas.microsoft.com/office/drawing/2010/main">
      <mc:Choice Requires="a14">
        <xdr:sp macro="" textlink="">
          <xdr:nvSpPr>
            <xdr:cNvPr id="3" name="Object 2">
              <a:extLst>
                <a:ext uri="{63B3BB69-23CF-44E3-9099-C40C66FF867C}">
                  <a14:compatExt spid="_x0000_s9218"/>
                </a:ext>
                <a:ext uri="{FF2B5EF4-FFF2-40B4-BE49-F238E27FC236}">
                  <a16:creationId xmlns:a16="http://schemas.microsoft.com/office/drawing/2014/main" id="{00000000-0008-0000-0000-000002240000}"/>
                </a:ext>
              </a:extLst>
            </xdr:cNvPr>
            <xdr:cNvSpPr txBox="1"/>
          </xdr:nvSpPr>
          <xdr:spPr>
            <a:xfrm>
              <a:off x="8705850" y="1606550"/>
              <a:ext cx="2874185" cy="664926"/>
            </a:xfrm>
            <a:prstGeom prst="rect">
              <a:avLst/>
            </a:prstGeom>
            <a:solidFill>
              <a:srgbClr val="92D050"/>
            </a:solidFill>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n-US" sz="1400" i="1">
                            <a:solidFill>
                              <a:srgbClr val="000000"/>
                            </a:solidFill>
                            <a:latin typeface="Cambria Math" panose="02040503050406030204" pitchFamily="18" charset="0"/>
                          </a:rPr>
                        </m:ctrlPr>
                      </m:sSubPr>
                      <m:e>
                        <m:r>
                          <a:rPr lang="en-US" sz="1400" b="0" i="1">
                            <a:solidFill>
                              <a:srgbClr val="000000"/>
                            </a:solidFill>
                            <a:latin typeface="Cambria Math" panose="02040503050406030204" pitchFamily="18" charset="0"/>
                          </a:rPr>
                          <m:t>𝑧</m:t>
                        </m:r>
                      </m:e>
                      <m:sub>
                        <m:r>
                          <a:rPr lang="en-US" sz="1400" i="1">
                            <a:solidFill>
                              <a:srgbClr val="000000"/>
                            </a:solidFill>
                            <a:latin typeface="Cambria Math" panose="02040503050406030204" pitchFamily="18" charset="0"/>
                          </a:rPr>
                          <m:t>𝑖</m:t>
                        </m:r>
                      </m:sub>
                    </m:sSub>
                    <m:r>
                      <a:rPr lang="en-US" sz="1400" i="1">
                        <a:solidFill>
                          <a:srgbClr val="000000"/>
                        </a:solidFill>
                        <a:latin typeface="Cambria Math" panose="02040503050406030204" pitchFamily="18" charset="0"/>
                      </a:rPr>
                      <m:t>=</m:t>
                    </m:r>
                    <m:d>
                      <m:dPr>
                        <m:begChr m:val="["/>
                        <m:endChr m:val="]"/>
                        <m:ctrlPr>
                          <a:rPr lang="en-US" sz="1400" i="1">
                            <a:solidFill>
                              <a:srgbClr val="000000"/>
                            </a:solidFill>
                            <a:latin typeface="Cambria Math" panose="02040503050406030204" pitchFamily="18" charset="0"/>
                          </a:rPr>
                        </m:ctrlPr>
                      </m:dPr>
                      <m:e>
                        <m:sSup>
                          <m:sSupPr>
                            <m:ctrlPr>
                              <a:rPr lang="en-US" sz="1400" i="1">
                                <a:solidFill>
                                  <a:srgbClr val="000000"/>
                                </a:solidFill>
                                <a:latin typeface="Cambria Math" panose="02040503050406030204" pitchFamily="18" charset="0"/>
                              </a:rPr>
                            </m:ctrlPr>
                          </m:sSupPr>
                          <m:e>
                            <m:d>
                              <m:dPr>
                                <m:ctrlPr>
                                  <a:rPr lang="en-US" sz="1400" i="1">
                                    <a:solidFill>
                                      <a:srgbClr val="000000"/>
                                    </a:solidFill>
                                    <a:latin typeface="Cambria Math" panose="02040503050406030204" pitchFamily="18" charset="0"/>
                                  </a:rPr>
                                </m:ctrlPr>
                              </m:dPr>
                              <m:e>
                                <m:f>
                                  <m:fPr>
                                    <m:ctrlPr>
                                      <a:rPr lang="en-US" sz="1400" i="1">
                                        <a:solidFill>
                                          <a:srgbClr val="000000"/>
                                        </a:solidFill>
                                        <a:latin typeface="Cambria Math" panose="02040503050406030204" pitchFamily="18" charset="0"/>
                                      </a:rPr>
                                    </m:ctrlPr>
                                  </m:fPr>
                                  <m:num>
                                    <m:sSub>
                                      <m:sSubPr>
                                        <m:ctrlPr>
                                          <a:rPr lang="en-US" sz="1400" i="1">
                                            <a:solidFill>
                                              <a:srgbClr val="000000"/>
                                            </a:solidFill>
                                            <a:latin typeface="Cambria Math" panose="02040503050406030204" pitchFamily="18" charset="0"/>
                                          </a:rPr>
                                        </m:ctrlPr>
                                      </m:sSubPr>
                                      <m:e>
                                        <m:r>
                                          <a:rPr lang="en-US" sz="1400" i="1">
                                            <a:solidFill>
                                              <a:srgbClr val="000000"/>
                                            </a:solidFill>
                                            <a:latin typeface="Cambria Math" panose="02040503050406030204" pitchFamily="18" charset="0"/>
                                          </a:rPr>
                                          <m:t>𝐶</m:t>
                                        </m:r>
                                      </m:e>
                                      <m:sub>
                                        <m:r>
                                          <a:rPr lang="en-US" sz="1400" i="1">
                                            <a:solidFill>
                                              <a:srgbClr val="000000"/>
                                            </a:solidFill>
                                            <a:latin typeface="Cambria Math" panose="02040503050406030204" pitchFamily="18" charset="0"/>
                                          </a:rPr>
                                          <m:t>𝑖</m:t>
                                        </m:r>
                                      </m:sub>
                                    </m:sSub>
                                    <m:r>
                                      <a:rPr lang="en-US" sz="1400" i="1">
                                        <a:solidFill>
                                          <a:srgbClr val="000000"/>
                                        </a:solidFill>
                                        <a:latin typeface="Cambria Math" panose="02040503050406030204" pitchFamily="18" charset="0"/>
                                      </a:rPr>
                                      <m:t>+</m:t>
                                    </m:r>
                                    <m:r>
                                      <a:rPr lang="en-US" sz="1400" i="1">
                                        <a:solidFill>
                                          <a:srgbClr val="000000"/>
                                        </a:solidFill>
                                        <a:latin typeface="Cambria Math" panose="02040503050406030204" pitchFamily="18" charset="0"/>
                                      </a:rPr>
                                      <m:t>𝐹</m:t>
                                    </m:r>
                                  </m:num>
                                  <m:den>
                                    <m:sSub>
                                      <m:sSubPr>
                                        <m:ctrlPr>
                                          <a:rPr lang="en-US" sz="1400" i="1">
                                            <a:solidFill>
                                              <a:srgbClr val="000000"/>
                                            </a:solidFill>
                                            <a:latin typeface="Cambria Math" panose="02040503050406030204" pitchFamily="18" charset="0"/>
                                          </a:rPr>
                                        </m:ctrlPr>
                                      </m:sSubPr>
                                      <m:e>
                                        <m:r>
                                          <a:rPr lang="en-US" sz="1400" i="1">
                                            <a:solidFill>
                                              <a:srgbClr val="000000"/>
                                            </a:solidFill>
                                            <a:latin typeface="Cambria Math" panose="02040503050406030204" pitchFamily="18" charset="0"/>
                                          </a:rPr>
                                          <m:t>𝑃</m:t>
                                        </m:r>
                                      </m:e>
                                      <m:sub>
                                        <m:r>
                                          <a:rPr lang="en-US" sz="1400" i="1">
                                            <a:solidFill>
                                              <a:srgbClr val="000000"/>
                                            </a:solidFill>
                                            <a:latin typeface="Cambria Math" panose="02040503050406030204" pitchFamily="18" charset="0"/>
                                          </a:rPr>
                                          <m:t>𝑖</m:t>
                                        </m:r>
                                      </m:sub>
                                    </m:sSub>
                                    <m:r>
                                      <a:rPr lang="en-US" sz="1400" i="1">
                                        <a:solidFill>
                                          <a:srgbClr val="000000"/>
                                        </a:solidFill>
                                        <a:latin typeface="Cambria Math" panose="02040503050406030204" pitchFamily="18" charset="0"/>
                                      </a:rPr>
                                      <m:t>−</m:t>
                                    </m:r>
                                    <m:sSub>
                                      <m:sSubPr>
                                        <m:ctrlPr>
                                          <a:rPr lang="en-US" sz="1400" i="1">
                                            <a:solidFill>
                                              <a:srgbClr val="000000"/>
                                            </a:solidFill>
                                            <a:latin typeface="Cambria Math" panose="02040503050406030204" pitchFamily="18" charset="0"/>
                                          </a:rPr>
                                        </m:ctrlPr>
                                      </m:sSubPr>
                                      <m:e>
                                        <m:r>
                                          <a:rPr lang="en-US" sz="1400" i="1">
                                            <a:solidFill>
                                              <a:srgbClr val="000000"/>
                                            </a:solidFill>
                                            <a:latin typeface="Cambria Math" panose="02040503050406030204" pitchFamily="18" charset="0"/>
                                          </a:rPr>
                                          <m:t>𝐶</m:t>
                                        </m:r>
                                      </m:e>
                                      <m:sub>
                                        <m:r>
                                          <a:rPr lang="en-US" sz="1400" i="1">
                                            <a:solidFill>
                                              <a:srgbClr val="000000"/>
                                            </a:solidFill>
                                            <a:latin typeface="Cambria Math" panose="02040503050406030204" pitchFamily="18" charset="0"/>
                                          </a:rPr>
                                          <m:t>𝑖</m:t>
                                        </m:r>
                                      </m:sub>
                                    </m:sSub>
                                    <m:nary>
                                      <m:naryPr>
                                        <m:chr m:val="∑"/>
                                        <m:ctrlPr>
                                          <a:rPr lang="en-US" sz="1400" i="1">
                                            <a:solidFill>
                                              <a:srgbClr val="000000"/>
                                            </a:solidFill>
                                            <a:latin typeface="Cambria Math" panose="02040503050406030204" pitchFamily="18" charset="0"/>
                                          </a:rPr>
                                        </m:ctrlPr>
                                      </m:naryPr>
                                      <m:sub>
                                        <m:r>
                                          <a:rPr lang="en-US" sz="1400" i="1">
                                            <a:solidFill>
                                              <a:srgbClr val="000000"/>
                                            </a:solidFill>
                                            <a:latin typeface="Cambria Math" panose="02040503050406030204" pitchFamily="18" charset="0"/>
                                          </a:rPr>
                                          <m:t>𝑡</m:t>
                                        </m:r>
                                        <m:r>
                                          <a:rPr lang="en-US" sz="1400" i="1">
                                            <a:solidFill>
                                              <a:srgbClr val="000000"/>
                                            </a:solidFill>
                                            <a:latin typeface="Cambria Math" panose="02040503050406030204" pitchFamily="18" charset="0"/>
                                          </a:rPr>
                                          <m:t>=1</m:t>
                                        </m:r>
                                      </m:sub>
                                      <m:sup>
                                        <m:r>
                                          <a:rPr lang="en-US" sz="1400" i="1">
                                            <a:solidFill>
                                              <a:srgbClr val="000000"/>
                                            </a:solidFill>
                                            <a:latin typeface="Cambria Math" panose="02040503050406030204" pitchFamily="18" charset="0"/>
                                          </a:rPr>
                                          <m:t>𝑖</m:t>
                                        </m:r>
                                        <m:r>
                                          <a:rPr lang="en-US" sz="1400" i="1">
                                            <a:solidFill>
                                              <a:srgbClr val="000000"/>
                                            </a:solidFill>
                                            <a:latin typeface="Cambria Math" panose="02040503050406030204" pitchFamily="18" charset="0"/>
                                          </a:rPr>
                                          <m:t>−1</m:t>
                                        </m:r>
                                      </m:sup>
                                      <m:e>
                                        <m:sSub>
                                          <m:sSubPr>
                                            <m:ctrlPr>
                                              <a:rPr lang="en-US" sz="1400" i="1">
                                                <a:solidFill>
                                                  <a:srgbClr val="000000"/>
                                                </a:solidFill>
                                                <a:latin typeface="Cambria Math" panose="02040503050406030204" pitchFamily="18" charset="0"/>
                                              </a:rPr>
                                            </m:ctrlPr>
                                          </m:sSubPr>
                                          <m:e>
                                            <m:r>
                                              <a:rPr lang="en-US" sz="1400" i="1">
                                                <a:solidFill>
                                                  <a:srgbClr val="000000"/>
                                                </a:solidFill>
                                                <a:latin typeface="Cambria Math" panose="02040503050406030204" pitchFamily="18" charset="0"/>
                                              </a:rPr>
                                              <m:t>𝑑</m:t>
                                            </m:r>
                                          </m:e>
                                          <m:sub>
                                            <m:r>
                                              <a:rPr lang="en-US" sz="1400" i="1">
                                                <a:solidFill>
                                                  <a:srgbClr val="000000"/>
                                                </a:solidFill>
                                                <a:latin typeface="Cambria Math" panose="02040503050406030204" pitchFamily="18" charset="0"/>
                                              </a:rPr>
                                              <m:t>𝑡</m:t>
                                            </m:r>
                                          </m:sub>
                                        </m:sSub>
                                      </m:e>
                                    </m:nary>
                                  </m:den>
                                </m:f>
                              </m:e>
                            </m:d>
                          </m:e>
                          <m:sup>
                            <m:r>
                              <a:rPr lang="en-US" sz="1400" i="1">
                                <a:solidFill>
                                  <a:srgbClr val="000000"/>
                                </a:solidFill>
                                <a:latin typeface="Cambria Math" panose="02040503050406030204" pitchFamily="18" charset="0"/>
                              </a:rPr>
                              <m:t>1/</m:t>
                            </m:r>
                            <m:r>
                              <a:rPr lang="en-US" sz="1400" i="1">
                                <a:solidFill>
                                  <a:srgbClr val="000000"/>
                                </a:solidFill>
                                <a:latin typeface="Cambria Math" panose="02040503050406030204" pitchFamily="18" charset="0"/>
                              </a:rPr>
                              <m:t>𝑖</m:t>
                            </m:r>
                          </m:sup>
                        </m:sSup>
                        <m:r>
                          <a:rPr lang="en-US" sz="1400" i="1">
                            <a:solidFill>
                              <a:srgbClr val="000000"/>
                            </a:solidFill>
                            <a:latin typeface="Cambria Math" panose="02040503050406030204" pitchFamily="18" charset="0"/>
                          </a:rPr>
                          <m:t>−1</m:t>
                        </m:r>
                      </m:e>
                    </m:d>
                    <m:r>
                      <a:rPr lang="en-US" sz="1400" i="1">
                        <a:solidFill>
                          <a:srgbClr val="000000"/>
                        </a:solidFill>
                        <a:latin typeface="Cambria Math" panose="02040503050406030204" pitchFamily="18" charset="0"/>
                      </a:rPr>
                      <m:t>×2</m:t>
                    </m:r>
                  </m:oMath>
                </m:oMathPara>
              </a14:m>
              <a:endParaRPr lang="en-US" sz="1400"/>
            </a:p>
          </xdr:txBody>
        </xdr:sp>
      </mc:Choice>
      <mc:Fallback xmlns="">
        <xdr:sp macro="" textlink="">
          <xdr:nvSpPr>
            <xdr:cNvPr id="3" name="Object 2">
              <a:extLst>
                <a:ext uri="{63B3BB69-23CF-44E3-9099-C40C66FF867C}">
                  <a14:compatExt xmlns:a14="http://schemas.microsoft.com/office/drawing/2010/main" spid="_x0000_s9218"/>
                </a:ext>
                <a:ext uri="{FF2B5EF4-FFF2-40B4-BE49-F238E27FC236}">
                  <a16:creationId xmlns:a16="http://schemas.microsoft.com/office/drawing/2014/main" id="{00000000-0008-0000-0000-000002240000}"/>
                </a:ext>
              </a:extLst>
            </xdr:cNvPr>
            <xdr:cNvSpPr txBox="1"/>
          </xdr:nvSpPr>
          <xdr:spPr>
            <a:xfrm>
              <a:off x="8705850" y="1606550"/>
              <a:ext cx="2874185" cy="664926"/>
            </a:xfrm>
            <a:prstGeom prst="rect">
              <a:avLst/>
            </a:prstGeom>
            <a:solidFill>
              <a:srgbClr val="92D050"/>
            </a:solidFill>
          </xdr:spPr>
          <xdr:txBody>
            <a:bodyPr vertOverflow="clip" horzOverflow="clip" wrap="none">
              <a:spAutoFit/>
            </a:bodyPr>
            <a:lstStyle/>
            <a:p>
              <a:pPr/>
              <a:r>
                <a:rPr lang="en-US" sz="1400" b="0" i="0">
                  <a:solidFill>
                    <a:srgbClr val="000000"/>
                  </a:solidFill>
                  <a:latin typeface="Cambria Math" panose="02040503050406030204" pitchFamily="18" charset="0"/>
                </a:rPr>
                <a:t>𝑧_</a:t>
              </a:r>
              <a:r>
                <a:rPr lang="en-US" sz="1400" i="0">
                  <a:solidFill>
                    <a:srgbClr val="000000"/>
                  </a:solidFill>
                  <a:latin typeface="Cambria Math" panose="02040503050406030204" pitchFamily="18" charset="0"/>
                </a:rPr>
                <a:t>𝑖=[((𝐶_𝑖+𝐹)/(𝑃_𝑖−𝐶_𝑖 ∑24_(𝑡=1)^(𝑖−1)▒𝑑_𝑡 ))^(1/𝑖)−1]×2</a:t>
              </a:r>
              <a:endParaRPr lang="en-US" sz="1400"/>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8</xdr:col>
      <xdr:colOff>714375</xdr:colOff>
      <xdr:row>0</xdr:row>
      <xdr:rowOff>95249</xdr:rowOff>
    </xdr:from>
    <xdr:to>
      <xdr:col>16</xdr:col>
      <xdr:colOff>66675</xdr:colOff>
      <xdr:row>22</xdr:row>
      <xdr:rowOff>142874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1054100</xdr:colOff>
      <xdr:row>14</xdr:row>
      <xdr:rowOff>133350</xdr:rowOff>
    </xdr:from>
    <xdr:to>
      <xdr:col>8</xdr:col>
      <xdr:colOff>703580</xdr:colOff>
      <xdr:row>18</xdr:row>
      <xdr:rowOff>44450</xdr:rowOff>
    </xdr:to>
    <xdr:pic>
      <xdr:nvPicPr>
        <xdr:cNvPr id="5" name="Picture 4">
          <a:extLst>
            <a:ext uri="{FF2B5EF4-FFF2-40B4-BE49-F238E27FC236}">
              <a16:creationId xmlns:a16="http://schemas.microsoft.com/office/drawing/2014/main" id="{053F1399-1E3E-417C-97B9-C1F2D0FB1893}"/>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718050" y="2628900"/>
          <a:ext cx="3554730" cy="57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660399</xdr:colOff>
      <xdr:row>31</xdr:row>
      <xdr:rowOff>88900</xdr:rowOff>
    </xdr:from>
    <xdr:to>
      <xdr:col>4</xdr:col>
      <xdr:colOff>705188</xdr:colOff>
      <xdr:row>35</xdr:row>
      <xdr:rowOff>25400</xdr:rowOff>
    </xdr:to>
    <xdr:pic>
      <xdr:nvPicPr>
        <xdr:cNvPr id="6" name="Picture 5">
          <a:extLst>
            <a:ext uri="{FF2B5EF4-FFF2-40B4-BE49-F238E27FC236}">
              <a16:creationId xmlns:a16="http://schemas.microsoft.com/office/drawing/2014/main" id="{6A2D5F7E-B8C3-4DFD-9F6B-4342C55AA63B}"/>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60399" y="5391150"/>
          <a:ext cx="3708739" cy="596900"/>
        </a:xfrm>
        <a:prstGeom prst="rect">
          <a:avLst/>
        </a:prstGeom>
        <a:solidFill>
          <a:srgbClr val="FFFF00"/>
        </a:solidFill>
      </xdr:spPr>
    </xdr:pic>
    <xdr:clientData/>
  </xdr:twoCellAnchor>
  <xdr:twoCellAnchor>
    <xdr:from>
      <xdr:col>0</xdr:col>
      <xdr:colOff>692149</xdr:colOff>
      <xdr:row>36</xdr:row>
      <xdr:rowOff>0</xdr:rowOff>
    </xdr:from>
    <xdr:to>
      <xdr:col>3</xdr:col>
      <xdr:colOff>949044</xdr:colOff>
      <xdr:row>38</xdr:row>
      <xdr:rowOff>63500</xdr:rowOff>
    </xdr:to>
    <xdr:pic>
      <xdr:nvPicPr>
        <xdr:cNvPr id="7" name="Picture 6">
          <a:extLst>
            <a:ext uri="{FF2B5EF4-FFF2-40B4-BE49-F238E27FC236}">
              <a16:creationId xmlns:a16="http://schemas.microsoft.com/office/drawing/2014/main" id="{99165DA1-A15C-4432-B2A2-057151C68455}"/>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92149" y="6127750"/>
          <a:ext cx="2955645" cy="393700"/>
        </a:xfrm>
        <a:prstGeom prst="rect">
          <a:avLst/>
        </a:prstGeom>
        <a:solidFill>
          <a:srgbClr val="FFFF00"/>
        </a:solidFill>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116204</xdr:colOff>
      <xdr:row>9</xdr:row>
      <xdr:rowOff>140970</xdr:rowOff>
    </xdr:from>
    <xdr:to>
      <xdr:col>21</xdr:col>
      <xdr:colOff>106679</xdr:colOff>
      <xdr:row>34</xdr:row>
      <xdr:rowOff>68580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16</xdr:col>
      <xdr:colOff>7620</xdr:colOff>
      <xdr:row>20</xdr:row>
      <xdr:rowOff>30480</xdr:rowOff>
    </xdr:from>
    <xdr:to>
      <xdr:col>25</xdr:col>
      <xdr:colOff>350519</xdr:colOff>
      <xdr:row>47</xdr:row>
      <xdr:rowOff>22860</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49</xdr:row>
      <xdr:rowOff>0</xdr:rowOff>
    </xdr:from>
    <xdr:to>
      <xdr:col>25</xdr:col>
      <xdr:colOff>342899</xdr:colOff>
      <xdr:row>77</xdr:row>
      <xdr:rowOff>22860</xdr:rowOff>
    </xdr:to>
    <xdr:graphicFrame macro="">
      <xdr:nvGraphicFramePr>
        <xdr:cNvPr id="3" name="Chart 2">
          <a:extLst>
            <a:ext uri="{FF2B5EF4-FFF2-40B4-BE49-F238E27FC236}">
              <a16:creationId xmlns:a16="http://schemas.microsoft.com/office/drawing/2014/main" id="{9A588C5D-A49A-4436-895F-92A9A88AF6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unho\Downloads\6850%20Assignment%202.xlsm" TargetMode="External"/><Relationship Id="rId1" Type="http://schemas.openxmlformats.org/officeDocument/2006/relationships/externalLinkPath" Target="file:///C:\Users\Junho\Downloads\6850%20Assignment%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1"/>
      <sheetName val="Ex2"/>
      <sheetName val="Ex3"/>
      <sheetName val="Ex4"/>
      <sheetName val="Ex5"/>
      <sheetName val="Extra1"/>
      <sheetName val="Extra2"/>
      <sheetName val="Q1"/>
      <sheetName val="2a "/>
      <sheetName val="2b"/>
      <sheetName val="Q3"/>
      <sheetName val="Q4"/>
      <sheetName val="Q5"/>
    </sheetNames>
    <sheetDataSet>
      <sheetData sheetId="0"/>
      <sheetData sheetId="1"/>
      <sheetData sheetId="2"/>
      <sheetData sheetId="3"/>
      <sheetData sheetId="4"/>
      <sheetData sheetId="5"/>
      <sheetData sheetId="6"/>
      <sheetData sheetId="7">
        <row r="38">
          <cell r="D38">
            <v>1E-4</v>
          </cell>
        </row>
      </sheetData>
      <sheetData sheetId="8"/>
      <sheetData sheetId="9"/>
      <sheetData sheetId="10"/>
      <sheetData sheetId="11"/>
      <sheetData sheetId="12">
        <row r="10">
          <cell r="B10">
            <v>0.5</v>
          </cell>
        </row>
        <row r="55">
          <cell r="C55">
            <v>100</v>
          </cell>
        </row>
        <row r="56">
          <cell r="C56">
            <v>5.2499999999999998E-2</v>
          </cell>
        </row>
        <row r="57">
          <cell r="C57">
            <v>2</v>
          </cell>
        </row>
        <row r="58">
          <cell r="C58">
            <v>2.625</v>
          </cell>
        </row>
        <row r="99">
          <cell r="C99">
            <v>100</v>
          </cell>
        </row>
        <row r="100">
          <cell r="C100">
            <v>1</v>
          </cell>
        </row>
      </sheetData>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29"/>
  <sheetViews>
    <sheetView zoomScale="120" zoomScaleNormal="120" workbookViewId="0">
      <selection activeCell="D92" sqref="D92"/>
    </sheetView>
  </sheetViews>
  <sheetFormatPr defaultColWidth="9.1796875" defaultRowHeight="12.5" x14ac:dyDescent="0.25"/>
  <cols>
    <col min="1" max="1" width="10.1796875" style="4" customWidth="1"/>
    <col min="2" max="2" width="13.453125" style="4" customWidth="1"/>
    <col min="3" max="3" width="15.54296875" style="4" customWidth="1"/>
    <col min="4" max="4" width="14.1796875" style="4" customWidth="1"/>
    <col min="5" max="6" width="16.54296875" style="4" customWidth="1"/>
    <col min="7" max="7" width="15" style="4" customWidth="1"/>
    <col min="8" max="8" width="8.453125" style="4" customWidth="1"/>
    <col min="9" max="9" width="16.54296875" style="4" customWidth="1"/>
    <col min="10" max="10" width="13.453125" style="4" customWidth="1"/>
    <col min="11" max="16384" width="9.1796875" style="4"/>
  </cols>
  <sheetData>
    <row r="1" spans="1:9" ht="18" x14ac:dyDescent="0.4">
      <c r="A1" s="7" t="s">
        <v>1</v>
      </c>
      <c r="B1" s="7"/>
      <c r="C1" s="8"/>
      <c r="D1" s="8"/>
      <c r="E1" s="8"/>
      <c r="F1" s="8"/>
    </row>
    <row r="2" spans="1:9" x14ac:dyDescent="0.25">
      <c r="A2" s="9"/>
      <c r="B2" s="9"/>
      <c r="C2" s="9"/>
      <c r="D2" s="9"/>
      <c r="E2" s="9"/>
      <c r="F2" s="9"/>
      <c r="G2" s="4" t="s">
        <v>2</v>
      </c>
      <c r="H2" s="4">
        <v>100</v>
      </c>
    </row>
    <row r="3" spans="1:9" ht="13" x14ac:dyDescent="0.3">
      <c r="B3" s="3"/>
      <c r="C3" s="3"/>
    </row>
    <row r="4" spans="1:9" ht="18" customHeight="1" x14ac:dyDescent="0.25">
      <c r="A4" s="10" t="s">
        <v>3</v>
      </c>
      <c r="B4" s="10" t="s">
        <v>4</v>
      </c>
      <c r="C4" s="10" t="s">
        <v>5</v>
      </c>
      <c r="D4" s="10" t="s">
        <v>6</v>
      </c>
      <c r="E4" s="10" t="s">
        <v>7</v>
      </c>
      <c r="F4" s="10" t="s">
        <v>8</v>
      </c>
      <c r="G4" s="10" t="s">
        <v>9</v>
      </c>
      <c r="I4" s="10"/>
    </row>
    <row r="5" spans="1:9" x14ac:dyDescent="0.25">
      <c r="A5" s="11">
        <v>97.56</v>
      </c>
      <c r="B5" s="4">
        <v>0</v>
      </c>
      <c r="C5" s="10">
        <f>D5*2</f>
        <v>1</v>
      </c>
      <c r="D5" s="10">
        <v>0.5</v>
      </c>
      <c r="E5" s="10">
        <f t="shared" ref="E5:E6" si="0">B5/2</f>
        <v>0</v>
      </c>
      <c r="F5" s="12">
        <f>1/(1+G5/2)^C5</f>
        <v>0.97560000000000013</v>
      </c>
      <c r="G5" s="13">
        <f>((E5+H2)/A5-1)*2</f>
        <v>5.0020500205001817E-2</v>
      </c>
      <c r="I5" s="4" t="s">
        <v>10</v>
      </c>
    </row>
    <row r="6" spans="1:9" x14ac:dyDescent="0.25">
      <c r="A6" s="11">
        <v>100.48</v>
      </c>
      <c r="B6" s="4">
        <v>6.5</v>
      </c>
      <c r="C6" s="10">
        <f t="shared" ref="C6:C8" si="1">D6*2</f>
        <v>2</v>
      </c>
      <c r="D6" s="10">
        <f>D5+0.5</f>
        <v>1</v>
      </c>
      <c r="E6" s="10">
        <f t="shared" si="0"/>
        <v>3.25</v>
      </c>
      <c r="F6" s="12">
        <f>F5+(1/(1+G6/2)^C6)</f>
        <v>1.9180629539951577</v>
      </c>
      <c r="G6" s="13">
        <f>2*(((E6+H$2)/(A6-E6*F5))^(1/C6)-1)</f>
        <v>6.0145299040966105E-2</v>
      </c>
    </row>
    <row r="7" spans="1:9" x14ac:dyDescent="0.25">
      <c r="A7" s="11">
        <v>100.35</v>
      </c>
      <c r="B7" s="4">
        <v>7</v>
      </c>
      <c r="C7" s="10">
        <f t="shared" si="1"/>
        <v>3</v>
      </c>
      <c r="D7" s="10">
        <f t="shared" ref="D7:D8" si="2">D6+0.5</f>
        <v>1.5</v>
      </c>
      <c r="E7" s="10">
        <f>B7/2</f>
        <v>3.5</v>
      </c>
      <c r="F7" s="12">
        <f t="shared" ref="F7:F8" si="3">F6+(1/(1+G7/2)^C7)</f>
        <v>2.8227661391257559</v>
      </c>
      <c r="G7" s="13">
        <f t="shared" ref="G7" si="4">2*(((E7+H$2)/(A7-E7*F6))^(1/C7)-1)</f>
        <v>6.7892489576850235E-2</v>
      </c>
    </row>
    <row r="8" spans="1:9" x14ac:dyDescent="0.25">
      <c r="A8" s="11">
        <v>100.91</v>
      </c>
      <c r="B8" s="4">
        <v>8</v>
      </c>
      <c r="C8" s="10">
        <f t="shared" si="1"/>
        <v>4</v>
      </c>
      <c r="D8" s="10">
        <f t="shared" si="2"/>
        <v>2</v>
      </c>
      <c r="E8" s="10">
        <f t="shared" ref="E8" si="5">B8/2</f>
        <v>4</v>
      </c>
      <c r="F8" s="12">
        <f t="shared" si="3"/>
        <v>3.6844866722363037</v>
      </c>
      <c r="G8" s="13">
        <f>2*(((E8+H$2)/(A8-E8*F7))^(1/C8)-1)</f>
        <v>7.5813754533534006E-2</v>
      </c>
    </row>
    <row r="9" spans="1:9" x14ac:dyDescent="0.25">
      <c r="A9" s="10"/>
      <c r="C9" s="10"/>
      <c r="D9" s="10"/>
      <c r="E9" s="10"/>
      <c r="F9" s="12"/>
      <c r="G9" s="13"/>
    </row>
    <row r="10" spans="1:9" x14ac:dyDescent="0.25">
      <c r="A10" s="10"/>
      <c r="C10" s="10"/>
      <c r="D10" s="10"/>
      <c r="E10" s="10"/>
      <c r="F10" s="12"/>
      <c r="G10" s="13"/>
      <c r="I10" s="4" t="s">
        <v>11</v>
      </c>
    </row>
    <row r="11" spans="1:9" ht="13" thickBot="1" x14ac:dyDescent="0.3">
      <c r="E11" s="10"/>
      <c r="F11" s="12"/>
      <c r="G11" s="13"/>
    </row>
    <row r="12" spans="1:9" x14ac:dyDescent="0.25">
      <c r="A12" s="14"/>
      <c r="B12" s="15"/>
      <c r="C12" s="15"/>
      <c r="D12" s="16" t="s">
        <v>12</v>
      </c>
      <c r="E12" s="10"/>
      <c r="F12" s="12"/>
      <c r="G12" s="13"/>
    </row>
    <row r="13" spans="1:9" ht="13" x14ac:dyDescent="0.3">
      <c r="A13" s="17" t="s">
        <v>13</v>
      </c>
      <c r="B13" s="18" t="s">
        <v>14</v>
      </c>
      <c r="C13" s="18"/>
      <c r="D13" s="19"/>
      <c r="E13" s="10"/>
      <c r="F13" s="12"/>
      <c r="G13" s="13"/>
    </row>
    <row r="14" spans="1:9" x14ac:dyDescent="0.25">
      <c r="A14" s="20"/>
      <c r="B14" s="18"/>
      <c r="C14" s="18"/>
      <c r="D14" s="19"/>
      <c r="E14" s="10"/>
      <c r="F14" s="12"/>
      <c r="G14" s="13"/>
    </row>
    <row r="15" spans="1:9" ht="13" x14ac:dyDescent="0.3">
      <c r="A15" s="17" t="s">
        <v>15</v>
      </c>
      <c r="B15" s="18" t="s">
        <v>106</v>
      </c>
      <c r="C15" s="18"/>
      <c r="D15" s="19"/>
      <c r="E15" s="10"/>
      <c r="F15" s="12"/>
      <c r="G15" s="13"/>
    </row>
    <row r="16" spans="1:9" x14ac:dyDescent="0.25">
      <c r="A16" s="20"/>
      <c r="B16" s="18"/>
      <c r="C16" s="18"/>
      <c r="D16" s="19"/>
      <c r="E16" s="10"/>
      <c r="F16" s="12"/>
      <c r="G16" s="13"/>
    </row>
    <row r="17" spans="1:8" ht="13" x14ac:dyDescent="0.3">
      <c r="A17" s="17" t="s">
        <v>16</v>
      </c>
      <c r="B17" s="18" t="s">
        <v>107</v>
      </c>
      <c r="C17" s="18"/>
      <c r="D17" s="19"/>
      <c r="E17" s="10"/>
      <c r="F17" s="12"/>
      <c r="G17" s="13"/>
    </row>
    <row r="18" spans="1:8" x14ac:dyDescent="0.25">
      <c r="A18" s="20"/>
      <c r="B18" s="18" t="s">
        <v>17</v>
      </c>
      <c r="C18" s="18"/>
      <c r="D18" s="19"/>
      <c r="E18" s="10"/>
      <c r="F18" s="12"/>
      <c r="G18" s="13"/>
    </row>
    <row r="19" spans="1:8" x14ac:dyDescent="0.25">
      <c r="A19" s="20"/>
      <c r="B19" s="18"/>
      <c r="C19" s="18"/>
      <c r="D19" s="19"/>
      <c r="E19" s="10"/>
      <c r="F19" s="12"/>
      <c r="G19" s="13"/>
    </row>
    <row r="20" spans="1:8" ht="13" x14ac:dyDescent="0.3">
      <c r="A20" s="17" t="s">
        <v>18</v>
      </c>
      <c r="B20" s="18" t="s">
        <v>108</v>
      </c>
      <c r="C20" s="18"/>
      <c r="D20" s="19"/>
      <c r="E20" s="10"/>
      <c r="F20" s="12"/>
      <c r="G20" s="13"/>
    </row>
    <row r="21" spans="1:8" x14ac:dyDescent="0.25">
      <c r="A21" s="20"/>
      <c r="B21" s="18" t="s">
        <v>19</v>
      </c>
      <c r="C21" s="18"/>
      <c r="D21" s="19"/>
      <c r="E21" s="10"/>
      <c r="F21" s="12"/>
      <c r="G21" s="13"/>
    </row>
    <row r="22" spans="1:8" x14ac:dyDescent="0.25">
      <c r="A22" s="20"/>
      <c r="B22" s="18"/>
      <c r="C22" s="18"/>
      <c r="D22" s="19"/>
      <c r="E22" s="10"/>
      <c r="F22" s="12"/>
      <c r="G22" s="13"/>
    </row>
    <row r="23" spans="1:8" ht="13" x14ac:dyDescent="0.3">
      <c r="A23" s="17" t="s">
        <v>20</v>
      </c>
      <c r="B23" s="18" t="s">
        <v>21</v>
      </c>
      <c r="C23" s="18"/>
      <c r="D23" s="19"/>
      <c r="E23" s="10"/>
      <c r="F23" s="12"/>
      <c r="G23" s="13"/>
    </row>
    <row r="24" spans="1:8" x14ac:dyDescent="0.25">
      <c r="A24" s="20"/>
      <c r="B24" s="18" t="s">
        <v>22</v>
      </c>
      <c r="C24" s="18"/>
      <c r="D24" s="19"/>
      <c r="E24" s="10"/>
      <c r="F24" s="12"/>
      <c r="G24" s="13"/>
    </row>
    <row r="25" spans="1:8" x14ac:dyDescent="0.25">
      <c r="A25" s="20"/>
      <c r="B25" s="18"/>
      <c r="C25" s="18"/>
      <c r="D25" s="19"/>
    </row>
    <row r="26" spans="1:8" ht="13" x14ac:dyDescent="0.3">
      <c r="A26" s="20"/>
      <c r="B26" s="21" t="s">
        <v>23</v>
      </c>
      <c r="C26" s="18"/>
      <c r="D26" s="19"/>
      <c r="H26" s="4" t="s">
        <v>12</v>
      </c>
    </row>
    <row r="27" spans="1:8" x14ac:dyDescent="0.25">
      <c r="A27" s="20"/>
      <c r="B27" s="18"/>
      <c r="C27" s="18"/>
      <c r="D27" s="19"/>
    </row>
    <row r="28" spans="1:8" ht="13" x14ac:dyDescent="0.3">
      <c r="A28" s="17" t="s">
        <v>24</v>
      </c>
      <c r="B28" s="18"/>
      <c r="C28" s="18"/>
      <c r="D28" s="19"/>
    </row>
    <row r="29" spans="1:8" ht="13" thickBot="1" x14ac:dyDescent="0.3">
      <c r="A29" s="22"/>
      <c r="B29" s="23"/>
      <c r="C29" s="23"/>
      <c r="D29" s="24"/>
    </row>
  </sheetData>
  <phoneticPr fontId="14" type="noConversion"/>
  <pageMargins left="0.75" right="0.75" top="1" bottom="1" header="0.5" footer="0.5"/>
  <pageSetup orientation="portrait" horizontalDpi="1200" verticalDpi="12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37"/>
  <sheetViews>
    <sheetView zoomScale="120" zoomScaleNormal="120" workbookViewId="0">
      <selection activeCell="D92" sqref="D92"/>
    </sheetView>
  </sheetViews>
  <sheetFormatPr defaultColWidth="9.1796875" defaultRowHeight="12.5" x14ac:dyDescent="0.25"/>
  <cols>
    <col min="1" max="1" width="10.1796875" style="4" customWidth="1"/>
    <col min="2" max="2" width="13.453125" style="4" customWidth="1"/>
    <col min="3" max="3" width="15.54296875" style="4" customWidth="1"/>
    <col min="4" max="4" width="14.1796875" style="4" customWidth="1"/>
    <col min="5" max="6" width="16.54296875" style="4" customWidth="1"/>
    <col min="7" max="7" width="15" style="4" customWidth="1"/>
    <col min="8" max="8" width="8.453125" style="4" customWidth="1"/>
    <col min="9" max="9" width="16.54296875" style="4" customWidth="1"/>
    <col min="10" max="10" width="13.453125" style="4" customWidth="1"/>
    <col min="11" max="16384" width="9.1796875" style="4"/>
  </cols>
  <sheetData>
    <row r="1" spans="1:9" ht="18" x14ac:dyDescent="0.4">
      <c r="A1" s="7" t="s">
        <v>25</v>
      </c>
      <c r="B1" s="7"/>
      <c r="C1" s="8"/>
      <c r="D1" s="8"/>
      <c r="E1" s="8"/>
      <c r="F1" s="8"/>
    </row>
    <row r="2" spans="1:9" x14ac:dyDescent="0.25">
      <c r="A2" s="9"/>
      <c r="B2" s="9"/>
      <c r="C2" s="9"/>
      <c r="D2" s="9"/>
      <c r="E2" s="9"/>
      <c r="F2" s="9"/>
      <c r="G2" s="4" t="s">
        <v>2</v>
      </c>
      <c r="H2" s="4">
        <v>100</v>
      </c>
    </row>
    <row r="3" spans="1:9" ht="13" x14ac:dyDescent="0.3">
      <c r="B3" s="3"/>
      <c r="C3" s="3"/>
    </row>
    <row r="4" spans="1:9" ht="18" customHeight="1" x14ac:dyDescent="0.25">
      <c r="A4" s="10" t="s">
        <v>3</v>
      </c>
      <c r="B4" s="10" t="s">
        <v>4</v>
      </c>
      <c r="C4" s="10" t="s">
        <v>5</v>
      </c>
      <c r="D4" s="10" t="s">
        <v>6</v>
      </c>
      <c r="E4" s="10" t="s">
        <v>7</v>
      </c>
      <c r="F4" s="10" t="s">
        <v>8</v>
      </c>
      <c r="G4" s="10" t="s">
        <v>9</v>
      </c>
      <c r="I4" s="10"/>
    </row>
    <row r="5" spans="1:9" ht="18" customHeight="1" x14ac:dyDescent="0.25">
      <c r="A5" s="10"/>
      <c r="B5" s="10"/>
      <c r="C5" s="10"/>
      <c r="D5" s="10"/>
      <c r="E5" s="10"/>
      <c r="F5" s="10"/>
      <c r="G5" s="10"/>
      <c r="I5" s="10"/>
    </row>
    <row r="6" spans="1:9" x14ac:dyDescent="0.25">
      <c r="A6" s="10">
        <v>100</v>
      </c>
      <c r="B6" s="4">
        <v>5.25</v>
      </c>
      <c r="C6" s="10">
        <f>D6*2</f>
        <v>1</v>
      </c>
      <c r="D6" s="10">
        <v>0.5</v>
      </c>
      <c r="E6" s="10">
        <f t="shared" ref="E6:E7" si="0">B6/2</f>
        <v>2.625</v>
      </c>
      <c r="F6" s="12">
        <f>1/(1+G6/2)^C6</f>
        <v>0.97442143727161989</v>
      </c>
      <c r="G6" s="13">
        <f>((E6+H$2)/A6-1)*2</f>
        <v>5.2500000000000213E-2</v>
      </c>
    </row>
    <row r="7" spans="1:9" x14ac:dyDescent="0.25">
      <c r="A7" s="10">
        <v>100</v>
      </c>
      <c r="B7" s="4">
        <v>5.5</v>
      </c>
      <c r="C7" s="10">
        <f t="shared" ref="C7:C28" si="1">D7*2</f>
        <v>2</v>
      </c>
      <c r="D7" s="10">
        <f>D6+0.5</f>
        <v>1</v>
      </c>
      <c r="E7" s="10">
        <f t="shared" si="0"/>
        <v>2.75</v>
      </c>
      <c r="F7" s="12">
        <f>F6+(1/(1+G7/2)^C7)</f>
        <v>1.9215780411402628</v>
      </c>
      <c r="G7" s="13">
        <f>2*(((E7+H$2)/(A7-E7*F6))^(1/C7)-1)</f>
        <v>5.5034417734308949E-2</v>
      </c>
    </row>
    <row r="8" spans="1:9" x14ac:dyDescent="0.25">
      <c r="A8" s="10">
        <v>100</v>
      </c>
      <c r="B8" s="4">
        <v>5.75</v>
      </c>
      <c r="C8" s="10">
        <f t="shared" si="1"/>
        <v>3</v>
      </c>
      <c r="D8" s="10">
        <f t="shared" ref="D8:D15" si="2">D7+0.5</f>
        <v>1.5</v>
      </c>
      <c r="E8" s="10">
        <f>B8/2</f>
        <v>2.875</v>
      </c>
      <c r="F8" s="12">
        <f t="shared" ref="F8:F15" si="3">F7+(1/(1+G8/2)^C8)</f>
        <v>2.8399300521412032</v>
      </c>
      <c r="G8" s="13">
        <f t="shared" ref="G8:G15" si="4">2*(((E8+H$2)/(A8-E8*F7))^(1/C8)-1)</f>
        <v>5.7596765529686511E-2</v>
      </c>
    </row>
    <row r="9" spans="1:9" x14ac:dyDescent="0.25">
      <c r="A9" s="10">
        <v>100</v>
      </c>
      <c r="B9" s="4">
        <v>6</v>
      </c>
      <c r="C9" s="10">
        <f t="shared" si="1"/>
        <v>4</v>
      </c>
      <c r="D9" s="10">
        <f t="shared" si="2"/>
        <v>2</v>
      </c>
      <c r="E9" s="10">
        <f t="shared" ref="E9:E15" si="5">B9/2</f>
        <v>3</v>
      </c>
      <c r="F9" s="12">
        <f t="shared" si="3"/>
        <v>3.7280874292633044</v>
      </c>
      <c r="G9" s="13">
        <f>2*(((E9+H$2)/(A9-E9*F8))^(1/C9)-1)</f>
        <v>6.0191133728880075E-2</v>
      </c>
    </row>
    <row r="10" spans="1:9" x14ac:dyDescent="0.25">
      <c r="A10" s="10">
        <v>100</v>
      </c>
      <c r="B10" s="4">
        <v>6.25</v>
      </c>
      <c r="C10" s="10">
        <f t="shared" si="1"/>
        <v>5</v>
      </c>
      <c r="D10" s="10">
        <f t="shared" si="2"/>
        <v>2.5</v>
      </c>
      <c r="E10" s="10">
        <f t="shared" si="5"/>
        <v>3.125</v>
      </c>
      <c r="F10" s="12">
        <f t="shared" si="3"/>
        <v>4.5848120526189629</v>
      </c>
      <c r="G10" s="13">
        <f t="shared" si="4"/>
        <v>6.2821958686090085E-2</v>
      </c>
    </row>
    <row r="11" spans="1:9" x14ac:dyDescent="0.25">
      <c r="A11" s="10">
        <v>100</v>
      </c>
      <c r="B11" s="4">
        <v>6.5</v>
      </c>
      <c r="C11" s="10">
        <f t="shared" si="1"/>
        <v>6</v>
      </c>
      <c r="D11" s="10">
        <f t="shared" si="2"/>
        <v>3</v>
      </c>
      <c r="E11" s="10">
        <f t="shared" si="5"/>
        <v>3.25</v>
      </c>
      <c r="F11" s="12">
        <f t="shared" si="3"/>
        <v>5.409018937161223</v>
      </c>
      <c r="G11" s="13">
        <f t="shared" si="4"/>
        <v>6.5494086944738239E-2</v>
      </c>
    </row>
    <row r="12" spans="1:9" x14ac:dyDescent="0.25">
      <c r="A12" s="10">
        <v>100</v>
      </c>
      <c r="B12" s="4">
        <v>6.75</v>
      </c>
      <c r="C12" s="10">
        <f t="shared" si="1"/>
        <v>7</v>
      </c>
      <c r="D12" s="10">
        <f t="shared" si="2"/>
        <v>3.5</v>
      </c>
      <c r="E12" s="10">
        <f t="shared" si="5"/>
        <v>3.375</v>
      </c>
      <c r="F12" s="12">
        <f t="shared" si="3"/>
        <v>6.1997764809298408</v>
      </c>
      <c r="G12" s="13">
        <f t="shared" si="4"/>
        <v>6.821285076018091E-2</v>
      </c>
    </row>
    <row r="13" spans="1:9" x14ac:dyDescent="0.25">
      <c r="A13" s="10">
        <v>100</v>
      </c>
      <c r="B13" s="4">
        <v>6.9</v>
      </c>
      <c r="C13" s="10">
        <f t="shared" si="1"/>
        <v>8</v>
      </c>
      <c r="D13" s="10">
        <f t="shared" si="2"/>
        <v>4</v>
      </c>
      <c r="E13" s="10">
        <f t="shared" si="5"/>
        <v>3.45</v>
      </c>
      <c r="F13" s="12">
        <f t="shared" si="3"/>
        <v>6.9596679370998942</v>
      </c>
      <c r="G13" s="13">
        <f t="shared" si="4"/>
        <v>6.9836544503029785E-2</v>
      </c>
    </row>
    <row r="14" spans="1:9" x14ac:dyDescent="0.25">
      <c r="A14" s="10">
        <v>100</v>
      </c>
      <c r="B14" s="4">
        <v>7.0000000000000009</v>
      </c>
      <c r="C14" s="10">
        <f t="shared" si="1"/>
        <v>9</v>
      </c>
      <c r="D14" s="10">
        <f t="shared" si="2"/>
        <v>4.5</v>
      </c>
      <c r="E14" s="10">
        <f t="shared" si="5"/>
        <v>3.5000000000000004</v>
      </c>
      <c r="F14" s="12">
        <f t="shared" si="3"/>
        <v>7.6905004223187374</v>
      </c>
      <c r="G14" s="13">
        <f t="shared" si="4"/>
        <v>7.0910577807171471E-2</v>
      </c>
    </row>
    <row r="15" spans="1:9" x14ac:dyDescent="0.25">
      <c r="A15" s="10">
        <v>100</v>
      </c>
      <c r="B15" s="4">
        <v>7.1</v>
      </c>
      <c r="C15" s="10">
        <f t="shared" si="1"/>
        <v>10</v>
      </c>
      <c r="D15" s="10">
        <f t="shared" si="2"/>
        <v>5</v>
      </c>
      <c r="E15" s="10">
        <f t="shared" si="5"/>
        <v>3.55</v>
      </c>
      <c r="F15" s="12">
        <f t="shared" si="3"/>
        <v>8.3925643865946284</v>
      </c>
      <c r="G15" s="13">
        <f t="shared" si="4"/>
        <v>7.2012291872333378E-2</v>
      </c>
    </row>
    <row r="16" spans="1:9" x14ac:dyDescent="0.25">
      <c r="A16" s="10"/>
      <c r="C16" s="10"/>
      <c r="D16" s="10"/>
      <c r="E16" s="10"/>
      <c r="F16" s="12"/>
      <c r="G16" s="13"/>
    </row>
    <row r="17" spans="1:9" ht="13" x14ac:dyDescent="0.3">
      <c r="A17" s="25" t="s">
        <v>26</v>
      </c>
      <c r="C17" s="10"/>
      <c r="D17" s="10"/>
      <c r="E17" s="10"/>
      <c r="F17"/>
      <c r="G17" s="13"/>
    </row>
    <row r="18" spans="1:9" x14ac:dyDescent="0.25">
      <c r="A18" s="10"/>
      <c r="C18" s="10"/>
      <c r="D18" s="10"/>
      <c r="E18" s="10"/>
      <c r="F18" s="12"/>
      <c r="G18" s="13"/>
    </row>
    <row r="19" spans="1:9" x14ac:dyDescent="0.25">
      <c r="A19" s="10">
        <v>100</v>
      </c>
      <c r="B19" s="4">
        <v>5.25</v>
      </c>
      <c r="C19" s="10">
        <f>D19*2</f>
        <v>1</v>
      </c>
      <c r="D19" s="10">
        <v>0.5</v>
      </c>
      <c r="E19" s="10">
        <f t="shared" ref="E19:E20" si="6">B19/2</f>
        <v>2.625</v>
      </c>
      <c r="F19" s="12">
        <f>1/(1+G19/2)^C19</f>
        <v>0.97442143727161989</v>
      </c>
      <c r="G19" s="13">
        <f>((E19+H$2)/A19-1)*2</f>
        <v>5.2500000000000213E-2</v>
      </c>
    </row>
    <row r="20" spans="1:9" x14ac:dyDescent="0.25">
      <c r="A20" s="10">
        <v>100</v>
      </c>
      <c r="B20" s="4">
        <v>5.5</v>
      </c>
      <c r="C20" s="10">
        <f t="shared" si="1"/>
        <v>2</v>
      </c>
      <c r="D20" s="10">
        <f>D19+0.5</f>
        <v>1</v>
      </c>
      <c r="E20" s="10">
        <f t="shared" si="6"/>
        <v>2.75</v>
      </c>
      <c r="F20" s="12">
        <f>F19+(1/(1+G20/2)^C20)</f>
        <v>1.9215780411402628</v>
      </c>
      <c r="G20" s="13">
        <f>2*(((E20+H$2)/(A20-E20*F19))^(1/C20)-1)</f>
        <v>5.5034417734308949E-2</v>
      </c>
    </row>
    <row r="21" spans="1:9" x14ac:dyDescent="0.25">
      <c r="A21" s="26"/>
      <c r="B21" s="6"/>
      <c r="C21" s="26">
        <f t="shared" si="1"/>
        <v>3</v>
      </c>
      <c r="D21" s="26">
        <f t="shared" ref="D21:D28" si="7">D20+0.5</f>
        <v>1.5</v>
      </c>
      <c r="E21" s="26"/>
      <c r="F21" s="27">
        <f t="shared" ref="F21:F28" si="8">F20+(1/(1+G21/2)^C21)</f>
        <v>2.8399088548938911</v>
      </c>
      <c r="G21" s="28">
        <f>G$20+(G$22-G$20)*(C21-C$20)/(C$22-C$20)</f>
        <v>5.7612596807941938E-2</v>
      </c>
    </row>
    <row r="22" spans="1:9" x14ac:dyDescent="0.25">
      <c r="A22" s="10">
        <v>100</v>
      </c>
      <c r="B22" s="4">
        <v>6</v>
      </c>
      <c r="C22" s="10">
        <f t="shared" si="1"/>
        <v>4</v>
      </c>
      <c r="D22" s="10">
        <f t="shared" si="7"/>
        <v>2</v>
      </c>
      <c r="E22" s="10">
        <f t="shared" ref="E22:E28" si="9">B22/2</f>
        <v>3</v>
      </c>
      <c r="F22" s="12">
        <f t="shared" si="8"/>
        <v>3.7280668490943918</v>
      </c>
      <c r="G22" s="13">
        <v>6.0190775881574926E-2</v>
      </c>
      <c r="H22" s="29">
        <f>E22*F22+H$2/(1+G22/2)^C22-A22</f>
        <v>-3.266677595092915E-8</v>
      </c>
      <c r="I22" s="30" t="s">
        <v>27</v>
      </c>
    </row>
    <row r="23" spans="1:9" x14ac:dyDescent="0.25">
      <c r="A23" s="26"/>
      <c r="B23" s="6"/>
      <c r="C23" s="26">
        <f t="shared" si="1"/>
        <v>5</v>
      </c>
      <c r="D23" s="26">
        <f t="shared" si="7"/>
        <v>2.5</v>
      </c>
      <c r="E23" s="26"/>
      <c r="F23" s="27">
        <f t="shared" si="8"/>
        <v>4.5847498061783387</v>
      </c>
      <c r="G23" s="28">
        <f>G$22+(G$24-G$22)*(C23-C$22)/(C$24-C$22)</f>
        <v>6.2842024085413464E-2</v>
      </c>
    </row>
    <row r="24" spans="1:9" x14ac:dyDescent="0.25">
      <c r="A24" s="10">
        <v>100</v>
      </c>
      <c r="B24" s="4">
        <v>6.5</v>
      </c>
      <c r="C24" s="10">
        <f t="shared" si="1"/>
        <v>6</v>
      </c>
      <c r="D24" s="10">
        <f t="shared" si="7"/>
        <v>3</v>
      </c>
      <c r="E24" s="10">
        <f t="shared" si="9"/>
        <v>3.25</v>
      </c>
      <c r="F24" s="12">
        <f t="shared" si="8"/>
        <v>5.4089586411854045</v>
      </c>
      <c r="G24" s="13">
        <v>6.5493272289252003E-2</v>
      </c>
      <c r="H24" s="29">
        <f>E24*F24+H$2/(1+G24/2)^C24-A24</f>
        <v>-9.1544086444628192E-7</v>
      </c>
      <c r="I24" s="30" t="s">
        <v>27</v>
      </c>
    </row>
    <row r="25" spans="1:9" x14ac:dyDescent="0.25">
      <c r="A25" s="26"/>
      <c r="B25" s="6"/>
      <c r="C25" s="26">
        <f t="shared" si="1"/>
        <v>7</v>
      </c>
      <c r="D25" s="26">
        <f t="shared" si="7"/>
        <v>3.5</v>
      </c>
      <c r="E25" s="26"/>
      <c r="F25" s="27">
        <f t="shared" si="8"/>
        <v>6.2025888423923492</v>
      </c>
      <c r="G25" s="28">
        <f>G$24+(G$28-G$24)*(C25-C$24)/(C$28-C$24)</f>
        <v>6.7141732198797835E-2</v>
      </c>
      <c r="H25" s="31"/>
    </row>
    <row r="26" spans="1:9" x14ac:dyDescent="0.25">
      <c r="A26" s="26"/>
      <c r="B26" s="6"/>
      <c r="C26" s="26">
        <f t="shared" si="1"/>
        <v>8</v>
      </c>
      <c r="D26" s="26">
        <f t="shared" si="7"/>
        <v>4</v>
      </c>
      <c r="E26" s="26"/>
      <c r="F26" s="27">
        <f t="shared" si="8"/>
        <v>6.9655604492989394</v>
      </c>
      <c r="G26" s="28">
        <f t="shared" ref="G26:G27" si="10">G$24+(G$28-G$24)*(C26-C$24)/(C$28-C$24)</f>
        <v>6.8790192108343667E-2</v>
      </c>
      <c r="H26" s="31"/>
    </row>
    <row r="27" spans="1:9" x14ac:dyDescent="0.25">
      <c r="A27" s="26"/>
      <c r="B27" s="6"/>
      <c r="C27" s="26">
        <f t="shared" si="1"/>
        <v>9</v>
      </c>
      <c r="D27" s="26">
        <f t="shared" si="7"/>
        <v>4.5</v>
      </c>
      <c r="E27" s="26"/>
      <c r="F27" s="27">
        <f t="shared" si="8"/>
        <v>7.6978935440156961</v>
      </c>
      <c r="G27" s="28">
        <f t="shared" si="10"/>
        <v>7.0438652017889486E-2</v>
      </c>
      <c r="H27" s="31"/>
    </row>
    <row r="28" spans="1:9" x14ac:dyDescent="0.25">
      <c r="A28" s="10">
        <v>100</v>
      </c>
      <c r="B28" s="4">
        <v>7.1</v>
      </c>
      <c r="C28" s="10">
        <f t="shared" si="1"/>
        <v>10</v>
      </c>
      <c r="D28" s="10">
        <f t="shared" si="7"/>
        <v>5</v>
      </c>
      <c r="E28" s="10">
        <f t="shared" si="9"/>
        <v>3.55</v>
      </c>
      <c r="F28" s="12">
        <f t="shared" si="8"/>
        <v>8.3997040443819753</v>
      </c>
      <c r="G28" s="13">
        <v>7.2087111927435318E-2</v>
      </c>
      <c r="H28" s="29">
        <f>E28*F28+H$2/(1+G28/2)^C28-A28</f>
        <v>-6.0581599825582089E-7</v>
      </c>
      <c r="I28" s="30" t="s">
        <v>27</v>
      </c>
    </row>
    <row r="29" spans="1:9" x14ac:dyDescent="0.25">
      <c r="A29" s="10"/>
      <c r="C29" s="10"/>
      <c r="D29" s="10"/>
      <c r="E29" s="10"/>
      <c r="F29" s="12"/>
      <c r="G29" s="13"/>
    </row>
    <row r="30" spans="1:9" x14ac:dyDescent="0.25">
      <c r="A30" s="10"/>
      <c r="C30" s="10"/>
      <c r="D30" s="10"/>
      <c r="E30" s="10"/>
      <c r="F30" s="12"/>
      <c r="G30" s="13"/>
    </row>
    <row r="31" spans="1:9" x14ac:dyDescent="0.25">
      <c r="A31" s="4" t="s">
        <v>28</v>
      </c>
      <c r="D31" s="10"/>
      <c r="E31" s="10"/>
      <c r="G31" s="13"/>
    </row>
    <row r="32" spans="1:9" x14ac:dyDescent="0.25">
      <c r="A32" s="10"/>
      <c r="C32" s="10"/>
      <c r="D32" s="10"/>
      <c r="E32" s="10"/>
      <c r="F32" s="12"/>
      <c r="G32" s="13"/>
    </row>
    <row r="33" spans="1:7" x14ac:dyDescent="0.25">
      <c r="A33" s="10"/>
      <c r="B33"/>
      <c r="C33" s="10"/>
      <c r="D33" s="10"/>
      <c r="E33" s="10"/>
      <c r="F33" s="12"/>
      <c r="G33" s="13"/>
    </row>
    <row r="36" spans="1:7" x14ac:dyDescent="0.25">
      <c r="A36" s="4" t="s">
        <v>29</v>
      </c>
    </row>
    <row r="37" spans="1:7" x14ac:dyDescent="0.25">
      <c r="B37"/>
    </row>
  </sheetData>
  <phoneticPr fontId="14" type="noConversion"/>
  <pageMargins left="0.75" right="0.75" top="1" bottom="1" header="0.5" footer="0.5"/>
  <pageSetup orientation="portrait" horizontalDpi="1200" verticalDpi="1200"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N65"/>
  <sheetViews>
    <sheetView zoomScale="109" workbookViewId="0">
      <selection activeCell="D92" sqref="D92"/>
    </sheetView>
  </sheetViews>
  <sheetFormatPr defaultColWidth="8.7265625" defaultRowHeight="12.5" x14ac:dyDescent="0.25"/>
  <cols>
    <col min="1" max="1" width="16.453125" style="4" bestFit="1" customWidth="1"/>
    <col min="2" max="2" width="10" style="4" bestFit="1" customWidth="1"/>
    <col min="3" max="5" width="8.7265625" style="4"/>
    <col min="6" max="6" width="3.54296875" style="4" customWidth="1"/>
    <col min="7" max="16384" width="8.7265625" style="4"/>
  </cols>
  <sheetData>
    <row r="1" spans="1:14" ht="13" x14ac:dyDescent="0.3">
      <c r="A1" s="3" t="s">
        <v>54</v>
      </c>
    </row>
    <row r="2" spans="1:14" ht="13" x14ac:dyDescent="0.3">
      <c r="G2" s="43" t="s">
        <v>32</v>
      </c>
      <c r="H2" s="43" t="s">
        <v>40</v>
      </c>
      <c r="J2" s="44" t="s">
        <v>55</v>
      </c>
      <c r="K2" s="45"/>
      <c r="L2" s="45"/>
      <c r="M2" s="45"/>
      <c r="N2" s="45"/>
    </row>
    <row r="3" spans="1:14" ht="13" x14ac:dyDescent="0.3">
      <c r="A3" s="46" t="s">
        <v>0</v>
      </c>
      <c r="B3" s="47">
        <v>40214</v>
      </c>
      <c r="G3" s="30"/>
      <c r="H3" s="30"/>
      <c r="J3" s="44"/>
      <c r="K3" s="45"/>
      <c r="L3" s="45"/>
      <c r="M3" s="45"/>
      <c r="N3" s="45"/>
    </row>
    <row r="4" spans="1:14" ht="13" x14ac:dyDescent="0.3">
      <c r="A4" s="46" t="s">
        <v>33</v>
      </c>
      <c r="B4" s="48">
        <v>100</v>
      </c>
      <c r="G4" s="49">
        <v>0.24931506849315069</v>
      </c>
      <c r="H4" s="49">
        <v>1.5002820207405954E-3</v>
      </c>
      <c r="J4" s="44" t="s">
        <v>109</v>
      </c>
      <c r="K4" s="45"/>
      <c r="L4" s="45"/>
      <c r="M4" s="45"/>
      <c r="N4" s="45"/>
    </row>
    <row r="5" spans="1:14" ht="13" x14ac:dyDescent="0.3">
      <c r="A5" s="46" t="s">
        <v>38</v>
      </c>
      <c r="B5" s="48">
        <v>2</v>
      </c>
      <c r="G5" s="49">
        <v>0.49863013698630138</v>
      </c>
      <c r="H5" s="49">
        <v>2.3000036219071873E-3</v>
      </c>
      <c r="J5" s="44" t="s">
        <v>56</v>
      </c>
      <c r="K5" s="45"/>
      <c r="L5" s="45"/>
      <c r="M5" s="45"/>
      <c r="N5" s="45"/>
    </row>
    <row r="6" spans="1:14" ht="13" x14ac:dyDescent="0.3">
      <c r="A6" s="46" t="s">
        <v>57</v>
      </c>
      <c r="B6" s="48">
        <v>2.5</v>
      </c>
      <c r="G6" s="49">
        <v>1.0662983425414365</v>
      </c>
      <c r="H6" s="49">
        <v>8.47854472710745E-3</v>
      </c>
      <c r="J6" s="44" t="s">
        <v>44</v>
      </c>
      <c r="K6" s="45"/>
      <c r="L6" s="45"/>
      <c r="M6" s="45"/>
      <c r="N6" s="45"/>
    </row>
    <row r="7" spans="1:14" ht="13" x14ac:dyDescent="0.3">
      <c r="A7" s="46" t="s">
        <v>58</v>
      </c>
      <c r="B7" s="50">
        <v>42156</v>
      </c>
      <c r="G7" s="49">
        <v>1.3186813186813187</v>
      </c>
      <c r="H7" s="49">
        <v>8.205872331697027E-3</v>
      </c>
      <c r="J7" s="44" t="s">
        <v>99</v>
      </c>
      <c r="K7" s="45"/>
      <c r="L7" s="45"/>
      <c r="M7" s="45"/>
      <c r="N7" s="45"/>
    </row>
    <row r="8" spans="1:14" ht="13" x14ac:dyDescent="0.3">
      <c r="A8" s="3"/>
      <c r="G8" s="49">
        <v>1.5662983425414365</v>
      </c>
      <c r="H8" s="49">
        <v>9.706145333122921E-3</v>
      </c>
    </row>
    <row r="9" spans="1:14" ht="13" x14ac:dyDescent="0.3">
      <c r="A9" s="3" t="s">
        <v>59</v>
      </c>
      <c r="B9" s="5">
        <f>COUPDAYBS($B$3,$B$7,$B$5,1)/COUPDAYS($B$3,$B$7,$B$5,1)</f>
        <v>0.36263736263736263</v>
      </c>
      <c r="G9" s="49">
        <v>2.3186813186813189</v>
      </c>
      <c r="H9" s="49">
        <v>1.4327696323998931E-2</v>
      </c>
    </row>
    <row r="10" spans="1:14" ht="13" x14ac:dyDescent="0.3">
      <c r="A10" s="3" t="s">
        <v>60</v>
      </c>
      <c r="B10" s="51">
        <f>$B$9*$B$4*$B$6/100/$B$5</f>
        <v>0.4532967032967033</v>
      </c>
      <c r="G10" s="49">
        <v>3.3186813186813189</v>
      </c>
      <c r="H10" s="49">
        <v>1.9745926431623626E-2</v>
      </c>
    </row>
    <row r="11" spans="1:14" ht="13" x14ac:dyDescent="0.3">
      <c r="A11" s="3" t="s">
        <v>61</v>
      </c>
      <c r="B11" s="4">
        <f>COUPNUM($B$3,$B$7,$B$5,1)</f>
        <v>11</v>
      </c>
      <c r="G11" s="49">
        <v>4.1049723756906076</v>
      </c>
      <c r="H11" s="49">
        <v>2.4130108327770086E-2</v>
      </c>
    </row>
    <row r="12" spans="1:14" x14ac:dyDescent="0.25">
      <c r="G12" s="49">
        <v>4.3186813186813184</v>
      </c>
      <c r="H12" s="49">
        <v>2.330542174421248E-2</v>
      </c>
    </row>
    <row r="13" spans="1:14" x14ac:dyDescent="0.25">
      <c r="G13" s="49">
        <v>5.3186813186813184</v>
      </c>
      <c r="H13" s="49">
        <v>2.605337626258776E-2</v>
      </c>
    </row>
    <row r="15" spans="1:14" ht="13" x14ac:dyDescent="0.3">
      <c r="A15" s="33" t="s">
        <v>62</v>
      </c>
      <c r="B15" s="33" t="s">
        <v>63</v>
      </c>
      <c r="C15" s="33" t="s">
        <v>64</v>
      </c>
      <c r="D15" s="33" t="s">
        <v>40</v>
      </c>
      <c r="E15" s="33" t="s">
        <v>65</v>
      </c>
      <c r="G15" s="52" t="s">
        <v>37</v>
      </c>
      <c r="H15" s="52" t="s">
        <v>66</v>
      </c>
    </row>
    <row r="16" spans="1:14" x14ac:dyDescent="0.25">
      <c r="A16" s="4">
        <v>1</v>
      </c>
      <c r="B16" s="5">
        <f>IF($B$9&gt;0,(1-$B$9)/$B$5,1/$B$5)</f>
        <v>0.31868131868131866</v>
      </c>
      <c r="C16" s="4">
        <f t="shared" ref="C16:C65" si="0">IF($A16&gt;$B$11,"",IF($A16=$B$11,$B$4*(1+$B$6/100/$B$5),$B$4*$B$6/100/$B$5))</f>
        <v>1.25</v>
      </c>
      <c r="D16" s="5">
        <f t="shared" ref="D16:D26" si="1">PWLinear(B16,G$4:G$13,H$4:H$13)</f>
        <v>1.7227863763845789E-3</v>
      </c>
      <c r="E16" s="5">
        <f>IF($A16&gt;$B$11,"",$C16/(1+D16/$B$5)^($B16*$B$5))</f>
        <v>1.2493142088064566</v>
      </c>
      <c r="G16" s="53">
        <f>SUM(E16:E65)</f>
        <v>100.1432966680339</v>
      </c>
      <c r="H16" s="54">
        <f>G16-B10</f>
        <v>99.689999964737197</v>
      </c>
    </row>
    <row r="17" spans="1:5" x14ac:dyDescent="0.25">
      <c r="A17" s="4">
        <f>A16+1</f>
        <v>2</v>
      </c>
      <c r="B17" s="5">
        <f t="shared" ref="B17:B65" si="2">IF(A17&gt;$B$11,"",B16+1/$B$5)</f>
        <v>0.81868131868131866</v>
      </c>
      <c r="C17" s="4">
        <f t="shared" si="0"/>
        <v>1.25</v>
      </c>
      <c r="D17" s="5">
        <f t="shared" si="1"/>
        <v>5.7834634361428484E-3</v>
      </c>
      <c r="E17" s="5">
        <f t="shared" ref="E17:E26" si="3">IF($A17&gt;$B$11,"",$C17/(1+D17/$B$5)^($B17*$B$5))</f>
        <v>1.2441039732132215</v>
      </c>
    </row>
    <row r="18" spans="1:5" x14ac:dyDescent="0.25">
      <c r="A18" s="4">
        <f t="shared" ref="A18:A65" si="4">A17+1</f>
        <v>3</v>
      </c>
      <c r="B18" s="5">
        <f t="shared" si="2"/>
        <v>1.3186813186813187</v>
      </c>
      <c r="C18" s="4">
        <f t="shared" si="0"/>
        <v>1.25</v>
      </c>
      <c r="D18" s="5">
        <f t="shared" si="1"/>
        <v>8.205872331697027E-3</v>
      </c>
      <c r="E18" s="5">
        <f t="shared" si="3"/>
        <v>1.2365741316921131</v>
      </c>
    </row>
    <row r="19" spans="1:5" x14ac:dyDescent="0.25">
      <c r="A19" s="4">
        <f t="shared" si="4"/>
        <v>4</v>
      </c>
      <c r="B19" s="5">
        <f t="shared" si="2"/>
        <v>1.8186813186813187</v>
      </c>
      <c r="C19" s="4">
        <f t="shared" si="0"/>
        <v>1.25</v>
      </c>
      <c r="D19" s="5">
        <f t="shared" si="1"/>
        <v>1.1256420698793412E-2</v>
      </c>
      <c r="E19" s="5">
        <f t="shared" si="3"/>
        <v>1.2247406458876229</v>
      </c>
    </row>
    <row r="20" spans="1:5" x14ac:dyDescent="0.25">
      <c r="A20" s="4">
        <f t="shared" si="4"/>
        <v>5</v>
      </c>
      <c r="B20" s="5">
        <f t="shared" si="2"/>
        <v>2.3186813186813184</v>
      </c>
      <c r="C20" s="4">
        <f t="shared" si="0"/>
        <v>1.25</v>
      </c>
      <c r="D20" s="5">
        <f t="shared" si="1"/>
        <v>1.4327696323998929E-2</v>
      </c>
      <c r="E20" s="5">
        <f t="shared" si="3"/>
        <v>1.2092987191296263</v>
      </c>
    </row>
    <row r="21" spans="1:5" x14ac:dyDescent="0.25">
      <c r="A21" s="4">
        <f t="shared" si="4"/>
        <v>6</v>
      </c>
      <c r="B21" s="5">
        <f t="shared" si="2"/>
        <v>2.8186813186813184</v>
      </c>
      <c r="C21" s="4">
        <f t="shared" si="0"/>
        <v>1.25</v>
      </c>
      <c r="D21" s="5">
        <f t="shared" si="1"/>
        <v>1.7036811377811274E-2</v>
      </c>
      <c r="E21" s="5">
        <f t="shared" si="3"/>
        <v>1.1916341350333641</v>
      </c>
    </row>
    <row r="22" spans="1:5" x14ac:dyDescent="0.25">
      <c r="A22" s="4">
        <f t="shared" si="4"/>
        <v>7</v>
      </c>
      <c r="B22" s="5">
        <f t="shared" si="2"/>
        <v>3.3186813186813184</v>
      </c>
      <c r="C22" s="4">
        <f t="shared" si="0"/>
        <v>1.25</v>
      </c>
      <c r="D22" s="5">
        <f t="shared" si="1"/>
        <v>1.9745926431623623E-2</v>
      </c>
      <c r="E22" s="5">
        <f t="shared" si="3"/>
        <v>1.1710894745730649</v>
      </c>
    </row>
    <row r="23" spans="1:5" x14ac:dyDescent="0.25">
      <c r="A23" s="4">
        <f t="shared" si="4"/>
        <v>8</v>
      </c>
      <c r="B23" s="5">
        <f t="shared" si="2"/>
        <v>3.8186813186813184</v>
      </c>
      <c r="C23" s="4">
        <f t="shared" si="0"/>
        <v>1.25</v>
      </c>
      <c r="D23" s="5">
        <f t="shared" si="1"/>
        <v>2.2533813853885549E-2</v>
      </c>
      <c r="E23" s="5">
        <f t="shared" si="3"/>
        <v>1.1474880423280247</v>
      </c>
    </row>
    <row r="24" spans="1:5" x14ac:dyDescent="0.25">
      <c r="A24" s="4">
        <f t="shared" si="4"/>
        <v>9</v>
      </c>
      <c r="B24" s="5">
        <f t="shared" si="2"/>
        <v>4.3186813186813184</v>
      </c>
      <c r="C24" s="4">
        <f t="shared" si="0"/>
        <v>1.25</v>
      </c>
      <c r="D24" s="5">
        <f t="shared" si="1"/>
        <v>2.330542174421248E-2</v>
      </c>
      <c r="E24" s="5">
        <f t="shared" si="3"/>
        <v>1.1309712318027221</v>
      </c>
    </row>
    <row r="25" spans="1:5" x14ac:dyDescent="0.25">
      <c r="A25" s="4">
        <f t="shared" si="4"/>
        <v>10</v>
      </c>
      <c r="B25" s="5">
        <f t="shared" si="2"/>
        <v>4.8186813186813184</v>
      </c>
      <c r="C25" s="4">
        <f t="shared" si="0"/>
        <v>1.25</v>
      </c>
      <c r="D25" s="5">
        <f t="shared" si="1"/>
        <v>2.4679399003400118E-2</v>
      </c>
      <c r="E25" s="5">
        <f t="shared" si="3"/>
        <v>1.1106541249697541</v>
      </c>
    </row>
    <row r="26" spans="1:5" x14ac:dyDescent="0.25">
      <c r="A26" s="4">
        <f t="shared" si="4"/>
        <v>11</v>
      </c>
      <c r="B26" s="5">
        <f t="shared" si="2"/>
        <v>5.3186813186813184</v>
      </c>
      <c r="C26" s="4">
        <f t="shared" si="0"/>
        <v>101.25</v>
      </c>
      <c r="D26" s="5">
        <f t="shared" si="1"/>
        <v>2.605337626258776E-2</v>
      </c>
      <c r="E26" s="5">
        <f t="shared" si="3"/>
        <v>88.227427980597923</v>
      </c>
    </row>
    <row r="27" spans="1:5" x14ac:dyDescent="0.25">
      <c r="A27" s="4">
        <f t="shared" si="4"/>
        <v>12</v>
      </c>
      <c r="B27" s="5" t="str">
        <f t="shared" si="2"/>
        <v/>
      </c>
      <c r="C27" s="4" t="str">
        <f t="shared" si="0"/>
        <v/>
      </c>
      <c r="E27" s="5" t="str">
        <f t="shared" ref="E27:E65" si="5">IF($A27&gt;$B$11,"",$C27/(1+PWLinear($B27,$G$4:$G$13,$H$4:$H$13)/$B$5)^($B27*$B$5))</f>
        <v/>
      </c>
    </row>
    <row r="28" spans="1:5" x14ac:dyDescent="0.25">
      <c r="A28" s="4">
        <f t="shared" si="4"/>
        <v>13</v>
      </c>
      <c r="B28" s="5" t="str">
        <f t="shared" si="2"/>
        <v/>
      </c>
      <c r="C28" s="4" t="str">
        <f t="shared" si="0"/>
        <v/>
      </c>
      <c r="E28" s="5" t="str">
        <f t="shared" si="5"/>
        <v/>
      </c>
    </row>
    <row r="29" spans="1:5" x14ac:dyDescent="0.25">
      <c r="A29" s="4">
        <f t="shared" si="4"/>
        <v>14</v>
      </c>
      <c r="B29" s="5" t="str">
        <f t="shared" si="2"/>
        <v/>
      </c>
      <c r="C29" s="4" t="str">
        <f t="shared" si="0"/>
        <v/>
      </c>
      <c r="E29" s="5" t="str">
        <f t="shared" si="5"/>
        <v/>
      </c>
    </row>
    <row r="30" spans="1:5" x14ac:dyDescent="0.25">
      <c r="A30" s="4">
        <f t="shared" si="4"/>
        <v>15</v>
      </c>
      <c r="B30" s="5" t="str">
        <f t="shared" si="2"/>
        <v/>
      </c>
      <c r="C30" s="4" t="str">
        <f t="shared" si="0"/>
        <v/>
      </c>
      <c r="E30" s="5" t="str">
        <f t="shared" si="5"/>
        <v/>
      </c>
    </row>
    <row r="31" spans="1:5" x14ac:dyDescent="0.25">
      <c r="A31" s="4">
        <f t="shared" si="4"/>
        <v>16</v>
      </c>
      <c r="B31" s="5" t="str">
        <f t="shared" si="2"/>
        <v/>
      </c>
      <c r="C31" s="4" t="str">
        <f t="shared" si="0"/>
        <v/>
      </c>
      <c r="E31" s="5" t="str">
        <f t="shared" si="5"/>
        <v/>
      </c>
    </row>
    <row r="32" spans="1:5" x14ac:dyDescent="0.25">
      <c r="A32" s="4">
        <f t="shared" si="4"/>
        <v>17</v>
      </c>
      <c r="B32" s="5" t="str">
        <f t="shared" si="2"/>
        <v/>
      </c>
      <c r="C32" s="4" t="str">
        <f t="shared" si="0"/>
        <v/>
      </c>
      <c r="E32" s="5" t="str">
        <f t="shared" si="5"/>
        <v/>
      </c>
    </row>
    <row r="33" spans="1:5" x14ac:dyDescent="0.25">
      <c r="A33" s="4">
        <f t="shared" si="4"/>
        <v>18</v>
      </c>
      <c r="B33" s="5" t="str">
        <f t="shared" si="2"/>
        <v/>
      </c>
      <c r="C33" s="4" t="str">
        <f t="shared" si="0"/>
        <v/>
      </c>
      <c r="E33" s="5" t="str">
        <f t="shared" si="5"/>
        <v/>
      </c>
    </row>
    <row r="34" spans="1:5" x14ac:dyDescent="0.25">
      <c r="A34" s="4">
        <f t="shared" si="4"/>
        <v>19</v>
      </c>
      <c r="B34" s="5" t="str">
        <f t="shared" si="2"/>
        <v/>
      </c>
      <c r="C34" s="4" t="str">
        <f t="shared" si="0"/>
        <v/>
      </c>
      <c r="E34" s="5" t="str">
        <f t="shared" si="5"/>
        <v/>
      </c>
    </row>
    <row r="35" spans="1:5" x14ac:dyDescent="0.25">
      <c r="A35" s="4">
        <f t="shared" si="4"/>
        <v>20</v>
      </c>
      <c r="B35" s="5" t="str">
        <f t="shared" si="2"/>
        <v/>
      </c>
      <c r="C35" s="4" t="str">
        <f t="shared" si="0"/>
        <v/>
      </c>
      <c r="E35" s="5" t="str">
        <f t="shared" si="5"/>
        <v/>
      </c>
    </row>
    <row r="36" spans="1:5" x14ac:dyDescent="0.25">
      <c r="A36" s="4">
        <f t="shared" si="4"/>
        <v>21</v>
      </c>
      <c r="B36" s="5" t="str">
        <f t="shared" si="2"/>
        <v/>
      </c>
      <c r="C36" s="4" t="str">
        <f t="shared" si="0"/>
        <v/>
      </c>
      <c r="E36" s="5" t="str">
        <f t="shared" si="5"/>
        <v/>
      </c>
    </row>
    <row r="37" spans="1:5" x14ac:dyDescent="0.25">
      <c r="A37" s="4">
        <f t="shared" si="4"/>
        <v>22</v>
      </c>
      <c r="B37" s="5" t="str">
        <f t="shared" si="2"/>
        <v/>
      </c>
      <c r="C37" s="4" t="str">
        <f t="shared" si="0"/>
        <v/>
      </c>
      <c r="E37" s="5" t="str">
        <f t="shared" si="5"/>
        <v/>
      </c>
    </row>
    <row r="38" spans="1:5" x14ac:dyDescent="0.25">
      <c r="A38" s="4">
        <f t="shared" si="4"/>
        <v>23</v>
      </c>
      <c r="B38" s="5" t="str">
        <f t="shared" si="2"/>
        <v/>
      </c>
      <c r="C38" s="4" t="str">
        <f t="shared" si="0"/>
        <v/>
      </c>
      <c r="E38" s="5" t="str">
        <f t="shared" si="5"/>
        <v/>
      </c>
    </row>
    <row r="39" spans="1:5" x14ac:dyDescent="0.25">
      <c r="A39" s="4">
        <f t="shared" si="4"/>
        <v>24</v>
      </c>
      <c r="B39" s="5" t="str">
        <f t="shared" si="2"/>
        <v/>
      </c>
      <c r="C39" s="4" t="str">
        <f t="shared" si="0"/>
        <v/>
      </c>
      <c r="E39" s="5" t="str">
        <f t="shared" si="5"/>
        <v/>
      </c>
    </row>
    <row r="40" spans="1:5" x14ac:dyDescent="0.25">
      <c r="A40" s="4">
        <f t="shared" si="4"/>
        <v>25</v>
      </c>
      <c r="B40" s="5" t="str">
        <f t="shared" si="2"/>
        <v/>
      </c>
      <c r="C40" s="4" t="str">
        <f t="shared" si="0"/>
        <v/>
      </c>
      <c r="E40" s="5" t="str">
        <f t="shared" si="5"/>
        <v/>
      </c>
    </row>
    <row r="41" spans="1:5" x14ac:dyDescent="0.25">
      <c r="A41" s="4">
        <f t="shared" si="4"/>
        <v>26</v>
      </c>
      <c r="B41" s="5" t="str">
        <f t="shared" si="2"/>
        <v/>
      </c>
      <c r="C41" s="4" t="str">
        <f t="shared" si="0"/>
        <v/>
      </c>
      <c r="E41" s="5" t="str">
        <f t="shared" si="5"/>
        <v/>
      </c>
    </row>
    <row r="42" spans="1:5" x14ac:dyDescent="0.25">
      <c r="A42" s="4">
        <f t="shared" si="4"/>
        <v>27</v>
      </c>
      <c r="B42" s="5" t="str">
        <f t="shared" si="2"/>
        <v/>
      </c>
      <c r="C42" s="4" t="str">
        <f t="shared" si="0"/>
        <v/>
      </c>
      <c r="E42" s="5" t="str">
        <f t="shared" si="5"/>
        <v/>
      </c>
    </row>
    <row r="43" spans="1:5" x14ac:dyDescent="0.25">
      <c r="A43" s="4">
        <f t="shared" si="4"/>
        <v>28</v>
      </c>
      <c r="B43" s="5" t="str">
        <f t="shared" si="2"/>
        <v/>
      </c>
      <c r="C43" s="4" t="str">
        <f t="shared" si="0"/>
        <v/>
      </c>
      <c r="E43" s="5" t="str">
        <f t="shared" si="5"/>
        <v/>
      </c>
    </row>
    <row r="44" spans="1:5" x14ac:dyDescent="0.25">
      <c r="A44" s="4">
        <f t="shared" si="4"/>
        <v>29</v>
      </c>
      <c r="B44" s="5" t="str">
        <f t="shared" si="2"/>
        <v/>
      </c>
      <c r="C44" s="4" t="str">
        <f t="shared" si="0"/>
        <v/>
      </c>
      <c r="E44" s="5" t="str">
        <f t="shared" si="5"/>
        <v/>
      </c>
    </row>
    <row r="45" spans="1:5" x14ac:dyDescent="0.25">
      <c r="A45" s="4">
        <f t="shared" si="4"/>
        <v>30</v>
      </c>
      <c r="B45" s="5" t="str">
        <f t="shared" si="2"/>
        <v/>
      </c>
      <c r="C45" s="4" t="str">
        <f t="shared" si="0"/>
        <v/>
      </c>
      <c r="E45" s="5" t="str">
        <f t="shared" si="5"/>
        <v/>
      </c>
    </row>
    <row r="46" spans="1:5" x14ac:dyDescent="0.25">
      <c r="A46" s="4">
        <f t="shared" si="4"/>
        <v>31</v>
      </c>
      <c r="B46" s="5" t="str">
        <f t="shared" si="2"/>
        <v/>
      </c>
      <c r="C46" s="4" t="str">
        <f t="shared" si="0"/>
        <v/>
      </c>
      <c r="E46" s="5" t="str">
        <f t="shared" si="5"/>
        <v/>
      </c>
    </row>
    <row r="47" spans="1:5" x14ac:dyDescent="0.25">
      <c r="A47" s="4">
        <f t="shared" si="4"/>
        <v>32</v>
      </c>
      <c r="B47" s="5" t="str">
        <f t="shared" si="2"/>
        <v/>
      </c>
      <c r="C47" s="4" t="str">
        <f t="shared" si="0"/>
        <v/>
      </c>
      <c r="E47" s="5" t="str">
        <f t="shared" si="5"/>
        <v/>
      </c>
    </row>
    <row r="48" spans="1:5" x14ac:dyDescent="0.25">
      <c r="A48" s="4">
        <f t="shared" si="4"/>
        <v>33</v>
      </c>
      <c r="B48" s="5" t="str">
        <f t="shared" si="2"/>
        <v/>
      </c>
      <c r="C48" s="4" t="str">
        <f t="shared" si="0"/>
        <v/>
      </c>
      <c r="E48" s="5" t="str">
        <f t="shared" si="5"/>
        <v/>
      </c>
    </row>
    <row r="49" spans="1:5" x14ac:dyDescent="0.25">
      <c r="A49" s="4">
        <f t="shared" si="4"/>
        <v>34</v>
      </c>
      <c r="B49" s="5" t="str">
        <f t="shared" si="2"/>
        <v/>
      </c>
      <c r="C49" s="4" t="str">
        <f t="shared" si="0"/>
        <v/>
      </c>
      <c r="E49" s="5" t="str">
        <f t="shared" si="5"/>
        <v/>
      </c>
    </row>
    <row r="50" spans="1:5" x14ac:dyDescent="0.25">
      <c r="A50" s="4">
        <f t="shared" si="4"/>
        <v>35</v>
      </c>
      <c r="B50" s="5" t="str">
        <f t="shared" si="2"/>
        <v/>
      </c>
      <c r="C50" s="4" t="str">
        <f t="shared" si="0"/>
        <v/>
      </c>
      <c r="E50" s="5" t="str">
        <f t="shared" si="5"/>
        <v/>
      </c>
    </row>
    <row r="51" spans="1:5" x14ac:dyDescent="0.25">
      <c r="A51" s="4">
        <f t="shared" si="4"/>
        <v>36</v>
      </c>
      <c r="B51" s="5" t="str">
        <f t="shared" si="2"/>
        <v/>
      </c>
      <c r="C51" s="4" t="str">
        <f t="shared" si="0"/>
        <v/>
      </c>
      <c r="E51" s="5" t="str">
        <f t="shared" si="5"/>
        <v/>
      </c>
    </row>
    <row r="52" spans="1:5" x14ac:dyDescent="0.25">
      <c r="A52" s="4">
        <f t="shared" si="4"/>
        <v>37</v>
      </c>
      <c r="B52" s="5" t="str">
        <f t="shared" si="2"/>
        <v/>
      </c>
      <c r="C52" s="4" t="str">
        <f t="shared" si="0"/>
        <v/>
      </c>
      <c r="E52" s="5" t="str">
        <f t="shared" si="5"/>
        <v/>
      </c>
    </row>
    <row r="53" spans="1:5" x14ac:dyDescent="0.25">
      <c r="A53" s="4">
        <f t="shared" si="4"/>
        <v>38</v>
      </c>
      <c r="B53" s="5" t="str">
        <f t="shared" si="2"/>
        <v/>
      </c>
      <c r="C53" s="4" t="str">
        <f t="shared" si="0"/>
        <v/>
      </c>
      <c r="E53" s="5" t="str">
        <f t="shared" si="5"/>
        <v/>
      </c>
    </row>
    <row r="54" spans="1:5" x14ac:dyDescent="0.25">
      <c r="A54" s="4">
        <f t="shared" si="4"/>
        <v>39</v>
      </c>
      <c r="B54" s="5" t="str">
        <f t="shared" si="2"/>
        <v/>
      </c>
      <c r="C54" s="4" t="str">
        <f t="shared" si="0"/>
        <v/>
      </c>
      <c r="E54" s="5" t="str">
        <f t="shared" si="5"/>
        <v/>
      </c>
    </row>
    <row r="55" spans="1:5" x14ac:dyDescent="0.25">
      <c r="A55" s="4">
        <f t="shared" si="4"/>
        <v>40</v>
      </c>
      <c r="B55" s="5" t="str">
        <f t="shared" si="2"/>
        <v/>
      </c>
      <c r="C55" s="4" t="str">
        <f t="shared" si="0"/>
        <v/>
      </c>
      <c r="E55" s="5" t="str">
        <f t="shared" si="5"/>
        <v/>
      </c>
    </row>
    <row r="56" spans="1:5" x14ac:dyDescent="0.25">
      <c r="A56" s="4">
        <f t="shared" si="4"/>
        <v>41</v>
      </c>
      <c r="B56" s="5" t="str">
        <f t="shared" si="2"/>
        <v/>
      </c>
      <c r="C56" s="4" t="str">
        <f t="shared" si="0"/>
        <v/>
      </c>
      <c r="E56" s="5" t="str">
        <f t="shared" si="5"/>
        <v/>
      </c>
    </row>
    <row r="57" spans="1:5" x14ac:dyDescent="0.25">
      <c r="A57" s="4">
        <f t="shared" si="4"/>
        <v>42</v>
      </c>
      <c r="B57" s="5" t="str">
        <f t="shared" si="2"/>
        <v/>
      </c>
      <c r="C57" s="4" t="str">
        <f t="shared" si="0"/>
        <v/>
      </c>
      <c r="E57" s="5" t="str">
        <f t="shared" si="5"/>
        <v/>
      </c>
    </row>
    <row r="58" spans="1:5" x14ac:dyDescent="0.25">
      <c r="A58" s="4">
        <f t="shared" si="4"/>
        <v>43</v>
      </c>
      <c r="B58" s="5" t="str">
        <f t="shared" si="2"/>
        <v/>
      </c>
      <c r="C58" s="4" t="str">
        <f t="shared" si="0"/>
        <v/>
      </c>
      <c r="E58" s="5" t="str">
        <f t="shared" si="5"/>
        <v/>
      </c>
    </row>
    <row r="59" spans="1:5" x14ac:dyDescent="0.25">
      <c r="A59" s="4">
        <f t="shared" si="4"/>
        <v>44</v>
      </c>
      <c r="B59" s="5" t="str">
        <f t="shared" si="2"/>
        <v/>
      </c>
      <c r="C59" s="4" t="str">
        <f t="shared" si="0"/>
        <v/>
      </c>
      <c r="E59" s="5" t="str">
        <f t="shared" si="5"/>
        <v/>
      </c>
    </row>
    <row r="60" spans="1:5" x14ac:dyDescent="0.25">
      <c r="A60" s="4">
        <f t="shared" si="4"/>
        <v>45</v>
      </c>
      <c r="B60" s="5" t="str">
        <f t="shared" si="2"/>
        <v/>
      </c>
      <c r="C60" s="4" t="str">
        <f t="shared" si="0"/>
        <v/>
      </c>
      <c r="E60" s="5" t="str">
        <f t="shared" si="5"/>
        <v/>
      </c>
    </row>
    <row r="61" spans="1:5" x14ac:dyDescent="0.25">
      <c r="A61" s="4">
        <f t="shared" si="4"/>
        <v>46</v>
      </c>
      <c r="B61" s="5" t="str">
        <f t="shared" si="2"/>
        <v/>
      </c>
      <c r="C61" s="4" t="str">
        <f t="shared" si="0"/>
        <v/>
      </c>
      <c r="E61" s="5" t="str">
        <f t="shared" si="5"/>
        <v/>
      </c>
    </row>
    <row r="62" spans="1:5" x14ac:dyDescent="0.25">
      <c r="A62" s="4">
        <f t="shared" si="4"/>
        <v>47</v>
      </c>
      <c r="B62" s="5" t="str">
        <f t="shared" si="2"/>
        <v/>
      </c>
      <c r="C62" s="4" t="str">
        <f t="shared" si="0"/>
        <v/>
      </c>
      <c r="E62" s="5" t="str">
        <f t="shared" si="5"/>
        <v/>
      </c>
    </row>
    <row r="63" spans="1:5" x14ac:dyDescent="0.25">
      <c r="A63" s="4">
        <f t="shared" si="4"/>
        <v>48</v>
      </c>
      <c r="B63" s="5" t="str">
        <f t="shared" si="2"/>
        <v/>
      </c>
      <c r="C63" s="4" t="str">
        <f t="shared" si="0"/>
        <v/>
      </c>
      <c r="E63" s="5" t="str">
        <f t="shared" si="5"/>
        <v/>
      </c>
    </row>
    <row r="64" spans="1:5" x14ac:dyDescent="0.25">
      <c r="A64" s="4">
        <f t="shared" si="4"/>
        <v>49</v>
      </c>
      <c r="B64" s="5" t="str">
        <f t="shared" si="2"/>
        <v/>
      </c>
      <c r="C64" s="4" t="str">
        <f t="shared" si="0"/>
        <v/>
      </c>
      <c r="E64" s="5" t="str">
        <f t="shared" si="5"/>
        <v/>
      </c>
    </row>
    <row r="65" spans="1:5" x14ac:dyDescent="0.25">
      <c r="A65" s="4">
        <f t="shared" si="4"/>
        <v>50</v>
      </c>
      <c r="B65" s="5" t="str">
        <f t="shared" si="2"/>
        <v/>
      </c>
      <c r="C65" s="4" t="str">
        <f t="shared" si="0"/>
        <v/>
      </c>
      <c r="E65" s="5" t="str">
        <f t="shared" si="5"/>
        <v/>
      </c>
    </row>
  </sheetData>
  <phoneticPr fontId="14"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S21"/>
  <sheetViews>
    <sheetView zoomScaleNormal="100" workbookViewId="0">
      <selection activeCell="D92" sqref="D92"/>
    </sheetView>
  </sheetViews>
  <sheetFormatPr defaultRowHeight="12.5" x14ac:dyDescent="0.25"/>
  <cols>
    <col min="2" max="2" width="11.1796875" bestFit="1" customWidth="1"/>
    <col min="3" max="3" width="13.453125" customWidth="1"/>
    <col min="6" max="6" width="3.54296875" customWidth="1"/>
    <col min="9" max="9" width="11.54296875" bestFit="1" customWidth="1"/>
  </cols>
  <sheetData>
    <row r="1" spans="1:19" ht="13" x14ac:dyDescent="0.3">
      <c r="B1" s="2" t="s">
        <v>67</v>
      </c>
      <c r="M1" s="39" t="s">
        <v>110</v>
      </c>
      <c r="N1" s="40"/>
      <c r="O1" s="40"/>
      <c r="P1" s="40"/>
      <c r="Q1" s="40"/>
      <c r="R1" s="40"/>
      <c r="S1" s="40"/>
    </row>
    <row r="2" spans="1:19" ht="13" x14ac:dyDescent="0.3">
      <c r="M2" s="39"/>
      <c r="N2" s="40"/>
      <c r="O2" s="40"/>
      <c r="P2" s="40"/>
      <c r="Q2" s="40"/>
      <c r="R2" s="40"/>
      <c r="S2" s="40"/>
    </row>
    <row r="3" spans="1:19" ht="13" x14ac:dyDescent="0.3">
      <c r="B3" s="3" t="s">
        <v>0</v>
      </c>
      <c r="C3" s="32">
        <v>40214</v>
      </c>
      <c r="D3" s="4"/>
      <c r="E3" s="4"/>
      <c r="F3" s="4"/>
      <c r="G3" s="4"/>
      <c r="M3" s="39" t="s">
        <v>98</v>
      </c>
      <c r="N3" s="40"/>
      <c r="O3" s="40"/>
      <c r="P3" s="40"/>
      <c r="Q3" s="40"/>
      <c r="R3" s="40"/>
      <c r="S3" s="40"/>
    </row>
    <row r="4" spans="1:19" ht="13" x14ac:dyDescent="0.3">
      <c r="B4" s="3" t="s">
        <v>33</v>
      </c>
      <c r="C4" s="4">
        <v>100</v>
      </c>
      <c r="D4" s="4"/>
      <c r="E4" s="4"/>
      <c r="F4" s="4"/>
      <c r="G4" s="4"/>
      <c r="M4" s="39" t="s">
        <v>41</v>
      </c>
      <c r="N4" s="40"/>
      <c r="O4" s="40"/>
      <c r="P4" s="40"/>
      <c r="Q4" s="40"/>
      <c r="R4" s="40"/>
      <c r="S4" s="40"/>
    </row>
    <row r="5" spans="1:19" ht="13" x14ac:dyDescent="0.3">
      <c r="B5" s="3" t="s">
        <v>38</v>
      </c>
      <c r="C5" s="4">
        <v>2</v>
      </c>
      <c r="D5" s="4"/>
      <c r="E5" s="4"/>
      <c r="F5" s="4"/>
      <c r="G5" s="4"/>
      <c r="M5" s="39" t="s">
        <v>50</v>
      </c>
      <c r="N5" s="40"/>
      <c r="O5" s="40"/>
      <c r="P5" s="40"/>
      <c r="Q5" s="40"/>
      <c r="R5" s="40"/>
      <c r="S5" s="40"/>
    </row>
    <row r="6" spans="1:19" ht="13" x14ac:dyDescent="0.3">
      <c r="B6" s="4"/>
      <c r="C6" s="4"/>
      <c r="D6" s="4"/>
      <c r="E6" s="4"/>
      <c r="F6" s="4"/>
      <c r="G6" s="4"/>
      <c r="M6" s="39" t="s">
        <v>42</v>
      </c>
      <c r="N6" s="40"/>
      <c r="O6" s="40"/>
      <c r="P6" s="40"/>
      <c r="Q6" s="40"/>
      <c r="R6" s="40"/>
      <c r="S6" s="40"/>
    </row>
    <row r="7" spans="1:19" ht="13" x14ac:dyDescent="0.3">
      <c r="A7" s="38" t="s">
        <v>51</v>
      </c>
      <c r="B7" s="3" t="s">
        <v>30</v>
      </c>
      <c r="C7" s="3" t="s">
        <v>31</v>
      </c>
      <c r="D7" s="3" t="s">
        <v>35</v>
      </c>
      <c r="E7" s="3" t="s">
        <v>36</v>
      </c>
      <c r="F7" s="4"/>
      <c r="G7" s="3" t="s">
        <v>32</v>
      </c>
      <c r="H7" s="3" t="s">
        <v>37</v>
      </c>
      <c r="I7" s="3" t="s">
        <v>39</v>
      </c>
      <c r="J7" s="33" t="s">
        <v>34</v>
      </c>
      <c r="K7" s="3" t="s">
        <v>40</v>
      </c>
      <c r="M7" s="39" t="s">
        <v>43</v>
      </c>
      <c r="N7" s="40"/>
      <c r="O7" s="40"/>
      <c r="P7" s="40"/>
      <c r="Q7" s="40"/>
      <c r="R7" s="40"/>
      <c r="S7" s="40"/>
    </row>
    <row r="8" spans="1:19" ht="13" x14ac:dyDescent="0.3">
      <c r="B8" s="4"/>
      <c r="C8" s="4"/>
      <c r="D8" s="4"/>
      <c r="E8" s="4"/>
      <c r="F8" s="4"/>
      <c r="G8" s="4"/>
      <c r="K8" s="4"/>
      <c r="M8" s="39" t="s">
        <v>44</v>
      </c>
      <c r="N8" s="40"/>
      <c r="O8" s="40"/>
      <c r="P8" s="40"/>
      <c r="Q8" s="40"/>
      <c r="R8" s="40"/>
      <c r="S8" s="40"/>
    </row>
    <row r="9" spans="1:19" ht="13" x14ac:dyDescent="0.3">
      <c r="A9" s="2" t="s">
        <v>52</v>
      </c>
      <c r="B9" s="4">
        <v>0</v>
      </c>
      <c r="C9" s="4">
        <v>91</v>
      </c>
      <c r="D9" s="4"/>
      <c r="E9" s="4">
        <v>0.15</v>
      </c>
      <c r="F9" s="4"/>
      <c r="G9" s="5">
        <f>C9/365</f>
        <v>0.24931506849315069</v>
      </c>
      <c r="K9" s="36">
        <f>2*((1+E9/100*G9)^(1/(2*G9))-1)</f>
        <v>1.5002820207405954E-3</v>
      </c>
      <c r="M9" s="39" t="s">
        <v>99</v>
      </c>
      <c r="N9" s="40"/>
      <c r="O9" s="40"/>
      <c r="P9" s="40"/>
      <c r="Q9" s="40"/>
      <c r="R9" s="40"/>
      <c r="S9" s="40"/>
    </row>
    <row r="10" spans="1:19" ht="13" x14ac:dyDescent="0.3">
      <c r="A10" s="2" t="s">
        <v>52</v>
      </c>
      <c r="B10" s="4">
        <v>0</v>
      </c>
      <c r="C10" s="4">
        <v>182</v>
      </c>
      <c r="D10" s="4"/>
      <c r="E10" s="4">
        <v>0.23</v>
      </c>
      <c r="F10" s="4"/>
      <c r="G10" s="5">
        <f>C10/365</f>
        <v>0.49863013698630138</v>
      </c>
      <c r="K10" s="36">
        <f>2*((1+E10/100*G10)^(1/(2*G10))-1)</f>
        <v>2.3000036219071873E-3</v>
      </c>
    </row>
    <row r="11" spans="1:19" ht="13" x14ac:dyDescent="0.3">
      <c r="A11" s="2" t="s">
        <v>53</v>
      </c>
      <c r="B11" s="34">
        <v>6</v>
      </c>
      <c r="C11" s="35">
        <v>40695</v>
      </c>
      <c r="D11" s="34">
        <v>106.79</v>
      </c>
      <c r="E11" s="37">
        <v>0.77</v>
      </c>
      <c r="F11" s="4"/>
      <c r="G11" s="5">
        <f t="shared" ref="G11:G21" si="0">(COUPNUM($C$3,C11,$C$5,1)-COUPDAYBS($C$3,C11,$C$5,1)/COUPDAYS($C$3,C11,$C$5,1))/$C$5</f>
        <v>1.3186813186813187</v>
      </c>
      <c r="H11" s="1">
        <f>$D11+COUPDAYBS($C$3,$C11,$C$5,1)/COUPDAYS($C$3,$C11,$C$5,1)*$B11/100/$C$5*$C$4</f>
        <v>107.87791208791209</v>
      </c>
      <c r="I11" s="1">
        <f>Bond_ZeroRates($C$4,$G11,$B11/100,$C$5,$G$9:$G$21,$K$9:$K$21)</f>
        <v>107.87791208286728</v>
      </c>
      <c r="J11" s="56">
        <f t="shared" ref="J11:J21" si="1">I11-H11</f>
        <v>-5.0448107913325657E-9</v>
      </c>
      <c r="K11" s="42">
        <v>8.2272035712298471E-3</v>
      </c>
    </row>
    <row r="12" spans="1:19" ht="13" x14ac:dyDescent="0.3">
      <c r="A12" s="2" t="s">
        <v>53</v>
      </c>
      <c r="B12" s="34">
        <v>3.75</v>
      </c>
      <c r="C12" s="35">
        <v>41061</v>
      </c>
      <c r="D12" s="34">
        <v>105.31</v>
      </c>
      <c r="E12" s="37">
        <v>1.4</v>
      </c>
      <c r="F12" s="4"/>
      <c r="G12" s="5">
        <f t="shared" si="0"/>
        <v>2.3186813186813189</v>
      </c>
      <c r="H12" s="1">
        <f t="shared" ref="H12:H21" si="2">$D12+COUPDAYBS($C$3,$C12,$C$5,1)/COUPDAYS($C$3,$C12,$C$5,1)*$B12/100/$C$5*$C$4</f>
        <v>105.98994505494505</v>
      </c>
      <c r="I12" s="1">
        <f t="shared" ref="I12:I21" si="3">Bond_ZeroRates($C$4,$G12,$B12/100,$C$5,$G$9:$G$21,$K$9:$K$21)</f>
        <v>105.98994514403333</v>
      </c>
      <c r="J12" s="56">
        <f t="shared" si="1"/>
        <v>8.9088274535242817E-8</v>
      </c>
      <c r="K12" s="42">
        <v>1.4334968368852466E-2</v>
      </c>
    </row>
    <row r="13" spans="1:19" ht="13" x14ac:dyDescent="0.3">
      <c r="A13" s="2" t="s">
        <v>53</v>
      </c>
      <c r="B13" s="34">
        <v>3.5</v>
      </c>
      <c r="C13" s="35">
        <v>41426</v>
      </c>
      <c r="D13" s="34">
        <v>104.99</v>
      </c>
      <c r="E13" s="37">
        <v>1.93</v>
      </c>
      <c r="F13" s="4"/>
      <c r="G13" s="5">
        <f t="shared" si="0"/>
        <v>3.3186813186813189</v>
      </c>
      <c r="H13" s="1">
        <f t="shared" si="2"/>
        <v>105.62461538461538</v>
      </c>
      <c r="I13" s="1">
        <f t="shared" si="3"/>
        <v>105.6246152779362</v>
      </c>
      <c r="J13" s="56">
        <f t="shared" si="1"/>
        <v>-1.0667918104445562E-7</v>
      </c>
      <c r="K13" s="42">
        <v>1.9750663158380807E-2</v>
      </c>
    </row>
    <row r="14" spans="1:19" ht="13" x14ac:dyDescent="0.3">
      <c r="A14" s="2" t="s">
        <v>53</v>
      </c>
      <c r="B14" s="34">
        <v>2.5</v>
      </c>
      <c r="C14" s="35">
        <v>42156</v>
      </c>
      <c r="D14" s="34">
        <v>99.69</v>
      </c>
      <c r="E14" s="37">
        <v>2.56</v>
      </c>
      <c r="F14" s="4"/>
      <c r="G14" s="5">
        <f t="shared" si="0"/>
        <v>5.3186813186813184</v>
      </c>
      <c r="H14" s="1">
        <f t="shared" si="2"/>
        <v>100.1432967032967</v>
      </c>
      <c r="I14" s="1">
        <f t="shared" si="3"/>
        <v>100.14329667430655</v>
      </c>
      <c r="J14" s="56">
        <f t="shared" si="1"/>
        <v>-2.8990143619012088E-8</v>
      </c>
      <c r="K14" s="42">
        <v>2.6073142931933434E-2</v>
      </c>
    </row>
    <row r="15" spans="1:19" ht="13" x14ac:dyDescent="0.3">
      <c r="A15" s="2" t="s">
        <v>53</v>
      </c>
      <c r="B15" s="34">
        <v>4</v>
      </c>
      <c r="C15" s="35">
        <v>42887</v>
      </c>
      <c r="D15" s="34">
        <v>106.53</v>
      </c>
      <c r="E15" s="37">
        <v>3</v>
      </c>
      <c r="F15" s="4"/>
      <c r="G15" s="5">
        <f t="shared" si="0"/>
        <v>7.3186813186813184</v>
      </c>
      <c r="H15" s="1">
        <f t="shared" si="2"/>
        <v>107.25527472527473</v>
      </c>
      <c r="I15" s="1">
        <f t="shared" si="3"/>
        <v>107.25527446463403</v>
      </c>
      <c r="J15" s="56">
        <f t="shared" si="1"/>
        <v>-2.6064070368647663E-7</v>
      </c>
      <c r="K15" s="42">
        <v>3.103303918882263E-2</v>
      </c>
    </row>
    <row r="16" spans="1:19" ht="13" x14ac:dyDescent="0.3">
      <c r="A16" s="2" t="s">
        <v>53</v>
      </c>
      <c r="B16" s="34">
        <v>3.5</v>
      </c>
      <c r="C16" s="35">
        <v>43983</v>
      </c>
      <c r="D16" s="34">
        <v>99.9</v>
      </c>
      <c r="E16" s="37">
        <v>3.51</v>
      </c>
      <c r="F16" s="4"/>
      <c r="G16" s="5">
        <f t="shared" si="0"/>
        <v>10.318681318681319</v>
      </c>
      <c r="H16" s="1">
        <f t="shared" si="2"/>
        <v>100.53461538461539</v>
      </c>
      <c r="I16" s="1">
        <f t="shared" si="3"/>
        <v>100.53461538404875</v>
      </c>
      <c r="J16" s="56">
        <f t="shared" si="1"/>
        <v>-5.666436209139647E-10</v>
      </c>
      <c r="K16" s="42">
        <v>3.6548664382743734E-2</v>
      </c>
    </row>
    <row r="17" spans="1:11" ht="13" x14ac:dyDescent="0.3">
      <c r="A17" s="2" t="s">
        <v>53</v>
      </c>
      <c r="B17" s="34">
        <v>9</v>
      </c>
      <c r="C17" s="35">
        <v>45809</v>
      </c>
      <c r="D17" s="34">
        <v>158.09</v>
      </c>
      <c r="E17" s="37">
        <v>3.92</v>
      </c>
      <c r="F17" s="4"/>
      <c r="G17" s="5">
        <f t="shared" si="0"/>
        <v>15.318681318681319</v>
      </c>
      <c r="H17" s="1">
        <f t="shared" si="2"/>
        <v>159.72186813186815</v>
      </c>
      <c r="I17" s="1">
        <f t="shared" si="3"/>
        <v>159.72186809942309</v>
      </c>
      <c r="J17" s="56">
        <f t="shared" si="1"/>
        <v>-3.2445058195662568E-8</v>
      </c>
      <c r="K17" s="42">
        <v>4.3783174005260272E-2</v>
      </c>
    </row>
    <row r="18" spans="1:11" ht="13" x14ac:dyDescent="0.3">
      <c r="A18" s="2" t="s">
        <v>53</v>
      </c>
      <c r="B18" s="34">
        <v>5.75</v>
      </c>
      <c r="C18" s="35">
        <v>47270</v>
      </c>
      <c r="D18" s="34">
        <v>122.96</v>
      </c>
      <c r="E18" s="37">
        <v>4.03</v>
      </c>
      <c r="F18" s="4"/>
      <c r="G18" s="5">
        <f t="shared" si="0"/>
        <v>19.318681318681318</v>
      </c>
      <c r="H18" s="1">
        <f t="shared" si="2"/>
        <v>124.00258241758242</v>
      </c>
      <c r="I18" s="1">
        <f t="shared" si="3"/>
        <v>124.00258240630831</v>
      </c>
      <c r="J18" s="56">
        <f t="shared" si="1"/>
        <v>-1.1274110534031934E-8</v>
      </c>
      <c r="K18" s="42">
        <v>4.2932520443761869E-2</v>
      </c>
    </row>
    <row r="19" spans="1:11" ht="13" x14ac:dyDescent="0.3">
      <c r="A19" s="2" t="s">
        <v>53</v>
      </c>
      <c r="B19" s="34">
        <v>5.75</v>
      </c>
      <c r="C19" s="35">
        <v>48731</v>
      </c>
      <c r="D19" s="34">
        <v>125.27</v>
      </c>
      <c r="E19" s="37">
        <v>4.0599999999999996</v>
      </c>
      <c r="F19" s="4"/>
      <c r="G19" s="5">
        <f t="shared" si="0"/>
        <v>23.318681318681318</v>
      </c>
      <c r="H19" s="1">
        <f t="shared" si="2"/>
        <v>126.31258241758242</v>
      </c>
      <c r="I19" s="1">
        <f t="shared" si="3"/>
        <v>126.31258240797439</v>
      </c>
      <c r="J19" s="56">
        <f t="shared" si="1"/>
        <v>-9.6080299272216507E-9</v>
      </c>
      <c r="K19" s="42">
        <v>4.2957362470663653E-2</v>
      </c>
    </row>
    <row r="20" spans="1:11" ht="13" x14ac:dyDescent="0.3">
      <c r="A20" s="2" t="s">
        <v>53</v>
      </c>
      <c r="B20" s="34">
        <v>5</v>
      </c>
      <c r="C20" s="35">
        <v>50192</v>
      </c>
      <c r="D20" s="34">
        <v>116.55</v>
      </c>
      <c r="E20" s="37">
        <v>4</v>
      </c>
      <c r="F20" s="4"/>
      <c r="G20" s="5">
        <f t="shared" si="0"/>
        <v>27.318681318681318</v>
      </c>
      <c r="H20" s="1">
        <f t="shared" si="2"/>
        <v>117.4565934065934</v>
      </c>
      <c r="I20" s="1">
        <f t="shared" si="3"/>
        <v>117.45659340239843</v>
      </c>
      <c r="J20" s="56">
        <f t="shared" si="1"/>
        <v>-4.1949732576540555E-9</v>
      </c>
      <c r="K20" s="42">
        <v>4.1046523202330945E-2</v>
      </c>
    </row>
    <row r="21" spans="1:11" ht="13" x14ac:dyDescent="0.3">
      <c r="A21" s="2" t="s">
        <v>53</v>
      </c>
      <c r="B21" s="34">
        <v>4</v>
      </c>
      <c r="C21" s="35">
        <v>51653</v>
      </c>
      <c r="D21" s="34">
        <v>100.24</v>
      </c>
      <c r="E21" s="37">
        <v>3.99</v>
      </c>
      <c r="F21" s="4"/>
      <c r="G21" s="5">
        <f t="shared" si="0"/>
        <v>31.318681318681318</v>
      </c>
      <c r="H21" s="1">
        <f t="shared" si="2"/>
        <v>100.96527472527472</v>
      </c>
      <c r="I21" s="1">
        <f t="shared" si="3"/>
        <v>100.9652740780559</v>
      </c>
      <c r="J21" s="56">
        <f t="shared" si="1"/>
        <v>-6.4721882608864689E-7</v>
      </c>
      <c r="K21" s="42">
        <v>4.0481139065995111E-2</v>
      </c>
    </row>
  </sheetData>
  <phoneticPr fontId="14"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D2A9B-162D-443F-A109-14FAD0D51309}">
  <sheetPr codeName="Sheet7"/>
  <dimension ref="A1:Z128"/>
  <sheetViews>
    <sheetView workbookViewId="0">
      <selection activeCell="D92" sqref="D92"/>
    </sheetView>
  </sheetViews>
  <sheetFormatPr defaultColWidth="9.1796875" defaultRowHeight="13" x14ac:dyDescent="0.3"/>
  <cols>
    <col min="1" max="1" width="4.54296875" style="4" customWidth="1"/>
    <col min="2" max="2" width="11.1796875" style="4" bestFit="1" customWidth="1"/>
    <col min="3" max="5" width="9.1796875" style="4"/>
    <col min="6" max="6" width="3.54296875" style="4" customWidth="1"/>
    <col min="7" max="8" width="9.1796875" style="4"/>
    <col min="9" max="9" width="12.1796875" style="4" customWidth="1"/>
    <col min="10" max="10" width="3.54296875" style="4" customWidth="1"/>
    <col min="11" max="11" width="9.1796875" style="4"/>
    <col min="12" max="12" width="13.1796875" style="41" bestFit="1" customWidth="1"/>
    <col min="13" max="15" width="12.453125" style="4" customWidth="1"/>
    <col min="16" max="16" width="3.54296875" style="4" customWidth="1"/>
    <col min="17" max="17" width="9.1796875" style="3"/>
    <col min="18" max="16384" width="9.1796875" style="4"/>
  </cols>
  <sheetData>
    <row r="1" spans="1:26" x14ac:dyDescent="0.3">
      <c r="B1" s="3" t="s">
        <v>46</v>
      </c>
      <c r="K1" s="41"/>
      <c r="Q1" s="3" t="s">
        <v>96</v>
      </c>
    </row>
    <row r="2" spans="1:26" x14ac:dyDescent="0.3">
      <c r="K2" s="41"/>
    </row>
    <row r="3" spans="1:26" x14ac:dyDescent="0.3">
      <c r="B3" s="3" t="s">
        <v>0</v>
      </c>
      <c r="C3" s="32">
        <v>40214</v>
      </c>
      <c r="K3" s="41"/>
      <c r="Q3" s="46" t="s">
        <v>100</v>
      </c>
      <c r="R3" s="48"/>
      <c r="S3" s="48"/>
      <c r="T3" s="48"/>
      <c r="U3" s="48"/>
      <c r="V3" s="48"/>
      <c r="W3" s="48"/>
      <c r="X3" s="48"/>
      <c r="Y3" s="48"/>
      <c r="Z3" s="48"/>
    </row>
    <row r="4" spans="1:26" x14ac:dyDescent="0.3">
      <c r="B4" s="3" t="s">
        <v>33</v>
      </c>
      <c r="C4" s="4">
        <v>100</v>
      </c>
      <c r="K4" s="41"/>
      <c r="Q4" s="46" t="s">
        <v>71</v>
      </c>
      <c r="R4" s="48"/>
      <c r="S4" s="48"/>
      <c r="T4" s="48"/>
      <c r="U4" s="48"/>
      <c r="V4" s="48"/>
      <c r="W4" s="48"/>
      <c r="X4" s="48"/>
      <c r="Y4" s="48"/>
      <c r="Z4" s="48"/>
    </row>
    <row r="5" spans="1:26" x14ac:dyDescent="0.3">
      <c r="B5" s="3" t="s">
        <v>47</v>
      </c>
      <c r="C5" s="4">
        <v>2</v>
      </c>
      <c r="K5" s="41"/>
      <c r="Q5" s="46" t="s">
        <v>70</v>
      </c>
      <c r="R5" s="48"/>
      <c r="S5" s="48"/>
      <c r="T5" s="48"/>
      <c r="U5" s="48"/>
      <c r="V5" s="48"/>
      <c r="W5" s="48"/>
      <c r="X5" s="48"/>
      <c r="Y5" s="48"/>
      <c r="Z5" s="48"/>
    </row>
    <row r="6" spans="1:26" x14ac:dyDescent="0.3">
      <c r="H6" s="33" t="s">
        <v>48</v>
      </c>
      <c r="I6" s="33" t="s">
        <v>49</v>
      </c>
      <c r="L6" s="208" t="s">
        <v>113</v>
      </c>
      <c r="M6" s="208"/>
      <c r="N6" s="207" t="s">
        <v>112</v>
      </c>
      <c r="O6" s="207"/>
      <c r="Q6" s="46" t="s">
        <v>101</v>
      </c>
      <c r="R6" s="48"/>
      <c r="S6" s="48"/>
      <c r="T6" s="48"/>
      <c r="U6" s="48"/>
      <c r="V6" s="48"/>
      <c r="W6" s="48"/>
      <c r="X6" s="48"/>
      <c r="Y6" s="48"/>
      <c r="Z6" s="48"/>
    </row>
    <row r="7" spans="1:26" s="33" customFormat="1" x14ac:dyDescent="0.3">
      <c r="B7" s="33" t="s">
        <v>30</v>
      </c>
      <c r="C7" s="33" t="s">
        <v>31</v>
      </c>
      <c r="D7" s="33" t="s">
        <v>35</v>
      </c>
      <c r="E7" s="33" t="s">
        <v>36</v>
      </c>
      <c r="G7" s="33" t="s">
        <v>32</v>
      </c>
      <c r="H7" s="33" t="s">
        <v>40</v>
      </c>
      <c r="I7" s="33" t="s">
        <v>111</v>
      </c>
      <c r="K7" s="33" t="s">
        <v>32</v>
      </c>
      <c r="L7" s="72" t="s">
        <v>48</v>
      </c>
      <c r="M7" s="61" t="s">
        <v>68</v>
      </c>
      <c r="N7" s="73" t="s">
        <v>48</v>
      </c>
      <c r="O7" s="52" t="s">
        <v>68</v>
      </c>
      <c r="Q7" s="60" t="s">
        <v>102</v>
      </c>
      <c r="R7" s="61"/>
      <c r="S7" s="61"/>
      <c r="T7" s="61"/>
      <c r="U7" s="61"/>
      <c r="V7" s="61"/>
      <c r="W7" s="61"/>
      <c r="X7" s="61"/>
      <c r="Y7" s="61"/>
      <c r="Z7" s="61"/>
    </row>
    <row r="8" spans="1:26" s="5" customFormat="1" x14ac:dyDescent="0.3">
      <c r="L8" s="41"/>
      <c r="Q8" s="60" t="s">
        <v>103</v>
      </c>
      <c r="R8" s="62"/>
      <c r="S8" s="62"/>
      <c r="T8" s="62"/>
      <c r="U8" s="62"/>
      <c r="V8" s="62"/>
      <c r="W8" s="62"/>
      <c r="X8" s="62"/>
      <c r="Y8" s="62"/>
      <c r="Z8" s="62"/>
    </row>
    <row r="9" spans="1:26" ht="14.5" x14ac:dyDescent="0.35">
      <c r="A9" s="4">
        <v>1</v>
      </c>
      <c r="B9" s="4">
        <v>0</v>
      </c>
      <c r="C9" s="4">
        <v>91</v>
      </c>
      <c r="E9" s="4">
        <v>0.15</v>
      </c>
      <c r="G9" s="5">
        <f>C9/365</f>
        <v>0.24931506849315069</v>
      </c>
      <c r="H9" s="58">
        <v>1.5002820207405954E-3</v>
      </c>
      <c r="I9" s="59">
        <f t="array" ref="I9:I21">spline(G9:G21,H9:H21,0,0)</f>
        <v>3.4186669325394249E-2</v>
      </c>
      <c r="K9" s="4">
        <v>0.25</v>
      </c>
      <c r="L9" s="31">
        <f>PWLinear(K9,G$9:G$33,H$9:H$33)</f>
        <v>1.5024790581064376E-3</v>
      </c>
      <c r="M9" s="31">
        <f>splint(G$9:G$21,H$9:H$21,I$9:I$21,K9)</f>
        <v>1.5002900343083199E-3</v>
      </c>
      <c r="N9" s="31">
        <f>L9</f>
        <v>1.5024790581064376E-3</v>
      </c>
      <c r="O9" s="31">
        <f>M9</f>
        <v>1.5002900343083199E-3</v>
      </c>
      <c r="Q9" s="64" t="s">
        <v>75</v>
      </c>
      <c r="R9" s="65"/>
      <c r="S9" s="65"/>
      <c r="T9" s="65"/>
      <c r="U9" s="65"/>
      <c r="V9" s="65"/>
      <c r="W9" s="65"/>
      <c r="X9" s="65"/>
      <c r="Y9" s="65"/>
      <c r="Z9" s="65"/>
    </row>
    <row r="10" spans="1:26" ht="14.5" x14ac:dyDescent="0.35">
      <c r="A10" s="4">
        <f>A9+1</f>
        <v>2</v>
      </c>
      <c r="B10" s="4">
        <v>0</v>
      </c>
      <c r="C10" s="4">
        <v>182</v>
      </c>
      <c r="E10" s="4">
        <v>0.23</v>
      </c>
      <c r="G10" s="5">
        <f>C10/365</f>
        <v>0.49863013698630138</v>
      </c>
      <c r="H10" s="58">
        <v>2.3000036219071873E-3</v>
      </c>
      <c r="I10" s="59">
        <v>8.8223456738722051E-3</v>
      </c>
      <c r="K10" s="4">
        <f>K9+0.25</f>
        <v>0.5</v>
      </c>
      <c r="L10" s="31">
        <f t="shared" ref="L10:L40" si="0">PWLinear(K10,G$9:G$33,H$9:H$33)</f>
        <v>2.3099047746237664E-3</v>
      </c>
      <c r="M10" s="31">
        <f t="shared" ref="M10:M40" si="1">splint(G$9:G$21,H$9:H$21,I$9:I$21,K10)</f>
        <v>2.3073562733822539E-3</v>
      </c>
      <c r="N10" s="71">
        <f>2*(((1+L10/2)^$K10/(1+L9/2)^$K9)^(1/($K10-$K9))-1)</f>
        <v>3.1176562145880382E-3</v>
      </c>
      <c r="O10" s="71">
        <f t="shared" ref="O10:O73" si="2">2*(((1+M10/2)^$K10/(1+M9/2)^$K9)^(1/($K10-$K9))-1)</f>
        <v>3.1147479462916294E-3</v>
      </c>
      <c r="Q10" s="64"/>
      <c r="R10" s="65" t="s">
        <v>76</v>
      </c>
      <c r="S10" s="65"/>
      <c r="T10" s="65"/>
      <c r="U10" s="65"/>
      <c r="V10" s="65"/>
      <c r="W10" s="65"/>
      <c r="X10" s="65"/>
      <c r="Y10" s="65"/>
      <c r="Z10" s="65"/>
    </row>
    <row r="11" spans="1:26" ht="14.5" x14ac:dyDescent="0.35">
      <c r="A11" s="4">
        <f t="shared" ref="A11:A74" si="3">A10+1</f>
        <v>3</v>
      </c>
      <c r="B11" s="34">
        <v>6</v>
      </c>
      <c r="C11" s="35">
        <v>40695</v>
      </c>
      <c r="D11" s="34">
        <v>106.79</v>
      </c>
      <c r="E11" s="37">
        <v>0.77</v>
      </c>
      <c r="G11" s="5">
        <f>(COUPNUM($C$3,C11,$C$5,1)-COUPDAYBS($C$3,C11,$C$5,1)/COUPDAYS($C$3,C11,$C$5,1))/$C$5</f>
        <v>1.3186813186813187</v>
      </c>
      <c r="H11" s="56">
        <v>8.2272035712298471E-3</v>
      </c>
      <c r="I11" s="59">
        <v>-3.9886384238598943E-3</v>
      </c>
      <c r="K11" s="4">
        <f t="shared" ref="K11:K74" si="4">K10+0.25</f>
        <v>0.75</v>
      </c>
      <c r="L11" s="31">
        <f t="shared" si="0"/>
        <v>4.1168651453994485E-3</v>
      </c>
      <c r="M11" s="31">
        <f t="shared" si="1"/>
        <v>3.8850701943631129E-3</v>
      </c>
      <c r="N11" s="71">
        <f t="shared" ref="N11:N74" si="5">2*(((1+L11/2)^$K11/(1+L10/2)^$K10)^(1/($K11-$K10))-1)</f>
        <v>7.7356793671650159E-3</v>
      </c>
      <c r="O11" s="71">
        <f t="shared" si="2"/>
        <v>7.0442284850846804E-3</v>
      </c>
      <c r="Q11" s="64"/>
      <c r="R11" s="65" t="s">
        <v>77</v>
      </c>
      <c r="S11" s="65"/>
      <c r="T11" s="65"/>
      <c r="U11" s="65"/>
      <c r="V11" s="65"/>
      <c r="W11" s="65"/>
      <c r="X11" s="65"/>
      <c r="Y11" s="65"/>
      <c r="Z11" s="65"/>
    </row>
    <row r="12" spans="1:26" ht="14.5" x14ac:dyDescent="0.35">
      <c r="A12" s="4">
        <f t="shared" si="3"/>
        <v>4</v>
      </c>
      <c r="B12" s="34">
        <v>3.75</v>
      </c>
      <c r="C12" s="35">
        <v>41061</v>
      </c>
      <c r="D12" s="34">
        <v>105.31</v>
      </c>
      <c r="E12" s="37">
        <v>1.4</v>
      </c>
      <c r="G12" s="5">
        <f t="shared" ref="G12:G21" si="6">(COUPNUM($C$3,C12,$C$5,1)-COUPDAYBS($C$3,C12,$C$5,1)/COUPDAYS($C$3,C12,$C$5,1))/$C$5</f>
        <v>2.3186813186813189</v>
      </c>
      <c r="H12" s="56">
        <v>1.4334968368852466E-2</v>
      </c>
      <c r="I12" s="59">
        <v>5.6381704533920731E-4</v>
      </c>
      <c r="K12" s="4">
        <f t="shared" si="4"/>
        <v>1</v>
      </c>
      <c r="L12" s="31">
        <f t="shared" si="0"/>
        <v>5.923825516175131E-3</v>
      </c>
      <c r="M12" s="31">
        <f t="shared" si="1"/>
        <v>5.7687467009021566E-3</v>
      </c>
      <c r="N12" s="71">
        <f t="shared" si="5"/>
        <v>1.1354487701290772E-2</v>
      </c>
      <c r="O12" s="71">
        <f t="shared" si="2"/>
        <v>1.1430406953830907E-2</v>
      </c>
      <c r="Q12" s="64"/>
      <c r="R12" s="65" t="s">
        <v>97</v>
      </c>
      <c r="S12" s="65"/>
      <c r="T12" s="65"/>
      <c r="U12" s="65"/>
      <c r="V12" s="65"/>
      <c r="W12" s="65"/>
      <c r="X12" s="65"/>
      <c r="Y12" s="65"/>
      <c r="Z12" s="65"/>
    </row>
    <row r="13" spans="1:26" ht="14.5" x14ac:dyDescent="0.35">
      <c r="A13" s="4">
        <f t="shared" si="3"/>
        <v>5</v>
      </c>
      <c r="B13" s="34">
        <v>3.5</v>
      </c>
      <c r="C13" s="35">
        <v>41426</v>
      </c>
      <c r="D13" s="34">
        <v>104.99</v>
      </c>
      <c r="E13" s="37">
        <v>1.93</v>
      </c>
      <c r="G13" s="5">
        <f t="shared" si="6"/>
        <v>3.3186813186813189</v>
      </c>
      <c r="H13" s="56">
        <v>1.9750663158380807E-2</v>
      </c>
      <c r="I13" s="59">
        <v>-2.4190498060625938E-3</v>
      </c>
      <c r="K13" s="4">
        <f t="shared" si="4"/>
        <v>1.25</v>
      </c>
      <c r="L13" s="31">
        <f t="shared" si="0"/>
        <v>7.7307858869508136E-3</v>
      </c>
      <c r="M13" s="31">
        <f t="shared" si="1"/>
        <v>7.7142892890307959E-3</v>
      </c>
      <c r="N13" s="71">
        <f t="shared" si="5"/>
        <v>1.4974919356377736E-2</v>
      </c>
      <c r="O13" s="71">
        <f t="shared" si="2"/>
        <v>1.5515349203123474E-2</v>
      </c>
    </row>
    <row r="14" spans="1:26" ht="14.5" x14ac:dyDescent="0.35">
      <c r="A14" s="4">
        <f t="shared" si="3"/>
        <v>6</v>
      </c>
      <c r="B14" s="34">
        <v>2.5</v>
      </c>
      <c r="C14" s="35">
        <v>42156</v>
      </c>
      <c r="D14" s="34">
        <v>99.69</v>
      </c>
      <c r="E14" s="37">
        <v>2.56</v>
      </c>
      <c r="G14" s="5">
        <f t="shared" si="6"/>
        <v>5.3186813186813184</v>
      </c>
      <c r="H14" s="56">
        <v>2.6073142931933434E-2</v>
      </c>
      <c r="I14" s="59">
        <v>2.1187618726209814E-4</v>
      </c>
      <c r="K14" s="4">
        <f t="shared" si="4"/>
        <v>1.5</v>
      </c>
      <c r="L14" s="31">
        <f t="shared" si="0"/>
        <v>9.3346554301394422E-3</v>
      </c>
      <c r="M14" s="31">
        <f t="shared" si="1"/>
        <v>9.4976453452542721E-3</v>
      </c>
      <c r="N14" s="71">
        <f t="shared" si="5"/>
        <v>1.7373242322277438E-2</v>
      </c>
      <c r="O14" s="71">
        <f t="shared" si="2"/>
        <v>1.8438214827577681E-2</v>
      </c>
      <c r="Q14" s="43" t="s">
        <v>104</v>
      </c>
      <c r="R14" s="30"/>
      <c r="S14" s="30"/>
      <c r="T14" s="30"/>
      <c r="U14" s="30"/>
      <c r="V14" s="30"/>
      <c r="W14" s="30"/>
      <c r="X14" s="30"/>
      <c r="Y14" s="30"/>
      <c r="Z14" s="30"/>
    </row>
    <row r="15" spans="1:26" ht="14.5" x14ac:dyDescent="0.35">
      <c r="A15" s="4">
        <f t="shared" si="3"/>
        <v>7</v>
      </c>
      <c r="B15" s="34">
        <v>4</v>
      </c>
      <c r="C15" s="35">
        <v>42887</v>
      </c>
      <c r="D15" s="34">
        <v>106.53</v>
      </c>
      <c r="E15" s="37">
        <v>3</v>
      </c>
      <c r="G15" s="5">
        <f t="shared" si="6"/>
        <v>7.3186813186813184</v>
      </c>
      <c r="H15" s="56">
        <v>3.103303918882263E-2</v>
      </c>
      <c r="I15" s="59">
        <v>-4.7233021798094902E-4</v>
      </c>
      <c r="K15" s="4">
        <f t="shared" si="4"/>
        <v>1.75</v>
      </c>
      <c r="L15" s="31">
        <f t="shared" si="0"/>
        <v>1.0861596629545098E-2</v>
      </c>
      <c r="M15" s="31">
        <f t="shared" si="1"/>
        <v>1.108439118341868E-2</v>
      </c>
      <c r="N15" s="71">
        <f t="shared" si="5"/>
        <v>2.0047642249588105E-2</v>
      </c>
      <c r="O15" s="71">
        <f t="shared" si="2"/>
        <v>2.0631212422598022E-2</v>
      </c>
      <c r="Q15" s="43" t="s">
        <v>72</v>
      </c>
      <c r="R15" s="30"/>
      <c r="S15" s="30"/>
      <c r="T15" s="30"/>
      <c r="U15" s="30"/>
      <c r="V15" s="30"/>
      <c r="W15" s="30"/>
      <c r="X15" s="30"/>
      <c r="Y15" s="30"/>
      <c r="Z15" s="30"/>
    </row>
    <row r="16" spans="1:26" ht="14.5" x14ac:dyDescent="0.35">
      <c r="A16" s="4">
        <f t="shared" si="3"/>
        <v>8</v>
      </c>
      <c r="B16" s="34">
        <v>3.5</v>
      </c>
      <c r="C16" s="35">
        <v>43983</v>
      </c>
      <c r="D16" s="34">
        <v>99.9</v>
      </c>
      <c r="E16" s="37">
        <v>3.51</v>
      </c>
      <c r="G16" s="5">
        <f t="shared" si="6"/>
        <v>10.318681318681319</v>
      </c>
      <c r="H16" s="56">
        <v>3.6548664382743734E-2</v>
      </c>
      <c r="I16" s="59">
        <v>1.503704741533039E-4</v>
      </c>
      <c r="K16" s="4">
        <f t="shared" si="4"/>
        <v>2</v>
      </c>
      <c r="L16" s="31">
        <f t="shared" si="0"/>
        <v>1.2388537828950752E-2</v>
      </c>
      <c r="M16" s="31">
        <f t="shared" si="1"/>
        <v>1.2544569563200405E-2</v>
      </c>
      <c r="N16" s="71">
        <f t="shared" si="5"/>
        <v>2.3109640955623068E-2</v>
      </c>
      <c r="O16" s="71">
        <f t="shared" si="2"/>
        <v>2.2795546539139622E-2</v>
      </c>
      <c r="Q16" s="43" t="s">
        <v>70</v>
      </c>
      <c r="R16" s="30"/>
      <c r="S16" s="30"/>
      <c r="T16" s="30"/>
      <c r="U16" s="30"/>
      <c r="V16" s="30"/>
      <c r="W16" s="30"/>
      <c r="X16" s="30"/>
      <c r="Y16" s="30"/>
      <c r="Z16" s="30"/>
    </row>
    <row r="17" spans="1:26" ht="14.5" x14ac:dyDescent="0.35">
      <c r="A17" s="4">
        <f t="shared" si="3"/>
        <v>9</v>
      </c>
      <c r="B17" s="34">
        <v>9</v>
      </c>
      <c r="C17" s="35">
        <v>45809</v>
      </c>
      <c r="D17" s="34">
        <v>158.09</v>
      </c>
      <c r="E17" s="37">
        <v>3.92</v>
      </c>
      <c r="G17" s="5">
        <f t="shared" si="6"/>
        <v>15.318681318681319</v>
      </c>
      <c r="H17" s="56">
        <v>4.3783174005260272E-2</v>
      </c>
      <c r="I17" s="59">
        <v>-6.6775515466647485E-4</v>
      </c>
      <c r="K17" s="4">
        <f t="shared" si="4"/>
        <v>2.25</v>
      </c>
      <c r="L17" s="31">
        <f t="shared" si="0"/>
        <v>1.3915479028356405E-2</v>
      </c>
      <c r="M17" s="31">
        <f t="shared" si="1"/>
        <v>1.3949312601305681E-2</v>
      </c>
      <c r="N17" s="71">
        <f t="shared" si="5"/>
        <v>2.6172792082594043E-2</v>
      </c>
      <c r="O17" s="71">
        <f t="shared" si="2"/>
        <v>2.5222612509213427E-2</v>
      </c>
      <c r="Q17" s="43" t="s">
        <v>101</v>
      </c>
      <c r="R17" s="30"/>
      <c r="S17" s="30"/>
      <c r="T17" s="30"/>
      <c r="U17" s="30"/>
      <c r="V17" s="30"/>
      <c r="W17" s="30"/>
      <c r="X17" s="30"/>
      <c r="Y17" s="30"/>
      <c r="Z17" s="30"/>
    </row>
    <row r="18" spans="1:26" ht="14.5" x14ac:dyDescent="0.35">
      <c r="A18" s="4">
        <f t="shared" si="3"/>
        <v>10</v>
      </c>
      <c r="B18" s="34">
        <v>5.75</v>
      </c>
      <c r="C18" s="35">
        <v>47270</v>
      </c>
      <c r="D18" s="34">
        <v>122.96</v>
      </c>
      <c r="E18" s="37">
        <v>4.03</v>
      </c>
      <c r="G18" s="5">
        <f t="shared" si="6"/>
        <v>19.318681318681318</v>
      </c>
      <c r="H18" s="56">
        <v>4.2932520443761869E-2</v>
      </c>
      <c r="I18" s="59">
        <v>3.2758713099064352E-4</v>
      </c>
      <c r="K18" s="4">
        <f t="shared" si="4"/>
        <v>2.5</v>
      </c>
      <c r="L18" s="31">
        <f t="shared" si="0"/>
        <v>1.5316935006514197E-2</v>
      </c>
      <c r="M18" s="31">
        <f t="shared" si="1"/>
        <v>1.53622659246078E-2</v>
      </c>
      <c r="N18" s="71">
        <f t="shared" si="5"/>
        <v>2.7974006773094917E-2</v>
      </c>
      <c r="O18" s="71">
        <f t="shared" si="2"/>
        <v>2.8123538099045664E-2</v>
      </c>
      <c r="Q18" s="63" t="s">
        <v>105</v>
      </c>
      <c r="R18" s="30"/>
      <c r="S18" s="30"/>
      <c r="T18" s="30"/>
      <c r="U18" s="30"/>
      <c r="V18" s="30"/>
      <c r="W18" s="30"/>
      <c r="X18" s="30"/>
      <c r="Y18" s="30"/>
      <c r="Z18" s="30"/>
    </row>
    <row r="19" spans="1:26" ht="14.5" x14ac:dyDescent="0.35">
      <c r="A19" s="4">
        <f t="shared" si="3"/>
        <v>11</v>
      </c>
      <c r="B19" s="34">
        <v>5.75</v>
      </c>
      <c r="C19" s="35">
        <v>48731</v>
      </c>
      <c r="D19" s="34">
        <v>125.27</v>
      </c>
      <c r="E19" s="37">
        <v>4.0599999999999996</v>
      </c>
      <c r="G19" s="5">
        <f t="shared" si="6"/>
        <v>23.318681318681318</v>
      </c>
      <c r="H19" s="56">
        <v>4.2957362470663653E-2</v>
      </c>
      <c r="I19" s="59">
        <v>-3.142825236460293E-4</v>
      </c>
      <c r="K19" s="4">
        <f t="shared" si="4"/>
        <v>2.75</v>
      </c>
      <c r="L19" s="31">
        <f t="shared" si="0"/>
        <v>1.6670858703896282E-2</v>
      </c>
      <c r="M19" s="31">
        <f t="shared" si="1"/>
        <v>1.67762478403824E-2</v>
      </c>
      <c r="N19" s="71">
        <f t="shared" si="5"/>
        <v>3.0260224015888681E-2</v>
      </c>
      <c r="O19" s="71">
        <f t="shared" si="2"/>
        <v>3.097074488256224E-2</v>
      </c>
      <c r="Q19" s="63" t="s">
        <v>73</v>
      </c>
      <c r="R19" s="30"/>
      <c r="S19" s="30"/>
      <c r="T19" s="30"/>
      <c r="U19" s="30"/>
      <c r="V19" s="30"/>
      <c r="W19" s="30"/>
      <c r="X19" s="30"/>
      <c r="Y19" s="30"/>
      <c r="Z19" s="30"/>
    </row>
    <row r="20" spans="1:26" ht="14.5" x14ac:dyDescent="0.35">
      <c r="A20" s="4">
        <f t="shared" si="3"/>
        <v>12</v>
      </c>
      <c r="B20" s="34">
        <v>5</v>
      </c>
      <c r="C20" s="35">
        <v>50192</v>
      </c>
      <c r="D20" s="34">
        <v>116.55</v>
      </c>
      <c r="E20" s="37">
        <v>4</v>
      </c>
      <c r="G20" s="5">
        <f t="shared" si="6"/>
        <v>27.318681318681318</v>
      </c>
      <c r="H20" s="56">
        <v>4.1046523202330945E-2</v>
      </c>
      <c r="I20" s="59">
        <v>2.0366247788053952E-4</v>
      </c>
      <c r="K20" s="4">
        <f t="shared" si="4"/>
        <v>3</v>
      </c>
      <c r="L20" s="31">
        <f t="shared" si="0"/>
        <v>1.8024782401278368E-2</v>
      </c>
      <c r="M20" s="31">
        <f t="shared" si="1"/>
        <v>1.8145057934184711E-2</v>
      </c>
      <c r="N20" s="71">
        <f t="shared" si="5"/>
        <v>3.2978070077825716E-2</v>
      </c>
      <c r="O20" s="71">
        <f t="shared" si="2"/>
        <v>3.32634237279823E-2</v>
      </c>
    </row>
    <row r="21" spans="1:26" ht="14.5" x14ac:dyDescent="0.35">
      <c r="A21" s="4">
        <f t="shared" si="3"/>
        <v>13</v>
      </c>
      <c r="B21" s="34">
        <v>4</v>
      </c>
      <c r="C21" s="35">
        <v>51653</v>
      </c>
      <c r="D21" s="34">
        <v>100.24</v>
      </c>
      <c r="E21" s="37">
        <v>3.99</v>
      </c>
      <c r="G21" s="5">
        <f t="shared" si="6"/>
        <v>31.318681318681318</v>
      </c>
      <c r="H21" s="56">
        <v>4.0481139065995111E-2</v>
      </c>
      <c r="I21" s="59">
        <v>4.1782866226990413E-6</v>
      </c>
      <c r="K21" s="4">
        <f t="shared" si="4"/>
        <v>3.25</v>
      </c>
      <c r="L21" s="31">
        <f t="shared" si="0"/>
        <v>1.937870609866045E-2</v>
      </c>
      <c r="M21" s="31">
        <f t="shared" si="1"/>
        <v>1.9422088911461577E-2</v>
      </c>
      <c r="N21" s="71">
        <f t="shared" si="5"/>
        <v>3.5696817772619127E-2</v>
      </c>
      <c r="O21" s="71">
        <f t="shared" si="2"/>
        <v>3.4809636788170728E-2</v>
      </c>
    </row>
    <row r="22" spans="1:26" ht="14.5" x14ac:dyDescent="0.35">
      <c r="A22" s="4">
        <f t="shared" si="3"/>
        <v>14</v>
      </c>
      <c r="B22" s="37"/>
      <c r="C22" s="57"/>
      <c r="D22" s="37"/>
      <c r="E22" s="37"/>
      <c r="G22" s="5"/>
      <c r="H22" s="56"/>
      <c r="I22" s="59"/>
      <c r="K22" s="4">
        <f t="shared" si="4"/>
        <v>3.5</v>
      </c>
      <c r="L22" s="31">
        <f t="shared" si="0"/>
        <v>2.0323855005983105E-2</v>
      </c>
      <c r="M22" s="31">
        <f t="shared" si="1"/>
        <v>2.0565003952277536E-2</v>
      </c>
      <c r="N22" s="71">
        <f t="shared" si="5"/>
        <v>3.2651121657784721E-2</v>
      </c>
      <c r="O22" s="71">
        <f t="shared" si="2"/>
        <v>3.5481895919237338E-2</v>
      </c>
    </row>
    <row r="23" spans="1:26" ht="14.5" x14ac:dyDescent="0.35">
      <c r="A23" s="4">
        <f t="shared" si="3"/>
        <v>15</v>
      </c>
      <c r="B23" s="37"/>
      <c r="C23" s="57"/>
      <c r="D23" s="37"/>
      <c r="E23" s="37"/>
      <c r="G23" s="5"/>
      <c r="H23" s="56"/>
      <c r="I23" s="59"/>
      <c r="K23" s="4">
        <f t="shared" si="4"/>
        <v>3.75</v>
      </c>
      <c r="L23" s="31">
        <f t="shared" si="0"/>
        <v>2.1114164977677184E-2</v>
      </c>
      <c r="M23" s="31">
        <f t="shared" si="1"/>
        <v>2.1571867850447943E-2</v>
      </c>
      <c r="N23" s="71">
        <f t="shared" si="5"/>
        <v>3.221102077109661E-2</v>
      </c>
      <c r="O23" s="71">
        <f t="shared" si="2"/>
        <v>3.5720757837323536E-2</v>
      </c>
    </row>
    <row r="24" spans="1:26" ht="14.5" x14ac:dyDescent="0.35">
      <c r="A24" s="4">
        <f t="shared" si="3"/>
        <v>16</v>
      </c>
      <c r="B24" s="37"/>
      <c r="C24" s="57"/>
      <c r="D24" s="37"/>
      <c r="E24" s="37"/>
      <c r="G24" s="5"/>
      <c r="H24" s="56"/>
      <c r="I24" s="59"/>
      <c r="K24" s="4">
        <f t="shared" si="4"/>
        <v>4</v>
      </c>
      <c r="L24" s="31">
        <f t="shared" si="0"/>
        <v>2.1904474949371262E-2</v>
      </c>
      <c r="M24" s="31">
        <f t="shared" si="1"/>
        <v>2.2463002621054686E-2</v>
      </c>
      <c r="N24" s="71">
        <f t="shared" si="5"/>
        <v>3.3796276174616224E-2</v>
      </c>
      <c r="O24" s="71">
        <f t="shared" si="2"/>
        <v>3.5877260124181909E-2</v>
      </c>
    </row>
    <row r="25" spans="1:26" ht="14.5" x14ac:dyDescent="0.35">
      <c r="A25" s="4">
        <f t="shared" si="3"/>
        <v>17</v>
      </c>
      <c r="B25" s="37"/>
      <c r="C25" s="57"/>
      <c r="D25" s="37"/>
      <c r="E25" s="37"/>
      <c r="G25" s="5"/>
      <c r="H25" s="56"/>
      <c r="I25" s="59"/>
      <c r="K25" s="4">
        <f t="shared" si="4"/>
        <v>4.25</v>
      </c>
      <c r="L25" s="31">
        <f t="shared" si="0"/>
        <v>2.2694784921065341E-2</v>
      </c>
      <c r="M25" s="31">
        <f t="shared" si="1"/>
        <v>2.3258962373420608E-2</v>
      </c>
      <c r="N25" s="71">
        <f t="shared" si="5"/>
        <v>3.53818386722482E-2</v>
      </c>
      <c r="O25" s="71">
        <f t="shared" si="2"/>
        <v>3.6037005396063471E-2</v>
      </c>
    </row>
    <row r="26" spans="1:26" ht="14.5" x14ac:dyDescent="0.35">
      <c r="A26" s="4">
        <f t="shared" si="3"/>
        <v>18</v>
      </c>
      <c r="B26" s="37"/>
      <c r="C26" s="57"/>
      <c r="D26" s="37"/>
      <c r="E26" s="37"/>
      <c r="G26" s="5"/>
      <c r="H26" s="56"/>
      <c r="I26" s="59"/>
      <c r="K26" s="4">
        <f t="shared" si="4"/>
        <v>4.5</v>
      </c>
      <c r="L26" s="31">
        <f t="shared" si="0"/>
        <v>2.348509489275942E-2</v>
      </c>
      <c r="M26" s="31">
        <f t="shared" si="1"/>
        <v>2.3980301216868567E-2</v>
      </c>
      <c r="N26" s="71">
        <f t="shared" si="5"/>
        <v>3.6967708023242896E-2</v>
      </c>
      <c r="O26" s="71">
        <f t="shared" si="2"/>
        <v>3.6282484105031099E-2</v>
      </c>
    </row>
    <row r="27" spans="1:26" ht="14.5" x14ac:dyDescent="0.35">
      <c r="A27" s="4">
        <f t="shared" si="3"/>
        <v>19</v>
      </c>
      <c r="B27" s="37"/>
      <c r="C27" s="57"/>
      <c r="D27" s="37"/>
      <c r="E27" s="37"/>
      <c r="G27" s="5"/>
      <c r="H27" s="56"/>
      <c r="I27" s="59"/>
      <c r="K27" s="4">
        <f t="shared" si="4"/>
        <v>4.75</v>
      </c>
      <c r="L27" s="31">
        <f t="shared" si="0"/>
        <v>2.4275404864453499E-2</v>
      </c>
      <c r="M27" s="31">
        <f t="shared" si="1"/>
        <v>2.4647573260721398E-2</v>
      </c>
      <c r="N27" s="71">
        <f t="shared" si="5"/>
        <v>3.8553883987132664E-2</v>
      </c>
      <c r="O27" s="71">
        <f t="shared" si="2"/>
        <v>3.6696158419799563E-2</v>
      </c>
    </row>
    <row r="28" spans="1:26" ht="14.5" x14ac:dyDescent="0.35">
      <c r="A28" s="4">
        <f t="shared" si="3"/>
        <v>20</v>
      </c>
      <c r="B28" s="37"/>
      <c r="C28" s="57"/>
      <c r="D28" s="37"/>
      <c r="E28" s="37"/>
      <c r="G28" s="5"/>
      <c r="H28" s="56"/>
      <c r="I28" s="59"/>
      <c r="K28" s="4">
        <f t="shared" si="4"/>
        <v>5</v>
      </c>
      <c r="L28" s="31">
        <f t="shared" si="0"/>
        <v>2.5065714836147578E-2</v>
      </c>
      <c r="M28" s="31">
        <f t="shared" si="1"/>
        <v>2.5281332614301971E-2</v>
      </c>
      <c r="N28" s="71">
        <f t="shared" si="5"/>
        <v>4.0140366323667909E-2</v>
      </c>
      <c r="O28" s="71">
        <f t="shared" si="2"/>
        <v>3.7360523542839363E-2</v>
      </c>
    </row>
    <row r="29" spans="1:26" ht="14.5" x14ac:dyDescent="0.35">
      <c r="A29" s="4">
        <f t="shared" si="3"/>
        <v>21</v>
      </c>
      <c r="B29" s="37"/>
      <c r="C29" s="57"/>
      <c r="D29" s="37"/>
      <c r="E29" s="37"/>
      <c r="G29" s="5"/>
      <c r="H29" s="56"/>
      <c r="I29" s="59"/>
      <c r="K29" s="4">
        <f t="shared" si="4"/>
        <v>5.25</v>
      </c>
      <c r="L29" s="31">
        <f t="shared" si="0"/>
        <v>2.5856024807841653E-2</v>
      </c>
      <c r="M29" s="31">
        <f t="shared" si="1"/>
        <v>2.5902133386933111E-2</v>
      </c>
      <c r="N29" s="71">
        <f t="shared" si="5"/>
        <v>4.1727154792801979E-2</v>
      </c>
      <c r="O29" s="71">
        <f t="shared" si="2"/>
        <v>3.8358187716347025E-2</v>
      </c>
    </row>
    <row r="30" spans="1:26" ht="14.5" x14ac:dyDescent="0.35">
      <c r="A30" s="4">
        <f t="shared" si="3"/>
        <v>22</v>
      </c>
      <c r="B30" s="37"/>
      <c r="C30" s="57"/>
      <c r="D30" s="37"/>
      <c r="E30" s="37"/>
      <c r="G30" s="5"/>
      <c r="H30" s="56"/>
      <c r="I30" s="59"/>
      <c r="K30" s="4">
        <f t="shared" si="4"/>
        <v>5.5</v>
      </c>
      <c r="L30" s="31">
        <f t="shared" si="0"/>
        <v>2.652280385632174E-2</v>
      </c>
      <c r="M30" s="31">
        <f t="shared" si="1"/>
        <v>2.6528882863559058E-2</v>
      </c>
      <c r="N30" s="71">
        <f t="shared" si="5"/>
        <v>4.0575970538287986E-2</v>
      </c>
      <c r="O30" s="71">
        <f t="shared" si="2"/>
        <v>3.9735504428870527E-2</v>
      </c>
    </row>
    <row r="31" spans="1:26" ht="14.5" x14ac:dyDescent="0.35">
      <c r="A31" s="4">
        <f t="shared" si="3"/>
        <v>23</v>
      </c>
      <c r="B31" s="37"/>
      <c r="C31" s="57"/>
      <c r="D31" s="37"/>
      <c r="E31" s="37"/>
      <c r="G31" s="5"/>
      <c r="H31" s="1"/>
      <c r="I31" s="55"/>
      <c r="K31" s="4">
        <f t="shared" si="4"/>
        <v>5.75</v>
      </c>
      <c r="L31" s="31">
        <f t="shared" si="0"/>
        <v>2.714279088843289E-2</v>
      </c>
      <c r="M31" s="31">
        <f t="shared" si="1"/>
        <v>2.7164908242970316E-2</v>
      </c>
      <c r="N31" s="71">
        <f t="shared" si="5"/>
        <v>4.0830596696957766E-2</v>
      </c>
      <c r="O31" s="71">
        <f t="shared" si="2"/>
        <v>4.1208080651246703E-2</v>
      </c>
    </row>
    <row r="32" spans="1:26" ht="14.5" x14ac:dyDescent="0.35">
      <c r="A32" s="4">
        <f t="shared" si="3"/>
        <v>24</v>
      </c>
      <c r="B32" s="37"/>
      <c r="C32" s="57"/>
      <c r="D32" s="37"/>
      <c r="E32" s="37"/>
      <c r="G32" s="5"/>
      <c r="H32" s="1"/>
      <c r="I32" s="55"/>
      <c r="K32" s="4">
        <f t="shared" si="4"/>
        <v>6</v>
      </c>
      <c r="L32" s="31">
        <f t="shared" si="0"/>
        <v>2.7762777920544039E-2</v>
      </c>
      <c r="M32" s="31">
        <f t="shared" si="1"/>
        <v>2.7804953665196107E-2</v>
      </c>
      <c r="N32" s="71">
        <f t="shared" si="5"/>
        <v>4.2074931952298833E-2</v>
      </c>
      <c r="O32" s="71">
        <f t="shared" si="2"/>
        <v>4.2581902990681986E-2</v>
      </c>
    </row>
    <row r="33" spans="1:15" ht="14.5" x14ac:dyDescent="0.35">
      <c r="A33" s="4">
        <f t="shared" si="3"/>
        <v>25</v>
      </c>
      <c r="B33" s="37"/>
      <c r="C33" s="57"/>
      <c r="D33" s="37"/>
      <c r="E33" s="37"/>
      <c r="G33" s="5"/>
      <c r="H33" s="1"/>
      <c r="I33" s="55"/>
      <c r="K33" s="4">
        <f t="shared" si="4"/>
        <v>6.25</v>
      </c>
      <c r="L33" s="31">
        <f t="shared" si="0"/>
        <v>2.8382764952655189E-2</v>
      </c>
      <c r="M33" s="31">
        <f t="shared" si="1"/>
        <v>2.8443673767695465E-2</v>
      </c>
      <c r="N33" s="71">
        <f t="shared" si="5"/>
        <v>4.3319455429903453E-2</v>
      </c>
      <c r="O33" s="71">
        <f t="shared" si="2"/>
        <v>4.3833457645697571E-2</v>
      </c>
    </row>
    <row r="34" spans="1:15" x14ac:dyDescent="0.3">
      <c r="A34" s="4">
        <f t="shared" si="3"/>
        <v>26</v>
      </c>
      <c r="K34" s="4">
        <f t="shared" si="4"/>
        <v>6.5</v>
      </c>
      <c r="L34" s="31">
        <f t="shared" si="0"/>
        <v>2.9002751984766338E-2</v>
      </c>
      <c r="M34" s="31">
        <f t="shared" si="1"/>
        <v>2.9075723187927432E-2</v>
      </c>
      <c r="N34" s="71">
        <f t="shared" si="5"/>
        <v>4.4564167014303546E-2</v>
      </c>
      <c r="O34" s="71">
        <f t="shared" si="2"/>
        <v>4.4941124796012311E-2</v>
      </c>
    </row>
    <row r="35" spans="1:15" x14ac:dyDescent="0.3">
      <c r="A35" s="4">
        <f t="shared" si="3"/>
        <v>27</v>
      </c>
      <c r="G35"/>
      <c r="H35"/>
      <c r="I35"/>
      <c r="J35"/>
      <c r="K35" s="4">
        <f t="shared" si="4"/>
        <v>6.75</v>
      </c>
      <c r="L35" s="31">
        <f t="shared" si="0"/>
        <v>2.9622739016877488E-2</v>
      </c>
      <c r="M35" s="31">
        <f t="shared" si="1"/>
        <v>2.9695756563351043E-2</v>
      </c>
      <c r="N35" s="71">
        <f t="shared" si="5"/>
        <v>4.580906659009365E-2</v>
      </c>
      <c r="O35" s="71">
        <f t="shared" si="2"/>
        <v>4.5883296638066895E-2</v>
      </c>
    </row>
    <row r="36" spans="1:15" x14ac:dyDescent="0.3">
      <c r="A36" s="4">
        <f t="shared" si="3"/>
        <v>28</v>
      </c>
      <c r="G36"/>
      <c r="H36"/>
      <c r="I36"/>
      <c r="J36"/>
      <c r="K36" s="4">
        <f t="shared" si="4"/>
        <v>7</v>
      </c>
      <c r="L36" s="31">
        <f t="shared" si="0"/>
        <v>3.0242726048988637E-2</v>
      </c>
      <c r="M36" s="31">
        <f t="shared" si="1"/>
        <v>3.029842853142534E-2</v>
      </c>
      <c r="N36" s="71">
        <f t="shared" si="5"/>
        <v>4.7054154041982432E-2</v>
      </c>
      <c r="O36" s="71">
        <f t="shared" si="2"/>
        <v>4.6638389060075447E-2</v>
      </c>
    </row>
    <row r="37" spans="1:15" x14ac:dyDescent="0.3">
      <c r="A37" s="4">
        <f t="shared" si="3"/>
        <v>29</v>
      </c>
      <c r="G37"/>
      <c r="H37"/>
      <c r="I37"/>
      <c r="J37"/>
      <c r="K37" s="4">
        <f t="shared" si="4"/>
        <v>7.25</v>
      </c>
      <c r="L37" s="31">
        <f t="shared" si="0"/>
        <v>3.0862713081099787E-2</v>
      </c>
      <c r="M37" s="31">
        <f t="shared" si="1"/>
        <v>3.0878393729609366E-2</v>
      </c>
      <c r="N37" s="71">
        <f t="shared" si="5"/>
        <v>4.8299429254706094E-2</v>
      </c>
      <c r="O37" s="71">
        <f t="shared" si="2"/>
        <v>4.7184854562118961E-2</v>
      </c>
    </row>
    <row r="38" spans="1:15" x14ac:dyDescent="0.3">
      <c r="A38" s="4">
        <f t="shared" si="3"/>
        <v>30</v>
      </c>
      <c r="G38"/>
      <c r="H38"/>
      <c r="I38"/>
      <c r="J38"/>
      <c r="K38" s="4">
        <f t="shared" si="4"/>
        <v>7.5</v>
      </c>
      <c r="L38" s="31">
        <f t="shared" si="0"/>
        <v>3.1366401151092585E-2</v>
      </c>
      <c r="M38" s="31">
        <f t="shared" si="1"/>
        <v>3.1430852903337365E-2</v>
      </c>
      <c r="N38" s="71">
        <f t="shared" si="5"/>
        <v>4.6027822732633172E-2</v>
      </c>
      <c r="O38" s="71">
        <f t="shared" si="2"/>
        <v>4.7517709326879931E-2</v>
      </c>
    </row>
    <row r="39" spans="1:15" x14ac:dyDescent="0.3">
      <c r="A39" s="4">
        <f t="shared" si="3"/>
        <v>31</v>
      </c>
      <c r="G39"/>
      <c r="H39"/>
      <c r="I39"/>
      <c r="J39"/>
      <c r="K39" s="4">
        <f t="shared" si="4"/>
        <v>7.75</v>
      </c>
      <c r="L39" s="31">
        <f t="shared" si="0"/>
        <v>3.1826036583919345E-2</v>
      </c>
      <c r="M39" s="31">
        <f t="shared" si="1"/>
        <v>3.1956173353393139E-2</v>
      </c>
      <c r="N39" s="71">
        <f t="shared" si="5"/>
        <v>4.5663566115027976E-2</v>
      </c>
      <c r="O39" s="71">
        <f t="shared" si="2"/>
        <v>4.7779113395964856E-2</v>
      </c>
    </row>
    <row r="40" spans="1:15" x14ac:dyDescent="0.3">
      <c r="A40" s="4">
        <f t="shared" si="3"/>
        <v>32</v>
      </c>
      <c r="G40"/>
      <c r="H40"/>
      <c r="I40"/>
      <c r="J40"/>
      <c r="K40" s="4">
        <f t="shared" si="4"/>
        <v>8</v>
      </c>
      <c r="L40" s="31">
        <f t="shared" si="0"/>
        <v>3.2285672016746106E-2</v>
      </c>
      <c r="M40" s="31">
        <f t="shared" si="1"/>
        <v>3.2457568632354009E-2</v>
      </c>
      <c r="N40" s="71">
        <f t="shared" si="5"/>
        <v>4.6586060264939277E-2</v>
      </c>
      <c r="O40" s="71">
        <f t="shared" si="2"/>
        <v>4.8062339975779356E-2</v>
      </c>
    </row>
    <row r="41" spans="1:15" x14ac:dyDescent="0.3">
      <c r="A41" s="4">
        <f t="shared" si="3"/>
        <v>33</v>
      </c>
      <c r="G41"/>
      <c r="H41"/>
      <c r="I41"/>
      <c r="J41"/>
      <c r="K41" s="4">
        <f t="shared" si="4"/>
        <v>8.25</v>
      </c>
      <c r="L41" s="31">
        <f t="shared" ref="L41:L72" si="7">PWLinear(K41,G$9:G$33,H$9:H$33)</f>
        <v>3.2745307449572859E-2</v>
      </c>
      <c r="M41" s="31">
        <f t="shared" ref="M41:M72" si="8">splint(G$9:G$21,H$9:H$21,I$9:I$21,K41)</f>
        <v>3.2938281972991514E-2</v>
      </c>
      <c r="N41" s="71">
        <f t="shared" si="5"/>
        <v>4.7508657637436613E-2</v>
      </c>
      <c r="O41" s="71">
        <f t="shared" si="2"/>
        <v>4.8381288126791766E-2</v>
      </c>
    </row>
    <row r="42" spans="1:15" x14ac:dyDescent="0.3">
      <c r="A42" s="4">
        <f t="shared" si="3"/>
        <v>34</v>
      </c>
      <c r="G42"/>
      <c r="H42"/>
      <c r="I42"/>
      <c r="J42"/>
      <c r="K42" s="4">
        <f t="shared" si="4"/>
        <v>8.5</v>
      </c>
      <c r="L42" s="31">
        <f t="shared" si="7"/>
        <v>3.320494288239962E-2</v>
      </c>
      <c r="M42" s="31">
        <f t="shared" si="8"/>
        <v>3.3401556608077178E-2</v>
      </c>
      <c r="N42" s="71">
        <f t="shared" si="5"/>
        <v>4.8431358185724083E-2</v>
      </c>
      <c r="O42" s="71">
        <f t="shared" si="2"/>
        <v>4.8748990237540646E-2</v>
      </c>
    </row>
    <row r="43" spans="1:15" x14ac:dyDescent="0.3">
      <c r="A43" s="4">
        <f t="shared" si="3"/>
        <v>35</v>
      </c>
      <c r="G43"/>
      <c r="H43"/>
      <c r="I43"/>
      <c r="J43"/>
      <c r="K43" s="4">
        <f t="shared" si="4"/>
        <v>8.75</v>
      </c>
      <c r="L43" s="31">
        <f t="shared" si="7"/>
        <v>3.366457831522638E-2</v>
      </c>
      <c r="M43" s="31">
        <f t="shared" si="8"/>
        <v>3.3850635770382533E-2</v>
      </c>
      <c r="N43" s="71">
        <f t="shared" si="5"/>
        <v>4.9354161862919188E-2</v>
      </c>
      <c r="O43" s="71">
        <f t="shared" si="2"/>
        <v>4.9178482807016088E-2</v>
      </c>
    </row>
    <row r="44" spans="1:15" x14ac:dyDescent="0.3">
      <c r="A44" s="4">
        <f t="shared" si="3"/>
        <v>36</v>
      </c>
      <c r="G44"/>
      <c r="H44"/>
      <c r="I44"/>
      <c r="J44" s="41"/>
      <c r="K44" s="4">
        <f t="shared" si="4"/>
        <v>9</v>
      </c>
      <c r="L44" s="31">
        <f t="shared" si="7"/>
        <v>3.4124213748053141E-2</v>
      </c>
      <c r="M44" s="31">
        <f t="shared" si="8"/>
        <v>3.428876269267913E-2</v>
      </c>
      <c r="N44" s="71">
        <f t="shared" si="5"/>
        <v>5.0277068622284649E-2</v>
      </c>
      <c r="O44" s="71">
        <f t="shared" si="2"/>
        <v>4.9682809912525272E-2</v>
      </c>
    </row>
    <row r="45" spans="1:15" x14ac:dyDescent="0.3">
      <c r="A45" s="4">
        <f t="shared" si="3"/>
        <v>37</v>
      </c>
      <c r="G45"/>
      <c r="H45"/>
      <c r="I45"/>
      <c r="J45"/>
      <c r="K45" s="4">
        <f t="shared" si="4"/>
        <v>9.25</v>
      </c>
      <c r="L45" s="31">
        <f t="shared" si="7"/>
        <v>3.4583849180879894E-2</v>
      </c>
      <c r="M45" s="31">
        <f t="shared" si="8"/>
        <v>3.471918060773848E-2</v>
      </c>
      <c r="N45" s="71">
        <f t="shared" si="5"/>
        <v>5.1200078417001471E-2</v>
      </c>
      <c r="O45" s="71">
        <f t="shared" si="2"/>
        <v>5.0275027141427842E-2</v>
      </c>
    </row>
    <row r="46" spans="1:15" x14ac:dyDescent="0.3">
      <c r="A46" s="4">
        <f t="shared" si="3"/>
        <v>38</v>
      </c>
      <c r="G46"/>
      <c r="H46"/>
      <c r="I46"/>
      <c r="J46"/>
      <c r="K46" s="4">
        <f t="shared" si="4"/>
        <v>9.5</v>
      </c>
      <c r="L46" s="31">
        <f t="shared" si="7"/>
        <v>3.5043484613706655E-2</v>
      </c>
      <c r="M46" s="31">
        <f t="shared" si="8"/>
        <v>3.5145132748332121E-2</v>
      </c>
      <c r="N46" s="71">
        <f t="shared" si="5"/>
        <v>5.2123191200358132E-2</v>
      </c>
      <c r="O46" s="71">
        <f t="shared" si="2"/>
        <v>5.0968205987522719E-2</v>
      </c>
    </row>
    <row r="47" spans="1:15" x14ac:dyDescent="0.3">
      <c r="A47" s="4">
        <f t="shared" si="3"/>
        <v>39</v>
      </c>
      <c r="G47"/>
      <c r="H47"/>
      <c r="I47"/>
      <c r="J47"/>
      <c r="K47" s="4">
        <f t="shared" si="4"/>
        <v>9.75</v>
      </c>
      <c r="L47" s="31">
        <f t="shared" si="7"/>
        <v>3.5503120046533415E-2</v>
      </c>
      <c r="M47" s="31">
        <f t="shared" si="8"/>
        <v>3.5569862347231598E-2</v>
      </c>
      <c r="N47" s="71">
        <f t="shared" si="5"/>
        <v>5.3046406925649325E-2</v>
      </c>
      <c r="O47" s="71">
        <f t="shared" si="2"/>
        <v>5.1775438713423494E-2</v>
      </c>
    </row>
    <row r="48" spans="1:15" x14ac:dyDescent="0.3">
      <c r="A48" s="4">
        <f t="shared" si="3"/>
        <v>40</v>
      </c>
      <c r="G48"/>
      <c r="H48"/>
      <c r="I48"/>
      <c r="J48" s="41"/>
      <c r="K48" s="4">
        <f t="shared" si="4"/>
        <v>10</v>
      </c>
      <c r="L48" s="31">
        <f t="shared" si="7"/>
        <v>3.5962755479360176E-2</v>
      </c>
      <c r="M48" s="31">
        <f t="shared" si="8"/>
        <v>3.5996612637208429E-2</v>
      </c>
      <c r="N48" s="71">
        <f t="shared" si="5"/>
        <v>5.3969725546127112E-2</v>
      </c>
      <c r="O48" s="71">
        <f t="shared" si="2"/>
        <v>5.270984368060061E-2</v>
      </c>
    </row>
    <row r="49" spans="1:15" x14ac:dyDescent="0.3">
      <c r="A49" s="4">
        <f t="shared" si="3"/>
        <v>41</v>
      </c>
      <c r="G49"/>
      <c r="H49"/>
      <c r="I49"/>
      <c r="J49"/>
      <c r="K49" s="4">
        <f t="shared" si="4"/>
        <v>10.25</v>
      </c>
      <c r="L49" s="31">
        <f t="shared" si="7"/>
        <v>3.6422390912186929E-2</v>
      </c>
      <c r="M49" s="31">
        <f t="shared" si="8"/>
        <v>3.6428626851034145E-2</v>
      </c>
      <c r="N49" s="71">
        <f t="shared" si="5"/>
        <v>5.4893147015200761E-2</v>
      </c>
      <c r="O49" s="71">
        <f t="shared" si="2"/>
        <v>5.3784571148307148E-2</v>
      </c>
    </row>
    <row r="50" spans="1:15" x14ac:dyDescent="0.3">
      <c r="A50" s="4">
        <f t="shared" si="3"/>
        <v>42</v>
      </c>
      <c r="G50"/>
      <c r="H50"/>
      <c r="I50"/>
      <c r="J50"/>
      <c r="K50" s="4">
        <f t="shared" si="4"/>
        <v>10.5</v>
      </c>
      <c r="L50" s="31">
        <f t="shared" si="7"/>
        <v>3.6811014731692134E-2</v>
      </c>
      <c r="M50" s="31">
        <f t="shared" si="8"/>
        <v>3.6868779434958747E-2</v>
      </c>
      <c r="N50" s="71">
        <f t="shared" si="5"/>
        <v>5.2808608995985828E-2</v>
      </c>
      <c r="O50" s="71">
        <f t="shared" si="2"/>
        <v>5.4997182597513294E-2</v>
      </c>
    </row>
    <row r="51" spans="1:15" x14ac:dyDescent="0.3">
      <c r="A51" s="4">
        <f t="shared" si="3"/>
        <v>43</v>
      </c>
      <c r="G51"/>
      <c r="H51"/>
      <c r="I51"/>
      <c r="J51"/>
      <c r="K51" s="4">
        <f t="shared" si="4"/>
        <v>10.75</v>
      </c>
      <c r="L51" s="31">
        <f t="shared" si="7"/>
        <v>3.717274021281796E-2</v>
      </c>
      <c r="M51" s="31">
        <f t="shared" si="8"/>
        <v>3.7316455862241207E-2</v>
      </c>
      <c r="N51" s="71">
        <f t="shared" si="5"/>
        <v>5.2423360444125322E-2</v>
      </c>
      <c r="O51" s="71">
        <f t="shared" si="2"/>
        <v>5.6207982400717782E-2</v>
      </c>
    </row>
    <row r="52" spans="1:15" x14ac:dyDescent="0.3">
      <c r="A52" s="4">
        <f t="shared" si="3"/>
        <v>44</v>
      </c>
      <c r="G52"/>
      <c r="H52"/>
      <c r="I52"/>
      <c r="J52"/>
      <c r="K52" s="4">
        <f t="shared" si="4"/>
        <v>11</v>
      </c>
      <c r="L52" s="31">
        <f t="shared" si="7"/>
        <v>3.7534465693943787E-2</v>
      </c>
      <c r="M52" s="31">
        <f t="shared" si="8"/>
        <v>3.7769119533316055E-2</v>
      </c>
      <c r="N52" s="71">
        <f t="shared" si="5"/>
        <v>5.3149573221282331E-2</v>
      </c>
      <c r="O52" s="71">
        <f t="shared" si="2"/>
        <v>5.7329098574120163E-2</v>
      </c>
    </row>
    <row r="53" spans="1:15" x14ac:dyDescent="0.3">
      <c r="A53" s="4">
        <f t="shared" si="3"/>
        <v>45</v>
      </c>
      <c r="G53"/>
      <c r="H53"/>
      <c r="I53"/>
      <c r="J53"/>
      <c r="K53" s="4">
        <f t="shared" si="4"/>
        <v>11.25</v>
      </c>
      <c r="L53" s="31">
        <f t="shared" si="7"/>
        <v>3.7896191175069614E-2</v>
      </c>
      <c r="M53" s="31">
        <f t="shared" si="8"/>
        <v>3.8224213805593217E-2</v>
      </c>
      <c r="N53" s="71">
        <f t="shared" si="5"/>
        <v>5.3875849723710623E-2</v>
      </c>
      <c r="O53" s="71">
        <f t="shared" si="2"/>
        <v>5.8349304317822703E-2</v>
      </c>
    </row>
    <row r="54" spans="1:15" x14ac:dyDescent="0.3">
      <c r="A54" s="4">
        <f t="shared" si="3"/>
        <v>46</v>
      </c>
      <c r="G54" s="41"/>
      <c r="H54" s="41"/>
      <c r="I54" s="41"/>
      <c r="J54"/>
      <c r="K54" s="4">
        <f t="shared" si="4"/>
        <v>11.5</v>
      </c>
      <c r="L54" s="31">
        <f t="shared" si="7"/>
        <v>3.8257916656195441E-2</v>
      </c>
      <c r="M54" s="31">
        <f t="shared" si="8"/>
        <v>3.8679182036482657E-2</v>
      </c>
      <c r="N54" s="71">
        <f t="shared" si="5"/>
        <v>5.4602189928703027E-2</v>
      </c>
      <c r="O54" s="71">
        <f t="shared" si="2"/>
        <v>5.9258208948240743E-2</v>
      </c>
    </row>
    <row r="55" spans="1:15" x14ac:dyDescent="0.3">
      <c r="A55" s="4">
        <f t="shared" si="3"/>
        <v>47</v>
      </c>
      <c r="G55"/>
      <c r="H55"/>
      <c r="I55"/>
      <c r="K55" s="4">
        <f t="shared" si="4"/>
        <v>11.75</v>
      </c>
      <c r="L55" s="31">
        <f t="shared" si="7"/>
        <v>3.8619642137321268E-2</v>
      </c>
      <c r="M55" s="31">
        <f t="shared" si="8"/>
        <v>3.9131467583394294E-2</v>
      </c>
      <c r="N55" s="71">
        <f t="shared" si="5"/>
        <v>5.5328593813502192E-2</v>
      </c>
      <c r="O55" s="71">
        <f t="shared" si="2"/>
        <v>6.0045432730526649E-2</v>
      </c>
    </row>
    <row r="56" spans="1:15" x14ac:dyDescent="0.3">
      <c r="A56" s="4">
        <f t="shared" si="3"/>
        <v>48</v>
      </c>
      <c r="G56"/>
      <c r="H56"/>
      <c r="I56"/>
      <c r="J56"/>
      <c r="K56" s="4">
        <f t="shared" si="4"/>
        <v>12</v>
      </c>
      <c r="L56" s="31">
        <f t="shared" si="7"/>
        <v>3.8981367618447095E-2</v>
      </c>
      <c r="M56" s="31">
        <f t="shared" si="8"/>
        <v>3.9578513803738058E-2</v>
      </c>
      <c r="N56" s="71">
        <f t="shared" si="5"/>
        <v>5.6055061355465341E-2</v>
      </c>
      <c r="O56" s="71">
        <f t="shared" si="2"/>
        <v>6.0700611250382952E-2</v>
      </c>
    </row>
    <row r="57" spans="1:15" x14ac:dyDescent="0.3">
      <c r="A57" s="4">
        <f t="shared" si="3"/>
        <v>49</v>
      </c>
      <c r="G57"/>
      <c r="H57"/>
      <c r="I57"/>
      <c r="J57"/>
      <c r="K57" s="4">
        <f t="shared" si="4"/>
        <v>12.25</v>
      </c>
      <c r="L57" s="31">
        <f t="shared" si="7"/>
        <v>3.9343093099572922E-2</v>
      </c>
      <c r="M57" s="31">
        <f t="shared" si="8"/>
        <v>4.001776405492391E-2</v>
      </c>
      <c r="N57" s="71">
        <f t="shared" si="5"/>
        <v>5.6781592531936376E-2</v>
      </c>
      <c r="O57" s="71">
        <f t="shared" si="2"/>
        <v>6.1213400067370749E-2</v>
      </c>
    </row>
    <row r="58" spans="1:15" x14ac:dyDescent="0.3">
      <c r="A58" s="4">
        <f t="shared" si="3"/>
        <v>50</v>
      </c>
      <c r="G58"/>
      <c r="H58"/>
      <c r="I58"/>
      <c r="J58"/>
      <c r="K58" s="4">
        <f t="shared" si="4"/>
        <v>12.5</v>
      </c>
      <c r="L58" s="31">
        <f t="shared" si="7"/>
        <v>3.9704818580698749E-2</v>
      </c>
      <c r="M58" s="31">
        <f t="shared" si="8"/>
        <v>4.0446661694361785E-2</v>
      </c>
      <c r="N58" s="71">
        <f t="shared" si="5"/>
        <v>5.7508187320156168E-2</v>
      </c>
      <c r="O58" s="71">
        <f t="shared" si="2"/>
        <v>6.1573479646102047E-2</v>
      </c>
    </row>
    <row r="59" spans="1:15" x14ac:dyDescent="0.3">
      <c r="A59" s="4">
        <f t="shared" si="3"/>
        <v>51</v>
      </c>
      <c r="G59"/>
      <c r="H59"/>
      <c r="I59"/>
      <c r="J59"/>
      <c r="K59" s="4">
        <f t="shared" si="4"/>
        <v>12.75</v>
      </c>
      <c r="L59" s="31">
        <f t="shared" si="7"/>
        <v>4.0066544061824576E-2</v>
      </c>
      <c r="M59" s="31">
        <f t="shared" si="8"/>
        <v>4.0862650079461604E-2</v>
      </c>
      <c r="N59" s="71">
        <f t="shared" si="5"/>
        <v>5.8234845697541449E-2</v>
      </c>
      <c r="O59" s="71">
        <f t="shared" si="2"/>
        <v>6.1770560564733845E-2</v>
      </c>
    </row>
    <row r="60" spans="1:15" x14ac:dyDescent="0.3">
      <c r="A60" s="4">
        <f t="shared" si="3"/>
        <v>52</v>
      </c>
      <c r="G60"/>
      <c r="H60"/>
      <c r="I60"/>
      <c r="J60"/>
      <c r="K60" s="4">
        <f t="shared" si="4"/>
        <v>13</v>
      </c>
      <c r="L60" s="31">
        <f t="shared" si="7"/>
        <v>4.0428269542950403E-2</v>
      </c>
      <c r="M60" s="31">
        <f t="shared" si="8"/>
        <v>4.1263172567633316E-2</v>
      </c>
      <c r="N60" s="71">
        <f t="shared" si="5"/>
        <v>5.8961567641446333E-2</v>
      </c>
      <c r="O60" s="71">
        <f t="shared" si="2"/>
        <v>6.1794388996732508E-2</v>
      </c>
    </row>
    <row r="61" spans="1:15" x14ac:dyDescent="0.3">
      <c r="A61" s="4">
        <f t="shared" si="3"/>
        <v>53</v>
      </c>
      <c r="G61"/>
      <c r="H61"/>
      <c r="I61"/>
      <c r="J61"/>
      <c r="K61" s="4">
        <f t="shared" si="4"/>
        <v>13.25</v>
      </c>
      <c r="L61" s="31">
        <f t="shared" si="7"/>
        <v>4.078999502407623E-2</v>
      </c>
      <c r="M61" s="31">
        <f t="shared" si="8"/>
        <v>4.1645672516286862E-2</v>
      </c>
      <c r="N61" s="71">
        <f t="shared" si="5"/>
        <v>5.9688353129151661E-2</v>
      </c>
      <c r="O61" s="71">
        <f t="shared" si="2"/>
        <v>6.1634752464398979E-2</v>
      </c>
    </row>
    <row r="62" spans="1:15" x14ac:dyDescent="0.3">
      <c r="A62" s="4">
        <f t="shared" si="3"/>
        <v>54</v>
      </c>
      <c r="G62"/>
      <c r="H62"/>
      <c r="I62"/>
      <c r="J62"/>
      <c r="K62" s="4">
        <f t="shared" si="4"/>
        <v>13.5</v>
      </c>
      <c r="L62" s="31">
        <f t="shared" si="7"/>
        <v>4.1151720505202057E-2</v>
      </c>
      <c r="M62" s="31">
        <f t="shared" si="8"/>
        <v>4.200759328283217E-2</v>
      </c>
      <c r="N62" s="71">
        <f t="shared" si="5"/>
        <v>6.0415202138107027E-2</v>
      </c>
      <c r="O62" s="71">
        <f t="shared" si="2"/>
        <v>6.1281485861006679E-2</v>
      </c>
    </row>
    <row r="63" spans="1:15" x14ac:dyDescent="0.3">
      <c r="A63" s="4">
        <f t="shared" si="3"/>
        <v>55</v>
      </c>
      <c r="G63"/>
      <c r="H63"/>
      <c r="I63"/>
      <c r="J63"/>
      <c r="K63" s="4">
        <f t="shared" si="4"/>
        <v>13.75</v>
      </c>
      <c r="L63" s="31">
        <f t="shared" si="7"/>
        <v>4.1513445986327883E-2</v>
      </c>
      <c r="M63" s="31">
        <f t="shared" si="8"/>
        <v>4.2346378224679196E-2</v>
      </c>
      <c r="N63" s="71">
        <f t="shared" si="5"/>
        <v>6.1142114645689638E-2</v>
      </c>
      <c r="O63" s="71">
        <f t="shared" si="2"/>
        <v>6.0724477738659743E-2</v>
      </c>
    </row>
    <row r="64" spans="1:15" x14ac:dyDescent="0.3">
      <c r="A64" s="4">
        <f t="shared" si="3"/>
        <v>56</v>
      </c>
      <c r="G64"/>
      <c r="H64"/>
      <c r="I64"/>
      <c r="J64"/>
      <c r="K64" s="4">
        <f t="shared" si="4"/>
        <v>14</v>
      </c>
      <c r="L64" s="31">
        <f t="shared" si="7"/>
        <v>4.187517146745371E-2</v>
      </c>
      <c r="M64" s="31">
        <f t="shared" si="8"/>
        <v>4.2659470699237853E-2</v>
      </c>
      <c r="N64" s="71">
        <f t="shared" si="5"/>
        <v>6.1869090629214085E-2</v>
      </c>
      <c r="O64" s="71">
        <f t="shared" si="2"/>
        <v>5.9953676858830018E-2</v>
      </c>
    </row>
    <row r="65" spans="1:15" x14ac:dyDescent="0.3">
      <c r="A65" s="4">
        <f t="shared" si="3"/>
        <v>57</v>
      </c>
      <c r="G65"/>
      <c r="H65"/>
      <c r="I65"/>
      <c r="J65"/>
      <c r="K65" s="4">
        <f t="shared" si="4"/>
        <v>14.25</v>
      </c>
      <c r="L65" s="31">
        <f t="shared" si="7"/>
        <v>4.2236896948579537E-2</v>
      </c>
      <c r="M65" s="31">
        <f t="shared" si="8"/>
        <v>4.2944314063918104E-2</v>
      </c>
      <c r="N65" s="71">
        <f t="shared" si="5"/>
        <v>6.2596130066156164E-2</v>
      </c>
      <c r="O65" s="71">
        <f t="shared" si="2"/>
        <v>5.8959099003024207E-2</v>
      </c>
    </row>
    <row r="66" spans="1:15" x14ac:dyDescent="0.3">
      <c r="A66" s="4">
        <f t="shared" si="3"/>
        <v>58</v>
      </c>
      <c r="G66"/>
      <c r="H66"/>
      <c r="I66"/>
      <c r="J66"/>
      <c r="K66" s="4">
        <f t="shared" si="4"/>
        <v>14.5</v>
      </c>
      <c r="L66" s="31">
        <f t="shared" si="7"/>
        <v>4.2598622429705364E-2</v>
      </c>
      <c r="M66" s="31">
        <f t="shared" si="8"/>
        <v>4.3198351676129884E-2</v>
      </c>
      <c r="N66" s="71">
        <f t="shared" si="5"/>
        <v>6.3323232933930385E-2</v>
      </c>
      <c r="O66" s="71">
        <f t="shared" si="2"/>
        <v>5.7730834039046997E-2</v>
      </c>
    </row>
    <row r="67" spans="1:15" x14ac:dyDescent="0.3">
      <c r="A67" s="4">
        <f t="shared" si="3"/>
        <v>59</v>
      </c>
      <c r="G67"/>
      <c r="H67"/>
      <c r="I67"/>
      <c r="J67"/>
      <c r="K67" s="4">
        <f t="shared" si="4"/>
        <v>14.75</v>
      </c>
      <c r="L67" s="31">
        <f t="shared" si="7"/>
        <v>4.2960347910831191E-2</v>
      </c>
      <c r="M67" s="31">
        <f t="shared" si="8"/>
        <v>4.3419026893283114E-2</v>
      </c>
      <c r="N67" s="71">
        <f t="shared" si="5"/>
        <v>6.4050399209875764E-2</v>
      </c>
      <c r="O67" s="71">
        <f t="shared" si="2"/>
        <v>5.625905324116065E-2</v>
      </c>
    </row>
    <row r="68" spans="1:15" x14ac:dyDescent="0.3">
      <c r="A68" s="4">
        <f t="shared" si="3"/>
        <v>60</v>
      </c>
      <c r="G68"/>
      <c r="H68"/>
      <c r="I68"/>
      <c r="J68"/>
      <c r="K68" s="4">
        <f t="shared" si="4"/>
        <v>15</v>
      </c>
      <c r="L68" s="31">
        <f t="shared" si="7"/>
        <v>4.3322073391957018E-2</v>
      </c>
      <c r="M68" s="31">
        <f t="shared" si="8"/>
        <v>4.3603783072787734E-2</v>
      </c>
      <c r="N68" s="71">
        <f t="shared" si="5"/>
        <v>6.4777628871503179E-2</v>
      </c>
      <c r="O68" s="71">
        <f t="shared" si="2"/>
        <v>5.4534016858676537E-2</v>
      </c>
    </row>
    <row r="69" spans="1:15" x14ac:dyDescent="0.3">
      <c r="A69" s="4">
        <f t="shared" si="3"/>
        <v>61</v>
      </c>
      <c r="G69"/>
      <c r="H69"/>
      <c r="I69"/>
      <c r="J69"/>
      <c r="K69" s="4">
        <f t="shared" si="4"/>
        <v>15.25</v>
      </c>
      <c r="L69" s="31">
        <f t="shared" si="7"/>
        <v>4.3683798873082845E-2</v>
      </c>
      <c r="M69" s="31">
        <f t="shared" si="8"/>
        <v>4.3750063572053702E-2</v>
      </c>
      <c r="N69" s="71">
        <f t="shared" si="5"/>
        <v>6.5504921896254675E-2</v>
      </c>
      <c r="O69" s="71">
        <f t="shared" si="2"/>
        <v>5.2546081931185373E-2</v>
      </c>
    </row>
    <row r="70" spans="1:15" x14ac:dyDescent="0.3">
      <c r="A70" s="4">
        <f t="shared" si="3"/>
        <v>62</v>
      </c>
      <c r="G70"/>
      <c r="H70"/>
      <c r="I70"/>
      <c r="J70"/>
      <c r="K70" s="4">
        <f t="shared" si="4"/>
        <v>15.5</v>
      </c>
      <c r="L70" s="31">
        <f t="shared" si="7"/>
        <v>4.3744614159752788E-2</v>
      </c>
      <c r="M70" s="31">
        <f t="shared" si="8"/>
        <v>4.3855721536245798E-2</v>
      </c>
      <c r="N70" s="71">
        <f t="shared" si="5"/>
        <v>4.7457770868117866E-2</v>
      </c>
      <c r="O70" s="71">
        <f t="shared" si="2"/>
        <v>5.0311197276670772E-2</v>
      </c>
    </row>
    <row r="71" spans="1:15" x14ac:dyDescent="0.3">
      <c r="A71" s="4">
        <f t="shared" si="3"/>
        <v>63</v>
      </c>
      <c r="G71"/>
      <c r="H71"/>
      <c r="I71"/>
      <c r="J71"/>
      <c r="K71" s="4">
        <f t="shared" si="4"/>
        <v>15.75</v>
      </c>
      <c r="L71" s="31">
        <f t="shared" si="7"/>
        <v>4.369144831215914E-2</v>
      </c>
      <c r="M71" s="31">
        <f t="shared" si="8"/>
        <v>4.392248698325938E-2</v>
      </c>
      <c r="N71" s="71">
        <f t="shared" si="5"/>
        <v>4.0397865435911839E-2</v>
      </c>
      <c r="O71" s="71">
        <f t="shared" si="2"/>
        <v>4.8066206998377048E-2</v>
      </c>
    </row>
    <row r="72" spans="1:15" x14ac:dyDescent="0.3">
      <c r="A72" s="4">
        <f t="shared" si="3"/>
        <v>64</v>
      </c>
      <c r="G72"/>
      <c r="H72"/>
      <c r="I72"/>
      <c r="J72"/>
      <c r="K72" s="4">
        <f t="shared" si="4"/>
        <v>16</v>
      </c>
      <c r="L72" s="31">
        <f t="shared" si="7"/>
        <v>4.3638282464565491E-2</v>
      </c>
      <c r="M72" s="31">
        <f t="shared" si="8"/>
        <v>4.3954225697514254E-2</v>
      </c>
      <c r="N72" s="71">
        <f t="shared" si="5"/>
        <v>4.0291620875274603E-2</v>
      </c>
      <c r="O72" s="71">
        <f t="shared" si="2"/>
        <v>4.5954758598917511E-2</v>
      </c>
    </row>
    <row r="73" spans="1:15" x14ac:dyDescent="0.3">
      <c r="A73" s="4">
        <f t="shared" si="3"/>
        <v>65</v>
      </c>
      <c r="G73"/>
      <c r="H73"/>
      <c r="I73"/>
      <c r="J73"/>
      <c r="K73" s="4">
        <f t="shared" si="4"/>
        <v>16.25</v>
      </c>
      <c r="L73" s="31">
        <f t="shared" ref="L73:L104" si="9">PWLinear(K73,G$9:G$33,H$9:H$33)</f>
        <v>4.3585116616971842E-2</v>
      </c>
      <c r="M73" s="31">
        <f t="shared" ref="M73:M104" si="10">splint(G$9:G$21,H$9:H$21,I$9:I$21,K73)</f>
        <v>4.3954825734813817E-2</v>
      </c>
      <c r="N73" s="71">
        <f t="shared" si="5"/>
        <v>4.0185377700045599E-2</v>
      </c>
      <c r="O73" s="71">
        <f t="shared" si="2"/>
        <v>4.3993228488369951E-2</v>
      </c>
    </row>
    <row r="74" spans="1:15" x14ac:dyDescent="0.3">
      <c r="A74" s="4">
        <f t="shared" si="3"/>
        <v>66</v>
      </c>
      <c r="G74"/>
      <c r="H74"/>
      <c r="I74"/>
      <c r="J74"/>
      <c r="K74" s="4">
        <f t="shared" si="4"/>
        <v>16.5</v>
      </c>
      <c r="L74" s="31">
        <f t="shared" si="9"/>
        <v>4.3531950769378186E-2</v>
      </c>
      <c r="M74" s="31">
        <f t="shared" si="10"/>
        <v>4.3928175150961382E-2</v>
      </c>
      <c r="N74" s="71">
        <f t="shared" si="5"/>
        <v>4.0079135910285668E-2</v>
      </c>
      <c r="O74" s="71">
        <f t="shared" ref="O74:O128" si="11">2*(((1+M74/2)^$K74/(1+M73/2)^$K73)^(1/($K74-$K73))-1)</f>
        <v>4.2196632359075004E-2</v>
      </c>
    </row>
    <row r="75" spans="1:15" x14ac:dyDescent="0.3">
      <c r="A75" s="4">
        <f t="shared" ref="A75:A88" si="12">A74+1</f>
        <v>67</v>
      </c>
      <c r="G75"/>
      <c r="H75"/>
      <c r="I75"/>
      <c r="J75"/>
      <c r="K75" s="4">
        <f t="shared" ref="K75:K128" si="13">K74+0.25</f>
        <v>16.75</v>
      </c>
      <c r="L75" s="31">
        <f t="shared" si="9"/>
        <v>4.3478784921784537E-2</v>
      </c>
      <c r="M75" s="31">
        <f t="shared" si="10"/>
        <v>4.3878162001760326E-2</v>
      </c>
      <c r="N75" s="71">
        <f t="shared" ref="N75:N128" si="14">2*(((1+L75/2)^$K75/(1+L74/2)^$K74)^(1/($K75-$K74))-1)</f>
        <v>3.9972895506059647E-2</v>
      </c>
      <c r="O75" s="71">
        <f t="shared" si="11"/>
        <v>4.0579998494518765E-2</v>
      </c>
    </row>
    <row r="76" spans="1:15" x14ac:dyDescent="0.3">
      <c r="A76" s="4">
        <f t="shared" si="12"/>
        <v>68</v>
      </c>
      <c r="G76"/>
      <c r="H76"/>
      <c r="I76"/>
      <c r="J76"/>
      <c r="K76" s="4">
        <f t="shared" si="13"/>
        <v>17</v>
      </c>
      <c r="L76" s="31">
        <f t="shared" si="9"/>
        <v>4.3425619074190888E-2</v>
      </c>
      <c r="M76" s="31">
        <f t="shared" si="10"/>
        <v>4.380867434301397E-2</v>
      </c>
      <c r="N76" s="71">
        <f t="shared" si="14"/>
        <v>3.98666564874679E-2</v>
      </c>
      <c r="O76" s="71">
        <f t="shared" si="11"/>
        <v>3.9158378816988026E-2</v>
      </c>
    </row>
    <row r="77" spans="1:15" x14ac:dyDescent="0.3">
      <c r="A77" s="4">
        <f t="shared" si="12"/>
        <v>69</v>
      </c>
      <c r="G77"/>
      <c r="H77"/>
      <c r="I77"/>
      <c r="J77"/>
      <c r="K77" s="4">
        <f t="shared" si="13"/>
        <v>17.25</v>
      </c>
      <c r="L77" s="31">
        <f t="shared" si="9"/>
        <v>4.3372453226597239E-2</v>
      </c>
      <c r="M77" s="31">
        <f t="shared" si="10"/>
        <v>4.3723600230525669E-2</v>
      </c>
      <c r="N77" s="71">
        <f t="shared" si="14"/>
        <v>3.976041885449666E-2</v>
      </c>
      <c r="O77" s="71">
        <f t="shared" si="11"/>
        <v>3.7946860598271126E-2</v>
      </c>
    </row>
    <row r="78" spans="1:15" x14ac:dyDescent="0.3">
      <c r="A78" s="4">
        <f t="shared" si="12"/>
        <v>70</v>
      </c>
      <c r="G78"/>
      <c r="H78"/>
      <c r="I78"/>
      <c r="J78"/>
      <c r="K78" s="4">
        <f t="shared" si="13"/>
        <v>17.5</v>
      </c>
      <c r="L78" s="31">
        <f t="shared" si="9"/>
        <v>4.331928737900359E-2</v>
      </c>
      <c r="M78" s="31">
        <f t="shared" si="10"/>
        <v>4.3626827720098793E-2</v>
      </c>
      <c r="N78" s="71">
        <f t="shared" si="14"/>
        <v>3.9654182607300026E-2</v>
      </c>
      <c r="O78" s="71">
        <f t="shared" si="11"/>
        <v>3.6960578844897896E-2</v>
      </c>
    </row>
    <row r="79" spans="1:15" x14ac:dyDescent="0.3">
      <c r="A79" s="4">
        <f t="shared" si="12"/>
        <v>71</v>
      </c>
      <c r="G79"/>
      <c r="H79"/>
      <c r="I79"/>
      <c r="J79"/>
      <c r="K79" s="4">
        <f t="shared" si="13"/>
        <v>17.75</v>
      </c>
      <c r="L79" s="31">
        <f t="shared" si="9"/>
        <v>4.3266121531409941E-2</v>
      </c>
      <c r="M79" s="31">
        <f t="shared" si="10"/>
        <v>4.3522244867536662E-2</v>
      </c>
      <c r="N79" s="71">
        <f t="shared" si="14"/>
        <v>3.9547947745931289E-2</v>
      </c>
      <c r="O79" s="71">
        <f t="shared" si="11"/>
        <v>3.6214729367576748E-2</v>
      </c>
    </row>
    <row r="80" spans="1:15" x14ac:dyDescent="0.3">
      <c r="A80" s="4">
        <f t="shared" si="12"/>
        <v>72</v>
      </c>
      <c r="G80"/>
      <c r="H80"/>
      <c r="I80"/>
      <c r="J80"/>
      <c r="K80" s="4">
        <f t="shared" si="13"/>
        <v>18</v>
      </c>
      <c r="L80" s="31">
        <f t="shared" si="9"/>
        <v>4.3212955683816286E-2</v>
      </c>
      <c r="M80" s="31">
        <f t="shared" si="10"/>
        <v>4.3413739728642646E-2</v>
      </c>
      <c r="N80" s="71">
        <f t="shared" si="14"/>
        <v>3.9441714270457506E-2</v>
      </c>
      <c r="O80" s="71">
        <f t="shared" si="11"/>
        <v>3.5724582547820738E-2</v>
      </c>
    </row>
    <row r="81" spans="1:15" x14ac:dyDescent="0.3">
      <c r="A81" s="4">
        <f t="shared" si="12"/>
        <v>73</v>
      </c>
      <c r="G81"/>
      <c r="H81"/>
      <c r="I81"/>
      <c r="J81"/>
      <c r="K81" s="4">
        <f t="shared" si="13"/>
        <v>18.25</v>
      </c>
      <c r="L81" s="31">
        <f t="shared" si="9"/>
        <v>4.3159789836222637E-2</v>
      </c>
      <c r="M81" s="31">
        <f t="shared" si="10"/>
        <v>4.3305200359220072E-2</v>
      </c>
      <c r="N81" s="71">
        <f t="shared" si="14"/>
        <v>3.9335482180973713E-2</v>
      </c>
      <c r="O81" s="71">
        <f t="shared" si="11"/>
        <v>3.5505497813846265E-2</v>
      </c>
    </row>
    <row r="82" spans="1:15" x14ac:dyDescent="0.3">
      <c r="A82" s="4">
        <f t="shared" si="12"/>
        <v>74</v>
      </c>
      <c r="G82"/>
      <c r="H82"/>
      <c r="I82"/>
      <c r="J82"/>
      <c r="K82" s="4">
        <f t="shared" si="13"/>
        <v>18.5</v>
      </c>
      <c r="L82" s="31">
        <f t="shared" si="9"/>
        <v>4.3106623988628988E-2</v>
      </c>
      <c r="M82" s="31">
        <f t="shared" si="10"/>
        <v>4.3200514815072304E-2</v>
      </c>
      <c r="N82" s="71">
        <f t="shared" si="14"/>
        <v>3.9229251477472804E-2</v>
      </c>
      <c r="O82" s="71">
        <f t="shared" si="11"/>
        <v>3.5572938839255386E-2</v>
      </c>
    </row>
    <row r="83" spans="1:15" x14ac:dyDescent="0.3">
      <c r="A83" s="4">
        <f t="shared" si="12"/>
        <v>75</v>
      </c>
      <c r="G83"/>
      <c r="H83"/>
      <c r="I83"/>
      <c r="J83"/>
      <c r="K83" s="4">
        <f t="shared" si="13"/>
        <v>18.75</v>
      </c>
      <c r="L83" s="31">
        <f t="shared" si="9"/>
        <v>4.3053458141035339E-2</v>
      </c>
      <c r="M83" s="31">
        <f t="shared" si="10"/>
        <v>4.3103571152002675E-2</v>
      </c>
      <c r="N83" s="71">
        <f t="shared" si="14"/>
        <v>3.9123022160112875E-2</v>
      </c>
      <c r="O83" s="71">
        <f t="shared" si="11"/>
        <v>3.5942489479829032E-2</v>
      </c>
    </row>
    <row r="84" spans="1:15" x14ac:dyDescent="0.3">
      <c r="A84" s="4">
        <f t="shared" si="12"/>
        <v>76</v>
      </c>
      <c r="G84"/>
      <c r="H84"/>
      <c r="I84"/>
      <c r="J84"/>
      <c r="K84" s="4">
        <f t="shared" si="13"/>
        <v>19</v>
      </c>
      <c r="L84" s="31">
        <f t="shared" si="9"/>
        <v>4.300029229344169E-2</v>
      </c>
      <c r="M84" s="31">
        <f t="shared" si="10"/>
        <v>4.3018257425814561E-2</v>
      </c>
      <c r="N84" s="71">
        <f t="shared" si="14"/>
        <v>3.9016794228934781E-2</v>
      </c>
      <c r="O84" s="71">
        <f t="shared" si="11"/>
        <v>3.6629870463284142E-2</v>
      </c>
    </row>
    <row r="85" spans="1:15" x14ac:dyDescent="0.3">
      <c r="A85" s="4">
        <f t="shared" si="12"/>
        <v>77</v>
      </c>
      <c r="G85"/>
      <c r="H85"/>
      <c r="I85"/>
      <c r="J85"/>
      <c r="K85" s="4">
        <f t="shared" si="13"/>
        <v>19.25</v>
      </c>
      <c r="L85" s="31">
        <f t="shared" si="9"/>
        <v>4.2947126445848034E-2</v>
      </c>
      <c r="M85" s="31">
        <f t="shared" si="10"/>
        <v>4.2948461692311285E-2</v>
      </c>
      <c r="N85" s="71">
        <f t="shared" si="14"/>
        <v>3.8910567684005137E-2</v>
      </c>
      <c r="O85" s="71">
        <f t="shared" si="11"/>
        <v>3.7650956848149786E-2</v>
      </c>
    </row>
    <row r="86" spans="1:15" x14ac:dyDescent="0.3">
      <c r="A86" s="4">
        <f t="shared" si="12"/>
        <v>78</v>
      </c>
      <c r="J86"/>
      <c r="K86" s="4">
        <f t="shared" si="13"/>
        <v>19.5</v>
      </c>
      <c r="L86" s="31">
        <f t="shared" si="9"/>
        <v>4.2933646524651647E-2</v>
      </c>
      <c r="M86" s="31">
        <f t="shared" si="10"/>
        <v>4.2897665356789953E-2</v>
      </c>
      <c r="N86" s="71">
        <f t="shared" si="14"/>
        <v>4.1895959647306302E-2</v>
      </c>
      <c r="O86" s="71">
        <f t="shared" si="11"/>
        <v>3.8990137957657378E-2</v>
      </c>
    </row>
    <row r="87" spans="1:15" x14ac:dyDescent="0.3">
      <c r="A87" s="4">
        <f t="shared" si="12"/>
        <v>79</v>
      </c>
      <c r="K87" s="4">
        <f t="shared" si="13"/>
        <v>19.75</v>
      </c>
      <c r="L87" s="31">
        <f t="shared" si="9"/>
        <v>4.2935199151333009E-2</v>
      </c>
      <c r="M87" s="31">
        <f t="shared" si="10"/>
        <v>4.2865502632337106E-2</v>
      </c>
      <c r="N87" s="71">
        <f t="shared" si="14"/>
        <v>4.3056307668118077E-2</v>
      </c>
      <c r="O87" s="71">
        <f t="shared" si="11"/>
        <v>4.0358369588699983E-2</v>
      </c>
    </row>
    <row r="88" spans="1:15" x14ac:dyDescent="0.3">
      <c r="A88" s="4">
        <f t="shared" si="12"/>
        <v>80</v>
      </c>
      <c r="K88" s="4">
        <f t="shared" si="13"/>
        <v>20</v>
      </c>
      <c r="L88" s="31">
        <f t="shared" si="9"/>
        <v>4.293675177801437E-2</v>
      </c>
      <c r="M88" s="31">
        <f t="shared" si="10"/>
        <v>4.2849488316492795E-2</v>
      </c>
      <c r="N88" s="71">
        <f t="shared" si="14"/>
        <v>4.3059413014664649E-2</v>
      </c>
      <c r="O88" s="71">
        <f t="shared" si="11"/>
        <v>4.1584753985684397E-2</v>
      </c>
    </row>
    <row r="89" spans="1:15" x14ac:dyDescent="0.3">
      <c r="K89" s="4">
        <f t="shared" si="13"/>
        <v>20.25</v>
      </c>
      <c r="L89" s="31">
        <f t="shared" si="9"/>
        <v>4.2938304404695732E-2</v>
      </c>
      <c r="M89" s="31">
        <f t="shared" si="10"/>
        <v>4.2847115105918585E-2</v>
      </c>
      <c r="N89" s="71">
        <f t="shared" si="14"/>
        <v>4.3062518362463109E-2</v>
      </c>
      <c r="O89" s="71">
        <f t="shared" si="11"/>
        <v>4.2657267192377279E-2</v>
      </c>
    </row>
    <row r="90" spans="1:15" x14ac:dyDescent="0.3">
      <c r="K90" s="4">
        <f t="shared" si="13"/>
        <v>20.5</v>
      </c>
      <c r="L90" s="31">
        <f t="shared" si="9"/>
        <v>4.2939857031377093E-2</v>
      </c>
      <c r="M90" s="31">
        <f t="shared" si="10"/>
        <v>4.2855875697276072E-2</v>
      </c>
      <c r="N90" s="71">
        <f t="shared" si="14"/>
        <v>4.3065623711405987E-2</v>
      </c>
      <c r="O90" s="71">
        <f t="shared" si="11"/>
        <v>4.3565608378515641E-2</v>
      </c>
    </row>
    <row r="91" spans="1:15" x14ac:dyDescent="0.3">
      <c r="K91" s="4">
        <f t="shared" si="13"/>
        <v>20.75</v>
      </c>
      <c r="L91" s="31">
        <f t="shared" si="9"/>
        <v>4.2941409658058455E-2</v>
      </c>
      <c r="M91" s="31">
        <f t="shared" si="10"/>
        <v>4.2873262787226814E-2</v>
      </c>
      <c r="N91" s="71">
        <f t="shared" si="14"/>
        <v>4.3068729061525257E-2</v>
      </c>
      <c r="O91" s="71">
        <f t="shared" si="11"/>
        <v>4.4299507870019905E-2</v>
      </c>
    </row>
    <row r="92" spans="1:15" x14ac:dyDescent="0.3">
      <c r="K92" s="4">
        <f t="shared" si="13"/>
        <v>21</v>
      </c>
      <c r="L92" s="31">
        <f t="shared" si="9"/>
        <v>4.2942962284739816E-2</v>
      </c>
      <c r="M92" s="31">
        <f t="shared" si="10"/>
        <v>4.2896769072432395E-2</v>
      </c>
      <c r="N92" s="71">
        <f t="shared" si="14"/>
        <v>4.3071834412837351E-2</v>
      </c>
      <c r="O92" s="71">
        <f t="shared" si="11"/>
        <v>4.4848733915760608E-2</v>
      </c>
    </row>
    <row r="93" spans="1:15" x14ac:dyDescent="0.3">
      <c r="K93" s="4">
        <f t="shared" si="13"/>
        <v>21.25</v>
      </c>
      <c r="L93" s="31">
        <f t="shared" si="9"/>
        <v>4.2944514911421178E-2</v>
      </c>
      <c r="M93" s="31">
        <f t="shared" si="10"/>
        <v>4.2923887249554385E-2</v>
      </c>
      <c r="N93" s="71">
        <f t="shared" si="14"/>
        <v>4.3074939765303188E-2</v>
      </c>
      <c r="O93" s="71">
        <f t="shared" si="11"/>
        <v>4.5203099717225914E-2</v>
      </c>
    </row>
    <row r="94" spans="1:15" x14ac:dyDescent="0.3">
      <c r="K94" s="4">
        <f t="shared" si="13"/>
        <v>21.5</v>
      </c>
      <c r="L94" s="31">
        <f t="shared" si="9"/>
        <v>4.2946067538102539E-2</v>
      </c>
      <c r="M94" s="31">
        <f t="shared" si="10"/>
        <v>4.2952110015254362E-2</v>
      </c>
      <c r="N94" s="71">
        <f t="shared" si="14"/>
        <v>4.3078045118934316E-2</v>
      </c>
      <c r="O94" s="71">
        <f t="shared" si="11"/>
        <v>4.5352470715041893E-2</v>
      </c>
    </row>
    <row r="95" spans="1:15" x14ac:dyDescent="0.3">
      <c r="K95" s="4">
        <f t="shared" si="13"/>
        <v>21.75</v>
      </c>
      <c r="L95" s="31">
        <f t="shared" si="9"/>
        <v>4.2947620164783901E-2</v>
      </c>
      <c r="M95" s="31">
        <f t="shared" si="10"/>
        <v>4.2978930066193903E-2</v>
      </c>
      <c r="N95" s="71">
        <f t="shared" si="14"/>
        <v>4.3081150473814223E-2</v>
      </c>
      <c r="O95" s="71">
        <f t="shared" si="11"/>
        <v>4.5286772127978825E-2</v>
      </c>
    </row>
    <row r="96" spans="1:15" x14ac:dyDescent="0.3">
      <c r="K96" s="4">
        <f t="shared" si="13"/>
        <v>22</v>
      </c>
      <c r="L96" s="31">
        <f t="shared" si="9"/>
        <v>4.2949172791465262E-2</v>
      </c>
      <c r="M96" s="31">
        <f t="shared" si="10"/>
        <v>4.3001840099034586E-2</v>
      </c>
      <c r="N96" s="71">
        <f t="shared" si="14"/>
        <v>4.3084255829833218E-2</v>
      </c>
      <c r="O96" s="71">
        <f t="shared" si="11"/>
        <v>4.4995996738663724E-2</v>
      </c>
    </row>
    <row r="97" spans="11:15" x14ac:dyDescent="0.3">
      <c r="K97" s="4">
        <f t="shared" si="13"/>
        <v>22.25</v>
      </c>
      <c r="L97" s="31">
        <f t="shared" si="9"/>
        <v>4.2950725418146624E-2</v>
      </c>
      <c r="M97" s="31">
        <f t="shared" si="10"/>
        <v>4.301833281043798E-2</v>
      </c>
      <c r="N97" s="71">
        <f t="shared" si="14"/>
        <v>4.3087361187040596E-2</v>
      </c>
      <c r="O97" s="71">
        <f t="shared" si="11"/>
        <v>4.4470212920411978E-2</v>
      </c>
    </row>
    <row r="98" spans="11:15" x14ac:dyDescent="0.3">
      <c r="K98" s="4">
        <f t="shared" si="13"/>
        <v>22.5</v>
      </c>
      <c r="L98" s="31">
        <f t="shared" si="9"/>
        <v>4.2952278044827985E-2</v>
      </c>
      <c r="M98" s="31">
        <f t="shared" si="10"/>
        <v>4.3025900897065664E-2</v>
      </c>
      <c r="N98" s="71">
        <f t="shared" si="14"/>
        <v>4.3090466545419481E-2</v>
      </c>
      <c r="O98" s="71">
        <f t="shared" si="11"/>
        <v>4.3699572899135841E-2</v>
      </c>
    </row>
    <row r="99" spans="11:15" x14ac:dyDescent="0.3">
      <c r="K99" s="4">
        <f t="shared" si="13"/>
        <v>22.75</v>
      </c>
      <c r="L99" s="31">
        <f t="shared" si="9"/>
        <v>4.2953830671509347E-2</v>
      </c>
      <c r="M99" s="31">
        <f t="shared" si="10"/>
        <v>4.3022037055579214E-2</v>
      </c>
      <c r="N99" s="71">
        <f t="shared" si="14"/>
        <v>4.3093571904939232E-2</v>
      </c>
      <c r="O99" s="71">
        <f t="shared" si="11"/>
        <v>4.2674321244060565E-2</v>
      </c>
    </row>
    <row r="100" spans="11:15" x14ac:dyDescent="0.3">
      <c r="K100" s="4">
        <f t="shared" si="13"/>
        <v>23</v>
      </c>
      <c r="L100" s="31">
        <f t="shared" si="9"/>
        <v>4.2955383298190708E-2</v>
      </c>
      <c r="M100" s="31">
        <f t="shared" si="10"/>
        <v>4.3004233982640201E-2</v>
      </c>
      <c r="N100" s="71">
        <f t="shared" si="14"/>
        <v>4.3096677265715755E-2</v>
      </c>
      <c r="O100" s="71">
        <f t="shared" si="11"/>
        <v>4.1384803581182794E-2</v>
      </c>
    </row>
    <row r="101" spans="11:15" x14ac:dyDescent="0.3">
      <c r="K101" s="4">
        <f t="shared" si="13"/>
        <v>23.25</v>
      </c>
      <c r="L101" s="31">
        <f t="shared" si="9"/>
        <v>4.2956935924872069E-2</v>
      </c>
      <c r="M101" s="31">
        <f t="shared" si="10"/>
        <v>4.296998437491021E-2</v>
      </c>
      <c r="N101" s="71">
        <f t="shared" si="14"/>
        <v>4.3099782627647354E-2</v>
      </c>
      <c r="O101" s="71">
        <f t="shared" si="11"/>
        <v>3.9821475522557215E-2</v>
      </c>
    </row>
    <row r="102" spans="11:15" x14ac:dyDescent="0.3">
      <c r="K102" s="4">
        <f t="shared" si="13"/>
        <v>23.5</v>
      </c>
      <c r="L102" s="31">
        <f t="shared" si="9"/>
        <v>4.2870744756577144E-2</v>
      </c>
      <c r="M102" s="31">
        <f t="shared" si="10"/>
        <v>4.2917069003676617E-2</v>
      </c>
      <c r="N102" s="71">
        <f t="shared" si="14"/>
        <v>3.4870840069874731E-2</v>
      </c>
      <c r="O102" s="71">
        <f t="shared" si="11"/>
        <v>3.8001925491452759E-2</v>
      </c>
    </row>
    <row r="103" spans="11:15" x14ac:dyDescent="0.3">
      <c r="K103" s="4">
        <f t="shared" si="13"/>
        <v>23.75</v>
      </c>
      <c r="L103" s="31">
        <f t="shared" si="9"/>
        <v>4.2751317302306351E-2</v>
      </c>
      <c r="M103" s="31">
        <f t="shared" si="10"/>
        <v>4.2845994023423151E-2</v>
      </c>
      <c r="N103" s="71">
        <f t="shared" si="14"/>
        <v>3.1556253922305544E-2</v>
      </c>
      <c r="O103" s="71">
        <f t="shared" si="11"/>
        <v>3.6175974874848915E-2</v>
      </c>
    </row>
    <row r="104" spans="11:15" x14ac:dyDescent="0.3">
      <c r="K104" s="4">
        <f t="shared" si="13"/>
        <v>24</v>
      </c>
      <c r="L104" s="31">
        <f t="shared" si="9"/>
        <v>4.2631889848035551E-2</v>
      </c>
      <c r="M104" s="31">
        <f t="shared" si="10"/>
        <v>4.2758767000364517E-2</v>
      </c>
      <c r="N104" s="71">
        <f t="shared" si="14"/>
        <v>3.1318062320218498E-2</v>
      </c>
      <c r="O104" s="71">
        <f t="shared" si="11"/>
        <v>3.4489160771132177E-2</v>
      </c>
    </row>
    <row r="105" spans="11:15" x14ac:dyDescent="0.3">
      <c r="K105" s="4">
        <f t="shared" si="13"/>
        <v>24.25</v>
      </c>
      <c r="L105" s="31">
        <f t="shared" ref="L105:L128" si="15">PWLinear(K105,G$9:G$33,H$9:H$33)</f>
        <v>4.2512462393764758E-2</v>
      </c>
      <c r="M105" s="31">
        <f t="shared" ref="M105:M128" si="16">splint(G$9:G$21,H$9:H$21,I$9:I$21,K105)</f>
        <v>4.2657411157162942E-2</v>
      </c>
      <c r="N105" s="71">
        <f t="shared" si="14"/>
        <v>3.1079877739491835E-2</v>
      </c>
      <c r="O105" s="71">
        <f t="shared" si="11"/>
        <v>3.2950628425597817E-2</v>
      </c>
    </row>
    <row r="106" spans="11:15" x14ac:dyDescent="0.3">
      <c r="K106" s="4">
        <f t="shared" si="13"/>
        <v>24.5</v>
      </c>
      <c r="L106" s="31">
        <f t="shared" si="15"/>
        <v>4.2393034939493965E-2</v>
      </c>
      <c r="M106" s="31">
        <f t="shared" si="16"/>
        <v>4.2543949716480636E-2</v>
      </c>
      <c r="N106" s="71">
        <f t="shared" si="14"/>
        <v>3.0841700180762377E-2</v>
      </c>
      <c r="O106" s="71">
        <f t="shared" si="11"/>
        <v>3.1568091764876627E-2</v>
      </c>
    </row>
    <row r="107" spans="11:15" x14ac:dyDescent="0.3">
      <c r="K107" s="4">
        <f t="shared" si="13"/>
        <v>24.75</v>
      </c>
      <c r="L107" s="31">
        <f t="shared" si="15"/>
        <v>4.2273607485223172E-2</v>
      </c>
      <c r="M107" s="31">
        <f t="shared" si="16"/>
        <v>4.242040590097982E-2</v>
      </c>
      <c r="N107" s="71">
        <f t="shared" si="14"/>
        <v>3.0603529645012451E-2</v>
      </c>
      <c r="O107" s="71">
        <f t="shared" si="11"/>
        <v>3.0349290680529606E-2</v>
      </c>
    </row>
    <row r="108" spans="11:15" x14ac:dyDescent="0.3">
      <c r="K108" s="4">
        <f t="shared" si="13"/>
        <v>25</v>
      </c>
      <c r="L108" s="31">
        <f t="shared" si="15"/>
        <v>4.2154180030952379E-2</v>
      </c>
      <c r="M108" s="31">
        <f t="shared" si="16"/>
        <v>4.2288802933322697E-2</v>
      </c>
      <c r="N108" s="71">
        <f t="shared" si="14"/>
        <v>3.0365366133015659E-2</v>
      </c>
      <c r="O108" s="71">
        <f t="shared" si="11"/>
        <v>2.9301995990531182E-2</v>
      </c>
    </row>
    <row r="109" spans="11:15" x14ac:dyDescent="0.3">
      <c r="K109" s="4">
        <f t="shared" si="13"/>
        <v>25.25</v>
      </c>
      <c r="L109" s="31">
        <f t="shared" si="15"/>
        <v>4.2034752576681586E-2</v>
      </c>
      <c r="M109" s="31">
        <f t="shared" si="16"/>
        <v>4.2151164036171473E-2</v>
      </c>
      <c r="N109" s="71">
        <f t="shared" si="14"/>
        <v>3.0127209645564701E-2</v>
      </c>
      <c r="O109" s="71">
        <f t="shared" si="11"/>
        <v>2.8434014592753076E-2</v>
      </c>
    </row>
    <row r="110" spans="11:15" x14ac:dyDescent="0.3">
      <c r="K110" s="4">
        <f t="shared" si="13"/>
        <v>25.5</v>
      </c>
      <c r="L110" s="31">
        <f t="shared" si="15"/>
        <v>4.1915325122410786E-2</v>
      </c>
      <c r="M110" s="31">
        <f t="shared" si="16"/>
        <v>4.2009512432188381E-2</v>
      </c>
      <c r="N110" s="71">
        <f t="shared" si="14"/>
        <v>2.9889060183517557E-2</v>
      </c>
      <c r="O110" s="71">
        <f t="shared" si="11"/>
        <v>2.7753194813407323E-2</v>
      </c>
    </row>
    <row r="111" spans="11:15" x14ac:dyDescent="0.3">
      <c r="K111" s="4">
        <f t="shared" si="13"/>
        <v>25.75</v>
      </c>
      <c r="L111" s="31">
        <f t="shared" si="15"/>
        <v>4.1795897668139993E-2</v>
      </c>
      <c r="M111" s="31">
        <f t="shared" si="16"/>
        <v>4.1865871344035611E-2</v>
      </c>
      <c r="N111" s="71">
        <f t="shared" si="14"/>
        <v>2.9650917747674033E-2</v>
      </c>
      <c r="O111" s="71">
        <f t="shared" si="11"/>
        <v>2.7267431954113963E-2</v>
      </c>
    </row>
    <row r="112" spans="11:15" x14ac:dyDescent="0.3">
      <c r="K112" s="4">
        <f t="shared" si="13"/>
        <v>26</v>
      </c>
      <c r="L112" s="31">
        <f t="shared" si="15"/>
        <v>4.16764702138692E-2</v>
      </c>
      <c r="M112" s="31">
        <f t="shared" si="16"/>
        <v>4.1722263994375404E-2</v>
      </c>
      <c r="N112" s="71">
        <f t="shared" si="14"/>
        <v>2.9412782338841037E-2</v>
      </c>
      <c r="O112" s="71">
        <f t="shared" si="11"/>
        <v>2.6984674041924617E-2</v>
      </c>
    </row>
    <row r="113" spans="11:15" x14ac:dyDescent="0.3">
      <c r="K113" s="4">
        <f t="shared" si="13"/>
        <v>26.25</v>
      </c>
      <c r="L113" s="31">
        <f t="shared" si="15"/>
        <v>4.1557042759598407E-2</v>
      </c>
      <c r="M113" s="31">
        <f t="shared" si="16"/>
        <v>4.1580713605869943E-2</v>
      </c>
      <c r="N113" s="71">
        <f t="shared" si="14"/>
        <v>2.9174653957926733E-2</v>
      </c>
      <c r="O113" s="71">
        <f t="shared" si="11"/>
        <v>2.6912927785901264E-2</v>
      </c>
    </row>
    <row r="114" spans="11:15" x14ac:dyDescent="0.3">
      <c r="K114" s="4">
        <f t="shared" si="13"/>
        <v>26.5</v>
      </c>
      <c r="L114" s="31">
        <f t="shared" si="15"/>
        <v>4.1437615305327614E-2</v>
      </c>
      <c r="M114" s="31">
        <f t="shared" si="16"/>
        <v>4.1443243401181468E-2</v>
      </c>
      <c r="N114" s="71">
        <f t="shared" si="14"/>
        <v>2.8936532605554621E-2</v>
      </c>
      <c r="O114" s="71">
        <f t="shared" si="11"/>
        <v>2.706026474438028E-2</v>
      </c>
    </row>
    <row r="115" spans="11:15" x14ac:dyDescent="0.3">
      <c r="K115" s="4">
        <f t="shared" si="13"/>
        <v>26.75</v>
      </c>
      <c r="L115" s="31">
        <f t="shared" si="15"/>
        <v>4.1318187851056815E-2</v>
      </c>
      <c r="M115" s="31">
        <f t="shared" si="16"/>
        <v>4.1311876602972177E-2</v>
      </c>
      <c r="N115" s="71">
        <f t="shared" si="14"/>
        <v>2.8698418282724791E-2</v>
      </c>
      <c r="O115" s="71">
        <f t="shared" si="11"/>
        <v>2.7434827708915144E-2</v>
      </c>
    </row>
    <row r="116" spans="11:15" x14ac:dyDescent="0.3">
      <c r="K116" s="4">
        <f t="shared" si="13"/>
        <v>27</v>
      </c>
      <c r="L116" s="31">
        <f t="shared" si="15"/>
        <v>4.1198760396786022E-2</v>
      </c>
      <c r="M116" s="31">
        <f t="shared" si="16"/>
        <v>4.1188636433904295E-2</v>
      </c>
      <c r="N116" s="71">
        <f t="shared" si="14"/>
        <v>2.8460310990200632E-2</v>
      </c>
      <c r="O116" s="71">
        <f t="shared" si="11"/>
        <v>2.804483730696683E-2</v>
      </c>
    </row>
    <row r="117" spans="11:15" x14ac:dyDescent="0.3">
      <c r="K117" s="4">
        <f t="shared" si="13"/>
        <v>27.25</v>
      </c>
      <c r="L117" s="31">
        <f t="shared" si="15"/>
        <v>4.1079332942515229E-2</v>
      </c>
      <c r="M117" s="31">
        <f t="shared" si="16"/>
        <v>4.1075546116640008E-2</v>
      </c>
      <c r="N117" s="71">
        <f t="shared" si="14"/>
        <v>2.8222210728785058E-2</v>
      </c>
      <c r="O117" s="71">
        <f t="shared" si="11"/>
        <v>2.8898598830960243E-2</v>
      </c>
    </row>
    <row r="118" spans="11:15" x14ac:dyDescent="0.3">
      <c r="K118" s="4">
        <f t="shared" si="13"/>
        <v>27.5</v>
      </c>
      <c r="L118" s="31">
        <f t="shared" si="15"/>
        <v>4.1020894525821215E-2</v>
      </c>
      <c r="M118" s="31">
        <f t="shared" si="16"/>
        <v>4.0974450678864315E-2</v>
      </c>
      <c r="N118" s="71">
        <f t="shared" si="14"/>
        <v>3.4661127358522226E-2</v>
      </c>
      <c r="O118" s="71">
        <f t="shared" si="11"/>
        <v>2.998501329847203E-2</v>
      </c>
    </row>
    <row r="119" spans="11:15" x14ac:dyDescent="0.3">
      <c r="K119" s="4">
        <f t="shared" si="13"/>
        <v>27.75</v>
      </c>
      <c r="L119" s="31">
        <f t="shared" si="15"/>
        <v>4.0985558017300229E-2</v>
      </c>
      <c r="M119" s="31">
        <f t="shared" si="16"/>
        <v>4.0885509301772677E-2</v>
      </c>
      <c r="N119" s="71">
        <f t="shared" si="14"/>
        <v>3.7102274687675241E-2</v>
      </c>
      <c r="O119" s="71">
        <f t="shared" si="11"/>
        <v>3.1125582637533178E-2</v>
      </c>
    </row>
    <row r="120" spans="11:15" x14ac:dyDescent="0.3">
      <c r="K120" s="4">
        <f t="shared" si="13"/>
        <v>28</v>
      </c>
      <c r="L120" s="31">
        <f t="shared" si="15"/>
        <v>4.0950221508779236E-2</v>
      </c>
      <c r="M120" s="31">
        <f t="shared" si="16"/>
        <v>4.0807952434887371E-2</v>
      </c>
      <c r="N120" s="71">
        <f t="shared" si="14"/>
        <v>3.7031669579999704E-2</v>
      </c>
      <c r="O120" s="71">
        <f t="shared" si="11"/>
        <v>3.2217435022142471E-2</v>
      </c>
    </row>
    <row r="121" spans="11:15" x14ac:dyDescent="0.3">
      <c r="K121" s="4">
        <f t="shared" si="13"/>
        <v>28.25</v>
      </c>
      <c r="L121" s="31">
        <f t="shared" si="15"/>
        <v>4.091488500025825E-2</v>
      </c>
      <c r="M121" s="31">
        <f t="shared" si="16"/>
        <v>4.0741000843086288E-2</v>
      </c>
      <c r="N121" s="71">
        <f t="shared" si="14"/>
        <v>3.6961065085386657E-2</v>
      </c>
      <c r="O121" s="71">
        <f t="shared" si="11"/>
        <v>3.3256304788267688E-2</v>
      </c>
    </row>
    <row r="122" spans="11:15" x14ac:dyDescent="0.3">
      <c r="K122" s="4">
        <f t="shared" si="13"/>
        <v>28.5</v>
      </c>
      <c r="L122" s="31">
        <f t="shared" si="15"/>
        <v>4.0879548491737257E-2</v>
      </c>
      <c r="M122" s="31">
        <f t="shared" si="16"/>
        <v>4.0683875291247319E-2</v>
      </c>
      <c r="N122" s="71">
        <f t="shared" si="14"/>
        <v>3.689046120374373E-2</v>
      </c>
      <c r="O122" s="71">
        <f t="shared" si="11"/>
        <v>3.4238976917186914E-2</v>
      </c>
    </row>
    <row r="123" spans="11:15" x14ac:dyDescent="0.3">
      <c r="K123" s="4">
        <f t="shared" si="13"/>
        <v>28.75</v>
      </c>
      <c r="L123" s="31">
        <f t="shared" si="15"/>
        <v>4.0844211983216271E-2</v>
      </c>
      <c r="M123" s="31">
        <f t="shared" si="16"/>
        <v>4.0635796544248384E-2</v>
      </c>
      <c r="N123" s="71">
        <f t="shared" si="14"/>
        <v>3.6819857935135758E-2</v>
      </c>
      <c r="O123" s="71">
        <f t="shared" si="11"/>
        <v>3.5162237917440109E-2</v>
      </c>
    </row>
    <row r="124" spans="11:15" x14ac:dyDescent="0.3">
      <c r="K124" s="4">
        <f t="shared" si="13"/>
        <v>29</v>
      </c>
      <c r="L124" s="31">
        <f t="shared" si="15"/>
        <v>4.0808875474695278E-2</v>
      </c>
      <c r="M124" s="31">
        <f t="shared" si="16"/>
        <v>4.0595985366967374E-2</v>
      </c>
      <c r="N124" s="71">
        <f t="shared" si="14"/>
        <v>3.6749255279588056E-2</v>
      </c>
      <c r="O124" s="71">
        <f t="shared" si="11"/>
        <v>3.6022876625660505E-2</v>
      </c>
    </row>
    <row r="125" spans="11:15" x14ac:dyDescent="0.3">
      <c r="K125" s="4">
        <f t="shared" si="13"/>
        <v>29.25</v>
      </c>
      <c r="L125" s="31">
        <f t="shared" si="15"/>
        <v>4.0773538966174291E-2</v>
      </c>
      <c r="M125" s="31">
        <f t="shared" si="16"/>
        <v>4.056366252428218E-2</v>
      </c>
      <c r="N125" s="71">
        <f t="shared" si="14"/>
        <v>3.6678653237069536E-2</v>
      </c>
      <c r="O125" s="71">
        <f t="shared" si="11"/>
        <v>3.6817685033010861E-2</v>
      </c>
    </row>
    <row r="126" spans="11:15" x14ac:dyDescent="0.3">
      <c r="K126" s="4">
        <f t="shared" si="13"/>
        <v>29.5</v>
      </c>
      <c r="L126" s="31">
        <f t="shared" si="15"/>
        <v>4.0738202457653298E-2</v>
      </c>
      <c r="M126" s="31">
        <f t="shared" si="16"/>
        <v>4.0538048781070708E-2</v>
      </c>
      <c r="N126" s="71">
        <f t="shared" si="14"/>
        <v>3.6608051807727637E-2</v>
      </c>
      <c r="O126" s="71">
        <f t="shared" si="11"/>
        <v>3.7543459139577795E-2</v>
      </c>
    </row>
    <row r="127" spans="11:15" x14ac:dyDescent="0.3">
      <c r="K127" s="4">
        <f t="shared" si="13"/>
        <v>29.75</v>
      </c>
      <c r="L127" s="31">
        <f t="shared" si="15"/>
        <v>4.0702865949132312E-2</v>
      </c>
      <c r="M127" s="31">
        <f t="shared" si="16"/>
        <v>4.0518364902210856E-2</v>
      </c>
      <c r="N127" s="71">
        <f t="shared" si="14"/>
        <v>3.6537450991380283E-2</v>
      </c>
      <c r="O127" s="71">
        <f t="shared" si="11"/>
        <v>3.8196999834949175E-2</v>
      </c>
    </row>
    <row r="128" spans="11:15" x14ac:dyDescent="0.3">
      <c r="K128" s="4">
        <f t="shared" si="13"/>
        <v>30</v>
      </c>
      <c r="L128" s="31">
        <f t="shared" si="15"/>
        <v>4.0667529440611319E-2</v>
      </c>
      <c r="M128" s="31">
        <f t="shared" si="16"/>
        <v>4.0503831652580521E-2</v>
      </c>
      <c r="N128" s="71">
        <f t="shared" si="14"/>
        <v>3.6466850788221095E-2</v>
      </c>
      <c r="O128" s="71">
        <f t="shared" si="11"/>
        <v>3.8775113805480821E-2</v>
      </c>
    </row>
  </sheetData>
  <mergeCells count="2">
    <mergeCell ref="N6:O6"/>
    <mergeCell ref="L6:M6"/>
  </mergeCells>
  <phoneticPr fontId="14"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9D437-D551-423B-A9C5-4B10F93F6E10}">
  <sheetPr codeName="Sheet6"/>
  <dimension ref="A1:O70"/>
  <sheetViews>
    <sheetView zoomScale="121" workbookViewId="0">
      <selection activeCell="D92" sqref="D92"/>
    </sheetView>
  </sheetViews>
  <sheetFormatPr defaultColWidth="8.7265625" defaultRowHeight="12.5" x14ac:dyDescent="0.25"/>
  <cols>
    <col min="1" max="1" width="16.453125" style="4" bestFit="1" customWidth="1"/>
    <col min="2" max="2" width="10" style="4" bestFit="1" customWidth="1"/>
    <col min="3" max="5" width="8.7265625" style="4"/>
    <col min="6" max="6" width="3.54296875" style="4" customWidth="1"/>
    <col min="7" max="9" width="8.7265625" style="4"/>
    <col min="10" max="10" width="36.1796875" style="4" customWidth="1"/>
    <col min="11" max="16384" width="8.7265625" style="4"/>
  </cols>
  <sheetData>
    <row r="1" spans="1:15" ht="13" x14ac:dyDescent="0.3">
      <c r="A1" s="3" t="s">
        <v>86</v>
      </c>
    </row>
    <row r="2" spans="1:15" ht="13" x14ac:dyDescent="0.3">
      <c r="A2" s="3"/>
    </row>
    <row r="3" spans="1:15" ht="13" x14ac:dyDescent="0.3">
      <c r="G3" s="43" t="s">
        <v>32</v>
      </c>
      <c r="H3" s="43" t="s">
        <v>40</v>
      </c>
      <c r="J3" s="39" t="s">
        <v>45</v>
      </c>
      <c r="K3" s="40"/>
      <c r="L3" s="40"/>
      <c r="M3" s="40"/>
      <c r="N3" s="40"/>
      <c r="O3" s="40"/>
    </row>
    <row r="4" spans="1:15" ht="13" x14ac:dyDescent="0.3">
      <c r="A4" s="46" t="s">
        <v>0</v>
      </c>
      <c r="B4" s="47">
        <v>40214</v>
      </c>
      <c r="C4" s="3"/>
      <c r="D4" s="33" t="s">
        <v>93</v>
      </c>
      <c r="E4" s="3"/>
      <c r="G4" s="30"/>
      <c r="H4" s="30"/>
      <c r="J4" s="39"/>
      <c r="K4" s="40"/>
      <c r="L4" s="40"/>
      <c r="M4" s="40"/>
      <c r="N4" s="40"/>
      <c r="O4" s="40"/>
    </row>
    <row r="5" spans="1:15" ht="13" x14ac:dyDescent="0.3">
      <c r="A5" s="46" t="s">
        <v>33</v>
      </c>
      <c r="B5" s="48">
        <v>100</v>
      </c>
      <c r="G5" s="49">
        <v>0.24931506849315069</v>
      </c>
      <c r="H5" s="49">
        <v>1.5002820207405954E-3</v>
      </c>
      <c r="J5" s="39" t="s">
        <v>98</v>
      </c>
      <c r="K5" s="40"/>
      <c r="L5" s="40"/>
      <c r="M5" s="40"/>
      <c r="N5" s="40"/>
      <c r="O5" s="40"/>
    </row>
    <row r="6" spans="1:15" ht="13" x14ac:dyDescent="0.3">
      <c r="A6" s="46" t="s">
        <v>38</v>
      </c>
      <c r="B6" s="48">
        <v>2</v>
      </c>
      <c r="G6" s="49">
        <v>0.49863013698630138</v>
      </c>
      <c r="H6" s="49">
        <v>2.3000036219071873E-3</v>
      </c>
      <c r="J6" s="39" t="s">
        <v>41</v>
      </c>
      <c r="K6" s="40"/>
      <c r="L6" s="40"/>
      <c r="M6" s="40"/>
      <c r="N6" s="40"/>
      <c r="O6" s="40"/>
    </row>
    <row r="7" spans="1:15" ht="13" x14ac:dyDescent="0.3">
      <c r="A7" s="46" t="s">
        <v>57</v>
      </c>
      <c r="B7" s="48">
        <v>2.5</v>
      </c>
      <c r="G7" s="49">
        <v>1.0662983425414365</v>
      </c>
      <c r="H7" s="49">
        <v>8.47854472710745E-3</v>
      </c>
      <c r="J7" s="39" t="s">
        <v>50</v>
      </c>
      <c r="K7" s="40"/>
      <c r="L7" s="40"/>
      <c r="M7" s="40"/>
      <c r="N7" s="40"/>
      <c r="O7" s="40"/>
    </row>
    <row r="8" spans="1:15" ht="13" x14ac:dyDescent="0.3">
      <c r="A8" s="46" t="s">
        <v>58</v>
      </c>
      <c r="B8" s="50">
        <v>42156</v>
      </c>
      <c r="G8" s="49">
        <v>1.3186813186813187</v>
      </c>
      <c r="H8" s="49">
        <v>8.205872331697027E-3</v>
      </c>
      <c r="J8" s="39" t="s">
        <v>42</v>
      </c>
      <c r="K8" s="40"/>
      <c r="L8" s="40"/>
      <c r="M8" s="40"/>
      <c r="N8" s="40"/>
      <c r="O8" s="40"/>
    </row>
    <row r="9" spans="1:15" ht="13" x14ac:dyDescent="0.3">
      <c r="A9" s="3"/>
      <c r="G9" s="49">
        <v>1.5662983425414365</v>
      </c>
      <c r="H9" s="49">
        <v>9.706145333122921E-3</v>
      </c>
      <c r="J9" s="39" t="s">
        <v>43</v>
      </c>
      <c r="K9" s="40"/>
      <c r="L9" s="40"/>
      <c r="M9" s="40"/>
      <c r="N9" s="40"/>
      <c r="O9" s="40"/>
    </row>
    <row r="10" spans="1:15" ht="13" x14ac:dyDescent="0.3">
      <c r="A10" s="68" t="s">
        <v>59</v>
      </c>
      <c r="B10" s="53">
        <f>COUPDAYBS($B$4,$B$8,$B$6,1)/COUPDAYS($B$4,$B$8,$B$6,1)</f>
        <v>0.36263736263736263</v>
      </c>
      <c r="G10" s="49">
        <v>2.3186813186813189</v>
      </c>
      <c r="H10" s="49">
        <v>1.4327696323998931E-2</v>
      </c>
      <c r="J10" s="39" t="s">
        <v>44</v>
      </c>
      <c r="K10" s="40"/>
      <c r="L10" s="40"/>
      <c r="M10" s="40"/>
      <c r="N10" s="40"/>
      <c r="O10" s="40"/>
    </row>
    <row r="11" spans="1:15" ht="13" x14ac:dyDescent="0.3">
      <c r="A11" s="68" t="s">
        <v>60</v>
      </c>
      <c r="B11" s="69">
        <f>$B$10*$B$5*$B$7/100/$B$6</f>
        <v>0.4532967032967033</v>
      </c>
      <c r="G11" s="49">
        <v>3.3186813186813189</v>
      </c>
      <c r="H11" s="49">
        <v>1.9745926431623626E-2</v>
      </c>
      <c r="J11" s="39" t="s">
        <v>99</v>
      </c>
      <c r="K11" s="40"/>
      <c r="L11" s="40"/>
      <c r="M11" s="40"/>
      <c r="N11" s="40"/>
      <c r="O11" s="40"/>
    </row>
    <row r="12" spans="1:15" ht="13" x14ac:dyDescent="0.3">
      <c r="A12" s="68" t="s">
        <v>87</v>
      </c>
      <c r="B12" s="6">
        <f>COUPNUM($B$4,$B$8,$B$6,1)</f>
        <v>11</v>
      </c>
      <c r="G12" s="49">
        <v>4.1049723756906076</v>
      </c>
      <c r="H12" s="49">
        <v>2.4130108327770086E-2</v>
      </c>
    </row>
    <row r="13" spans="1:15" ht="13" x14ac:dyDescent="0.3">
      <c r="A13" s="68" t="s">
        <v>88</v>
      </c>
      <c r="B13" s="53">
        <f>(B12-B10)/B6</f>
        <v>5.3186813186813184</v>
      </c>
      <c r="G13" s="49">
        <v>4.3186813186813184</v>
      </c>
      <c r="H13" s="49">
        <v>2.330542174421248E-2</v>
      </c>
    </row>
    <row r="14" spans="1:15" ht="13" x14ac:dyDescent="0.3">
      <c r="A14" s="68" t="s">
        <v>89</v>
      </c>
      <c r="B14" s="6">
        <f>Bond_ZeroRates(B5,B13,B7/B5,B6,G5:G14,H5:H14)</f>
        <v>100.1432966680339</v>
      </c>
      <c r="G14" s="49">
        <v>5.3186813186813184</v>
      </c>
      <c r="H14" s="49">
        <v>2.605337626258776E-2</v>
      </c>
    </row>
    <row r="15" spans="1:15" ht="13" x14ac:dyDescent="0.3">
      <c r="A15" s="68" t="s">
        <v>90</v>
      </c>
      <c r="B15" s="53">
        <f>B10*B5*B7/100/B6</f>
        <v>0.4532967032967033</v>
      </c>
      <c r="J15" s="46" t="s">
        <v>94</v>
      </c>
      <c r="K15" s="48"/>
    </row>
    <row r="16" spans="1:15" ht="13" x14ac:dyDescent="0.3">
      <c r="A16" s="68" t="s">
        <v>91</v>
      </c>
      <c r="B16" s="69">
        <f>B14-B15</f>
        <v>99.689999964737197</v>
      </c>
      <c r="J16" s="48"/>
      <c r="K16" s="48"/>
    </row>
    <row r="17" spans="1:11" ht="13" x14ac:dyDescent="0.3">
      <c r="A17" s="3"/>
      <c r="B17" s="51"/>
      <c r="J17" s="60" t="s">
        <v>95</v>
      </c>
      <c r="K17" s="48">
        <f>B8-B4</f>
        <v>1942</v>
      </c>
    </row>
    <row r="18" spans="1:11" ht="13" x14ac:dyDescent="0.3">
      <c r="A18" s="46" t="s">
        <v>92</v>
      </c>
      <c r="B18" s="70"/>
      <c r="C18" s="48"/>
      <c r="D18" s="48"/>
      <c r="E18" s="48"/>
      <c r="F18" s="48"/>
      <c r="J18" s="46" t="s">
        <v>88</v>
      </c>
      <c r="K18" s="62">
        <f>K17/365</f>
        <v>5.3205479452054796</v>
      </c>
    </row>
    <row r="20" spans="1:11" ht="13" x14ac:dyDescent="0.3">
      <c r="A20" s="33" t="s">
        <v>62</v>
      </c>
      <c r="B20" s="33" t="s">
        <v>63</v>
      </c>
      <c r="C20" s="33" t="s">
        <v>64</v>
      </c>
      <c r="D20" s="33" t="s">
        <v>40</v>
      </c>
      <c r="E20" s="33" t="s">
        <v>65</v>
      </c>
      <c r="G20" s="52" t="s">
        <v>37</v>
      </c>
      <c r="H20" s="52" t="s">
        <v>66</v>
      </c>
    </row>
    <row r="21" spans="1:11" x14ac:dyDescent="0.25">
      <c r="A21" s="4">
        <v>1</v>
      </c>
      <c r="B21" s="5">
        <f>IF($B$10&gt;0,(1-$B$10)/$B$6,1/$B$6)</f>
        <v>0.31868131868131866</v>
      </c>
      <c r="C21" s="4">
        <f t="shared" ref="C21:C70" si="0">IF($A21&gt;$B$12,"",IF($A21=$B$12,$B$5*(1+$B$7/100/$B$6),$B$5*$B$7/100/$B$6))</f>
        <v>1.25</v>
      </c>
      <c r="D21" s="5">
        <f t="shared" ref="D21:D31" si="1">PWLinear(B21,G$5:G$14,H$5:H$14)</f>
        <v>1.7227863763845789E-3</v>
      </c>
      <c r="E21" s="5">
        <f>IF($A21&gt;$B$12,"",$C21/(1+D21/$B$6)^($B21*$B$6))</f>
        <v>1.2493142088064566</v>
      </c>
      <c r="G21" s="53">
        <f>SUM(E21:E70)</f>
        <v>100.1432966680339</v>
      </c>
      <c r="H21" s="69">
        <f>G21-B11</f>
        <v>99.689999964737197</v>
      </c>
    </row>
    <row r="22" spans="1:11" x14ac:dyDescent="0.25">
      <c r="A22" s="4">
        <f>A21+1</f>
        <v>2</v>
      </c>
      <c r="B22" s="5">
        <f t="shared" ref="B22:B70" si="2">IF(A22&gt;$B$12,"",B21+1/$B$6)</f>
        <v>0.81868131868131866</v>
      </c>
      <c r="C22" s="4">
        <f t="shared" si="0"/>
        <v>1.25</v>
      </c>
      <c r="D22" s="5">
        <f t="shared" si="1"/>
        <v>5.7834634361428484E-3</v>
      </c>
      <c r="E22" s="5">
        <f t="shared" ref="E22:E31" si="3">IF($A22&gt;$B$12,"",$C22/(1+D22/$B$6)^($B22*$B$6))</f>
        <v>1.2441039732132215</v>
      </c>
    </row>
    <row r="23" spans="1:11" x14ac:dyDescent="0.25">
      <c r="A23" s="4">
        <f t="shared" ref="A23:A70" si="4">A22+1</f>
        <v>3</v>
      </c>
      <c r="B23" s="5">
        <f t="shared" si="2"/>
        <v>1.3186813186813187</v>
      </c>
      <c r="C23" s="4">
        <f t="shared" si="0"/>
        <v>1.25</v>
      </c>
      <c r="D23" s="5">
        <f t="shared" si="1"/>
        <v>8.205872331697027E-3</v>
      </c>
      <c r="E23" s="5">
        <f t="shared" si="3"/>
        <v>1.2365741316921131</v>
      </c>
    </row>
    <row r="24" spans="1:11" x14ac:dyDescent="0.25">
      <c r="A24" s="4">
        <f t="shared" si="4"/>
        <v>4</v>
      </c>
      <c r="B24" s="5">
        <f t="shared" si="2"/>
        <v>1.8186813186813187</v>
      </c>
      <c r="C24" s="4">
        <f t="shared" si="0"/>
        <v>1.25</v>
      </c>
      <c r="D24" s="5">
        <f t="shared" si="1"/>
        <v>1.1256420698793412E-2</v>
      </c>
      <c r="E24" s="5">
        <f t="shared" si="3"/>
        <v>1.2247406458876229</v>
      </c>
    </row>
    <row r="25" spans="1:11" x14ac:dyDescent="0.25">
      <c r="A25" s="4">
        <f t="shared" si="4"/>
        <v>5</v>
      </c>
      <c r="B25" s="5">
        <f t="shared" si="2"/>
        <v>2.3186813186813184</v>
      </c>
      <c r="C25" s="4">
        <f t="shared" si="0"/>
        <v>1.25</v>
      </c>
      <c r="D25" s="5">
        <f t="shared" si="1"/>
        <v>1.4327696323998929E-2</v>
      </c>
      <c r="E25" s="5">
        <f t="shared" si="3"/>
        <v>1.2092987191296263</v>
      </c>
    </row>
    <row r="26" spans="1:11" x14ac:dyDescent="0.25">
      <c r="A26" s="4">
        <f t="shared" si="4"/>
        <v>6</v>
      </c>
      <c r="B26" s="5">
        <f t="shared" si="2"/>
        <v>2.8186813186813184</v>
      </c>
      <c r="C26" s="4">
        <f t="shared" si="0"/>
        <v>1.25</v>
      </c>
      <c r="D26" s="5">
        <f t="shared" si="1"/>
        <v>1.7036811377811274E-2</v>
      </c>
      <c r="E26" s="5">
        <f t="shared" si="3"/>
        <v>1.1916341350333641</v>
      </c>
    </row>
    <row r="27" spans="1:11" x14ac:dyDescent="0.25">
      <c r="A27" s="4">
        <f t="shared" si="4"/>
        <v>7</v>
      </c>
      <c r="B27" s="5">
        <f t="shared" si="2"/>
        <v>3.3186813186813184</v>
      </c>
      <c r="C27" s="4">
        <f t="shared" si="0"/>
        <v>1.25</v>
      </c>
      <c r="D27" s="5">
        <f t="shared" si="1"/>
        <v>1.9745926431623623E-2</v>
      </c>
      <c r="E27" s="5">
        <f t="shared" si="3"/>
        <v>1.1710894745730649</v>
      </c>
    </row>
    <row r="28" spans="1:11" x14ac:dyDescent="0.25">
      <c r="A28" s="4">
        <f t="shared" si="4"/>
        <v>8</v>
      </c>
      <c r="B28" s="5">
        <f t="shared" si="2"/>
        <v>3.8186813186813184</v>
      </c>
      <c r="C28" s="4">
        <f t="shared" si="0"/>
        <v>1.25</v>
      </c>
      <c r="D28" s="5">
        <f t="shared" si="1"/>
        <v>2.2533813853885549E-2</v>
      </c>
      <c r="E28" s="5">
        <f t="shared" si="3"/>
        <v>1.1474880423280247</v>
      </c>
    </row>
    <row r="29" spans="1:11" x14ac:dyDescent="0.25">
      <c r="A29" s="4">
        <f t="shared" si="4"/>
        <v>9</v>
      </c>
      <c r="B29" s="5">
        <f t="shared" si="2"/>
        <v>4.3186813186813184</v>
      </c>
      <c r="C29" s="4">
        <f t="shared" si="0"/>
        <v>1.25</v>
      </c>
      <c r="D29" s="5">
        <f t="shared" si="1"/>
        <v>2.330542174421248E-2</v>
      </c>
      <c r="E29" s="5">
        <f t="shared" si="3"/>
        <v>1.1309712318027221</v>
      </c>
    </row>
    <row r="30" spans="1:11" x14ac:dyDescent="0.25">
      <c r="A30" s="4">
        <f t="shared" si="4"/>
        <v>10</v>
      </c>
      <c r="B30" s="5">
        <f t="shared" si="2"/>
        <v>4.8186813186813184</v>
      </c>
      <c r="C30" s="4">
        <f t="shared" si="0"/>
        <v>1.25</v>
      </c>
      <c r="D30" s="5">
        <f t="shared" si="1"/>
        <v>2.4679399003400118E-2</v>
      </c>
      <c r="E30" s="5">
        <f t="shared" si="3"/>
        <v>1.1106541249697541</v>
      </c>
    </row>
    <row r="31" spans="1:11" x14ac:dyDescent="0.25">
      <c r="A31" s="4">
        <f t="shared" si="4"/>
        <v>11</v>
      </c>
      <c r="B31" s="5">
        <f t="shared" si="2"/>
        <v>5.3186813186813184</v>
      </c>
      <c r="C31" s="4">
        <f t="shared" si="0"/>
        <v>101.25</v>
      </c>
      <c r="D31" s="5">
        <f t="shared" si="1"/>
        <v>2.605337626258776E-2</v>
      </c>
      <c r="E31" s="5">
        <f t="shared" si="3"/>
        <v>88.227427980597923</v>
      </c>
    </row>
    <row r="32" spans="1:11" x14ac:dyDescent="0.25">
      <c r="A32" s="4">
        <f t="shared" si="4"/>
        <v>12</v>
      </c>
      <c r="B32" s="5" t="str">
        <f t="shared" si="2"/>
        <v/>
      </c>
      <c r="C32" s="4" t="str">
        <f t="shared" si="0"/>
        <v/>
      </c>
      <c r="E32" s="5" t="str">
        <f t="shared" ref="E32:E70" si="5">IF($A32&gt;$B$12,"",$C32/(1+PWLinear($B32,$G$5:$G$14,$H$5:$H$14)/$B$6)^($B32*$B$6))</f>
        <v/>
      </c>
    </row>
    <row r="33" spans="1:5" x14ac:dyDescent="0.25">
      <c r="A33" s="4">
        <f t="shared" si="4"/>
        <v>13</v>
      </c>
      <c r="B33" s="5" t="str">
        <f t="shared" si="2"/>
        <v/>
      </c>
      <c r="C33" s="4" t="str">
        <f t="shared" si="0"/>
        <v/>
      </c>
      <c r="E33" s="5" t="str">
        <f t="shared" si="5"/>
        <v/>
      </c>
    </row>
    <row r="34" spans="1:5" x14ac:dyDescent="0.25">
      <c r="A34" s="4">
        <f t="shared" si="4"/>
        <v>14</v>
      </c>
      <c r="B34" s="5" t="str">
        <f t="shared" si="2"/>
        <v/>
      </c>
      <c r="C34" s="4" t="str">
        <f t="shared" si="0"/>
        <v/>
      </c>
      <c r="E34" s="5" t="str">
        <f t="shared" si="5"/>
        <v/>
      </c>
    </row>
    <row r="35" spans="1:5" x14ac:dyDescent="0.25">
      <c r="A35" s="4">
        <f t="shared" si="4"/>
        <v>15</v>
      </c>
      <c r="B35" s="5" t="str">
        <f t="shared" si="2"/>
        <v/>
      </c>
      <c r="C35" s="4" t="str">
        <f t="shared" si="0"/>
        <v/>
      </c>
      <c r="E35" s="5" t="str">
        <f t="shared" si="5"/>
        <v/>
      </c>
    </row>
    <row r="36" spans="1:5" x14ac:dyDescent="0.25">
      <c r="A36" s="4">
        <f t="shared" si="4"/>
        <v>16</v>
      </c>
      <c r="B36" s="5" t="str">
        <f t="shared" si="2"/>
        <v/>
      </c>
      <c r="C36" s="4" t="str">
        <f t="shared" si="0"/>
        <v/>
      </c>
      <c r="E36" s="5" t="str">
        <f t="shared" si="5"/>
        <v/>
      </c>
    </row>
    <row r="37" spans="1:5" x14ac:dyDescent="0.25">
      <c r="A37" s="4">
        <f t="shared" si="4"/>
        <v>17</v>
      </c>
      <c r="B37" s="5" t="str">
        <f t="shared" si="2"/>
        <v/>
      </c>
      <c r="C37" s="4" t="str">
        <f t="shared" si="0"/>
        <v/>
      </c>
      <c r="E37" s="5" t="str">
        <f t="shared" si="5"/>
        <v/>
      </c>
    </row>
    <row r="38" spans="1:5" x14ac:dyDescent="0.25">
      <c r="A38" s="4">
        <f t="shared" si="4"/>
        <v>18</v>
      </c>
      <c r="B38" s="5" t="str">
        <f t="shared" si="2"/>
        <v/>
      </c>
      <c r="C38" s="4" t="str">
        <f t="shared" si="0"/>
        <v/>
      </c>
      <c r="E38" s="5" t="str">
        <f t="shared" si="5"/>
        <v/>
      </c>
    </row>
    <row r="39" spans="1:5" x14ac:dyDescent="0.25">
      <c r="A39" s="4">
        <f t="shared" si="4"/>
        <v>19</v>
      </c>
      <c r="B39" s="5" t="str">
        <f t="shared" si="2"/>
        <v/>
      </c>
      <c r="C39" s="4" t="str">
        <f t="shared" si="0"/>
        <v/>
      </c>
      <c r="E39" s="5" t="str">
        <f t="shared" si="5"/>
        <v/>
      </c>
    </row>
    <row r="40" spans="1:5" x14ac:dyDescent="0.25">
      <c r="A40" s="4">
        <f t="shared" si="4"/>
        <v>20</v>
      </c>
      <c r="B40" s="5" t="str">
        <f t="shared" si="2"/>
        <v/>
      </c>
      <c r="C40" s="4" t="str">
        <f t="shared" si="0"/>
        <v/>
      </c>
      <c r="E40" s="5" t="str">
        <f t="shared" si="5"/>
        <v/>
      </c>
    </row>
    <row r="41" spans="1:5" x14ac:dyDescent="0.25">
      <c r="A41" s="4">
        <f t="shared" si="4"/>
        <v>21</v>
      </c>
      <c r="B41" s="5" t="str">
        <f t="shared" si="2"/>
        <v/>
      </c>
      <c r="C41" s="4" t="str">
        <f t="shared" si="0"/>
        <v/>
      </c>
      <c r="E41" s="5" t="str">
        <f t="shared" si="5"/>
        <v/>
      </c>
    </row>
    <row r="42" spans="1:5" x14ac:dyDescent="0.25">
      <c r="A42" s="4">
        <f t="shared" si="4"/>
        <v>22</v>
      </c>
      <c r="B42" s="5" t="str">
        <f t="shared" si="2"/>
        <v/>
      </c>
      <c r="C42" s="4" t="str">
        <f t="shared" si="0"/>
        <v/>
      </c>
      <c r="E42" s="5" t="str">
        <f t="shared" si="5"/>
        <v/>
      </c>
    </row>
    <row r="43" spans="1:5" x14ac:dyDescent="0.25">
      <c r="A43" s="4">
        <f t="shared" si="4"/>
        <v>23</v>
      </c>
      <c r="B43" s="5" t="str">
        <f t="shared" si="2"/>
        <v/>
      </c>
      <c r="C43" s="4" t="str">
        <f t="shared" si="0"/>
        <v/>
      </c>
      <c r="E43" s="5" t="str">
        <f t="shared" si="5"/>
        <v/>
      </c>
    </row>
    <row r="44" spans="1:5" x14ac:dyDescent="0.25">
      <c r="A44" s="4">
        <f t="shared" si="4"/>
        <v>24</v>
      </c>
      <c r="B44" s="5" t="str">
        <f t="shared" si="2"/>
        <v/>
      </c>
      <c r="C44" s="4" t="str">
        <f t="shared" si="0"/>
        <v/>
      </c>
      <c r="E44" s="5" t="str">
        <f t="shared" si="5"/>
        <v/>
      </c>
    </row>
    <row r="45" spans="1:5" x14ac:dyDescent="0.25">
      <c r="A45" s="4">
        <f t="shared" si="4"/>
        <v>25</v>
      </c>
      <c r="B45" s="5" t="str">
        <f t="shared" si="2"/>
        <v/>
      </c>
      <c r="C45" s="4" t="str">
        <f t="shared" si="0"/>
        <v/>
      </c>
      <c r="E45" s="5" t="str">
        <f t="shared" si="5"/>
        <v/>
      </c>
    </row>
    <row r="46" spans="1:5" x14ac:dyDescent="0.25">
      <c r="A46" s="4">
        <f t="shared" si="4"/>
        <v>26</v>
      </c>
      <c r="B46" s="5" t="str">
        <f t="shared" si="2"/>
        <v/>
      </c>
      <c r="C46" s="4" t="str">
        <f t="shared" si="0"/>
        <v/>
      </c>
      <c r="E46" s="5" t="str">
        <f t="shared" si="5"/>
        <v/>
      </c>
    </row>
    <row r="47" spans="1:5" x14ac:dyDescent="0.25">
      <c r="A47" s="4">
        <f t="shared" si="4"/>
        <v>27</v>
      </c>
      <c r="B47" s="5" t="str">
        <f t="shared" si="2"/>
        <v/>
      </c>
      <c r="C47" s="4" t="str">
        <f t="shared" si="0"/>
        <v/>
      </c>
      <c r="E47" s="5" t="str">
        <f t="shared" si="5"/>
        <v/>
      </c>
    </row>
    <row r="48" spans="1:5" x14ac:dyDescent="0.25">
      <c r="A48" s="4">
        <f t="shared" si="4"/>
        <v>28</v>
      </c>
      <c r="B48" s="5" t="str">
        <f t="shared" si="2"/>
        <v/>
      </c>
      <c r="C48" s="4" t="str">
        <f t="shared" si="0"/>
        <v/>
      </c>
      <c r="E48" s="5" t="str">
        <f t="shared" si="5"/>
        <v/>
      </c>
    </row>
    <row r="49" spans="1:5" x14ac:dyDescent="0.25">
      <c r="A49" s="4">
        <f t="shared" si="4"/>
        <v>29</v>
      </c>
      <c r="B49" s="5" t="str">
        <f t="shared" si="2"/>
        <v/>
      </c>
      <c r="C49" s="4" t="str">
        <f t="shared" si="0"/>
        <v/>
      </c>
      <c r="E49" s="5" t="str">
        <f t="shared" si="5"/>
        <v/>
      </c>
    </row>
    <row r="50" spans="1:5" x14ac:dyDescent="0.25">
      <c r="A50" s="4">
        <f t="shared" si="4"/>
        <v>30</v>
      </c>
      <c r="B50" s="5" t="str">
        <f t="shared" si="2"/>
        <v/>
      </c>
      <c r="C50" s="4" t="str">
        <f t="shared" si="0"/>
        <v/>
      </c>
      <c r="E50" s="5" t="str">
        <f t="shared" si="5"/>
        <v/>
      </c>
    </row>
    <row r="51" spans="1:5" x14ac:dyDescent="0.25">
      <c r="A51" s="4">
        <f t="shared" si="4"/>
        <v>31</v>
      </c>
      <c r="B51" s="5" t="str">
        <f t="shared" si="2"/>
        <v/>
      </c>
      <c r="C51" s="4" t="str">
        <f t="shared" si="0"/>
        <v/>
      </c>
      <c r="E51" s="5" t="str">
        <f t="shared" si="5"/>
        <v/>
      </c>
    </row>
    <row r="52" spans="1:5" x14ac:dyDescent="0.25">
      <c r="A52" s="4">
        <f t="shared" si="4"/>
        <v>32</v>
      </c>
      <c r="B52" s="5" t="str">
        <f t="shared" si="2"/>
        <v/>
      </c>
      <c r="C52" s="4" t="str">
        <f t="shared" si="0"/>
        <v/>
      </c>
      <c r="E52" s="5" t="str">
        <f t="shared" si="5"/>
        <v/>
      </c>
    </row>
    <row r="53" spans="1:5" x14ac:dyDescent="0.25">
      <c r="A53" s="4">
        <f t="shared" si="4"/>
        <v>33</v>
      </c>
      <c r="B53" s="5" t="str">
        <f t="shared" si="2"/>
        <v/>
      </c>
      <c r="C53" s="4" t="str">
        <f t="shared" si="0"/>
        <v/>
      </c>
      <c r="E53" s="5" t="str">
        <f t="shared" si="5"/>
        <v/>
      </c>
    </row>
    <row r="54" spans="1:5" x14ac:dyDescent="0.25">
      <c r="A54" s="4">
        <f t="shared" si="4"/>
        <v>34</v>
      </c>
      <c r="B54" s="5" t="str">
        <f t="shared" si="2"/>
        <v/>
      </c>
      <c r="C54" s="4" t="str">
        <f t="shared" si="0"/>
        <v/>
      </c>
      <c r="E54" s="5" t="str">
        <f t="shared" si="5"/>
        <v/>
      </c>
    </row>
    <row r="55" spans="1:5" x14ac:dyDescent="0.25">
      <c r="A55" s="4">
        <f t="shared" si="4"/>
        <v>35</v>
      </c>
      <c r="B55" s="5" t="str">
        <f t="shared" si="2"/>
        <v/>
      </c>
      <c r="C55" s="4" t="str">
        <f t="shared" si="0"/>
        <v/>
      </c>
      <c r="E55" s="5" t="str">
        <f t="shared" si="5"/>
        <v/>
      </c>
    </row>
    <row r="56" spans="1:5" x14ac:dyDescent="0.25">
      <c r="A56" s="4">
        <f t="shared" si="4"/>
        <v>36</v>
      </c>
      <c r="B56" s="5" t="str">
        <f t="shared" si="2"/>
        <v/>
      </c>
      <c r="C56" s="4" t="str">
        <f t="shared" si="0"/>
        <v/>
      </c>
      <c r="E56" s="5" t="str">
        <f t="shared" si="5"/>
        <v/>
      </c>
    </row>
    <row r="57" spans="1:5" x14ac:dyDescent="0.25">
      <c r="A57" s="4">
        <f t="shared" si="4"/>
        <v>37</v>
      </c>
      <c r="B57" s="5" t="str">
        <f t="shared" si="2"/>
        <v/>
      </c>
      <c r="C57" s="4" t="str">
        <f t="shared" si="0"/>
        <v/>
      </c>
      <c r="E57" s="5" t="str">
        <f t="shared" si="5"/>
        <v/>
      </c>
    </row>
    <row r="58" spans="1:5" x14ac:dyDescent="0.25">
      <c r="A58" s="4">
        <f t="shared" si="4"/>
        <v>38</v>
      </c>
      <c r="B58" s="5" t="str">
        <f t="shared" si="2"/>
        <v/>
      </c>
      <c r="C58" s="4" t="str">
        <f t="shared" si="0"/>
        <v/>
      </c>
      <c r="E58" s="5" t="str">
        <f t="shared" si="5"/>
        <v/>
      </c>
    </row>
    <row r="59" spans="1:5" x14ac:dyDescent="0.25">
      <c r="A59" s="4">
        <f t="shared" si="4"/>
        <v>39</v>
      </c>
      <c r="B59" s="5" t="str">
        <f t="shared" si="2"/>
        <v/>
      </c>
      <c r="C59" s="4" t="str">
        <f t="shared" si="0"/>
        <v/>
      </c>
      <c r="E59" s="5" t="str">
        <f t="shared" si="5"/>
        <v/>
      </c>
    </row>
    <row r="60" spans="1:5" x14ac:dyDescent="0.25">
      <c r="A60" s="4">
        <f t="shared" si="4"/>
        <v>40</v>
      </c>
      <c r="B60" s="5" t="str">
        <f t="shared" si="2"/>
        <v/>
      </c>
      <c r="C60" s="4" t="str">
        <f t="shared" si="0"/>
        <v/>
      </c>
      <c r="E60" s="5" t="str">
        <f t="shared" si="5"/>
        <v/>
      </c>
    </row>
    <row r="61" spans="1:5" x14ac:dyDescent="0.25">
      <c r="A61" s="4">
        <f t="shared" si="4"/>
        <v>41</v>
      </c>
      <c r="B61" s="5" t="str">
        <f t="shared" si="2"/>
        <v/>
      </c>
      <c r="C61" s="4" t="str">
        <f t="shared" si="0"/>
        <v/>
      </c>
      <c r="E61" s="5" t="str">
        <f t="shared" si="5"/>
        <v/>
      </c>
    </row>
    <row r="62" spans="1:5" x14ac:dyDescent="0.25">
      <c r="A62" s="4">
        <f t="shared" si="4"/>
        <v>42</v>
      </c>
      <c r="B62" s="5" t="str">
        <f t="shared" si="2"/>
        <v/>
      </c>
      <c r="C62" s="4" t="str">
        <f t="shared" si="0"/>
        <v/>
      </c>
      <c r="E62" s="5" t="str">
        <f t="shared" si="5"/>
        <v/>
      </c>
    </row>
    <row r="63" spans="1:5" x14ac:dyDescent="0.25">
      <c r="A63" s="4">
        <f t="shared" si="4"/>
        <v>43</v>
      </c>
      <c r="B63" s="5" t="str">
        <f t="shared" si="2"/>
        <v/>
      </c>
      <c r="C63" s="4" t="str">
        <f t="shared" si="0"/>
        <v/>
      </c>
      <c r="E63" s="5" t="str">
        <f t="shared" si="5"/>
        <v/>
      </c>
    </row>
    <row r="64" spans="1:5" x14ac:dyDescent="0.25">
      <c r="A64" s="4">
        <f t="shared" si="4"/>
        <v>44</v>
      </c>
      <c r="B64" s="5" t="str">
        <f t="shared" si="2"/>
        <v/>
      </c>
      <c r="C64" s="4" t="str">
        <f t="shared" si="0"/>
        <v/>
      </c>
      <c r="E64" s="5" t="str">
        <f t="shared" si="5"/>
        <v/>
      </c>
    </row>
    <row r="65" spans="1:5" x14ac:dyDescent="0.25">
      <c r="A65" s="4">
        <f t="shared" si="4"/>
        <v>45</v>
      </c>
      <c r="B65" s="5" t="str">
        <f t="shared" si="2"/>
        <v/>
      </c>
      <c r="C65" s="4" t="str">
        <f t="shared" si="0"/>
        <v/>
      </c>
      <c r="E65" s="5" t="str">
        <f t="shared" si="5"/>
        <v/>
      </c>
    </row>
    <row r="66" spans="1:5" x14ac:dyDescent="0.25">
      <c r="A66" s="4">
        <f t="shared" si="4"/>
        <v>46</v>
      </c>
      <c r="B66" s="5" t="str">
        <f t="shared" si="2"/>
        <v/>
      </c>
      <c r="C66" s="4" t="str">
        <f t="shared" si="0"/>
        <v/>
      </c>
      <c r="E66" s="5" t="str">
        <f t="shared" si="5"/>
        <v/>
      </c>
    </row>
    <row r="67" spans="1:5" x14ac:dyDescent="0.25">
      <c r="A67" s="4">
        <f t="shared" si="4"/>
        <v>47</v>
      </c>
      <c r="B67" s="5" t="str">
        <f t="shared" si="2"/>
        <v/>
      </c>
      <c r="C67" s="4" t="str">
        <f t="shared" si="0"/>
        <v/>
      </c>
      <c r="E67" s="5" t="str">
        <f t="shared" si="5"/>
        <v/>
      </c>
    </row>
    <row r="68" spans="1:5" x14ac:dyDescent="0.25">
      <c r="A68" s="4">
        <f t="shared" si="4"/>
        <v>48</v>
      </c>
      <c r="B68" s="5" t="str">
        <f t="shared" si="2"/>
        <v/>
      </c>
      <c r="C68" s="4" t="str">
        <f t="shared" si="0"/>
        <v/>
      </c>
      <c r="E68" s="5" t="str">
        <f t="shared" si="5"/>
        <v/>
      </c>
    </row>
    <row r="69" spans="1:5" x14ac:dyDescent="0.25">
      <c r="A69" s="4">
        <f t="shared" si="4"/>
        <v>49</v>
      </c>
      <c r="B69" s="5" t="str">
        <f t="shared" si="2"/>
        <v/>
      </c>
      <c r="C69" s="4" t="str">
        <f t="shared" si="0"/>
        <v/>
      </c>
      <c r="E69" s="5" t="str">
        <f t="shared" si="5"/>
        <v/>
      </c>
    </row>
    <row r="70" spans="1:5" x14ac:dyDescent="0.25">
      <c r="A70" s="4">
        <f t="shared" si="4"/>
        <v>50</v>
      </c>
      <c r="B70" s="5" t="str">
        <f t="shared" si="2"/>
        <v/>
      </c>
      <c r="C70" s="4" t="str">
        <f t="shared" si="0"/>
        <v/>
      </c>
      <c r="E70" s="5" t="str">
        <f t="shared" si="5"/>
        <v/>
      </c>
    </row>
  </sheetData>
  <phoneticPr fontId="14"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37C657-C8DD-4665-8F73-1CB15BBB5D11}">
  <sheetPr codeName="Sheet8"/>
  <dimension ref="A1:AB89"/>
  <sheetViews>
    <sheetView workbookViewId="0">
      <selection activeCell="D92" sqref="D92"/>
    </sheetView>
  </sheetViews>
  <sheetFormatPr defaultColWidth="9.1796875" defaultRowHeight="13" x14ac:dyDescent="0.3"/>
  <cols>
    <col min="1" max="1" width="4.54296875" style="4" customWidth="1"/>
    <col min="2" max="2" width="11.1796875" style="4" bestFit="1" customWidth="1"/>
    <col min="3" max="5" width="9.1796875" style="4"/>
    <col min="6" max="6" width="3.54296875" style="4" customWidth="1"/>
    <col min="7" max="7" width="9.1796875" style="4"/>
    <col min="8" max="8" width="13.1796875" style="4" bestFit="1" customWidth="1"/>
    <col min="9" max="9" width="12.54296875" style="4" bestFit="1" customWidth="1"/>
    <col min="10" max="10" width="3.54296875" style="4" customWidth="1"/>
    <col min="11" max="11" width="15.26953125" style="4" bestFit="1" customWidth="1"/>
    <col min="12" max="12" width="9.453125" style="4" customWidth="1"/>
    <col min="13" max="13" width="11.54296875" style="4" bestFit="1" customWidth="1"/>
    <col min="14" max="14" width="11.453125" style="4" bestFit="1" customWidth="1"/>
    <col min="15" max="17" width="8.7265625" style="4" customWidth="1"/>
    <col min="18" max="18" width="3.54296875" style="4" customWidth="1"/>
    <col min="19" max="19" width="9.1796875" style="3"/>
    <col min="20" max="16384" width="9.1796875" style="4"/>
  </cols>
  <sheetData>
    <row r="1" spans="1:28" x14ac:dyDescent="0.3">
      <c r="B1" s="3" t="s">
        <v>46</v>
      </c>
      <c r="S1" s="3" t="s">
        <v>69</v>
      </c>
    </row>
    <row r="3" spans="1:28" x14ac:dyDescent="0.3">
      <c r="B3" s="3" t="s">
        <v>0</v>
      </c>
      <c r="C3" s="32">
        <v>40214</v>
      </c>
      <c r="M3" s="30" t="s">
        <v>80</v>
      </c>
      <c r="N3" s="30"/>
      <c r="O3" s="30"/>
      <c r="S3" s="46" t="s">
        <v>100</v>
      </c>
      <c r="T3" s="48"/>
      <c r="U3" s="48"/>
      <c r="V3" s="48"/>
      <c r="W3" s="48"/>
      <c r="X3" s="48"/>
      <c r="Y3" s="48"/>
      <c r="Z3" s="48"/>
      <c r="AA3" s="48"/>
      <c r="AB3" s="48"/>
    </row>
    <row r="4" spans="1:28" x14ac:dyDescent="0.3">
      <c r="B4" s="3" t="s">
        <v>33</v>
      </c>
      <c r="C4" s="4">
        <v>100</v>
      </c>
      <c r="M4" s="3" t="s">
        <v>30</v>
      </c>
      <c r="N4" s="3" t="s">
        <v>31</v>
      </c>
      <c r="O4" s="33" t="s">
        <v>79</v>
      </c>
      <c r="P4" s="61" t="s">
        <v>83</v>
      </c>
      <c r="Q4" s="61" t="s">
        <v>32</v>
      </c>
      <c r="S4" s="46" t="s">
        <v>71</v>
      </c>
      <c r="T4" s="48"/>
      <c r="U4" s="48"/>
      <c r="V4" s="48"/>
      <c r="W4" s="48"/>
      <c r="X4" s="48"/>
      <c r="Y4" s="48"/>
      <c r="Z4" s="48"/>
      <c r="AA4" s="48"/>
      <c r="AB4" s="48"/>
    </row>
    <row r="5" spans="1:28" x14ac:dyDescent="0.3">
      <c r="B5" s="3" t="s">
        <v>47</v>
      </c>
      <c r="C5" s="4">
        <v>2</v>
      </c>
      <c r="K5" s="66" t="s">
        <v>81</v>
      </c>
      <c r="L5" s="5">
        <f>COUPDAYBS($C$3,N5,$C$5,1)/COUPDAYS($C$3,N5,$C$5,1)</f>
        <v>0.36263736263736263</v>
      </c>
      <c r="M5" s="34">
        <v>4</v>
      </c>
      <c r="N5" s="35">
        <v>51653</v>
      </c>
      <c r="O5" s="34">
        <v>100.24</v>
      </c>
      <c r="P5" s="62">
        <f>O5+COUPDAYBS($C$3,N5,$C$5,1)/COUPDAYS($C$3,N5,$C$5,1)*M5/$C$5</f>
        <v>100.96527472527472</v>
      </c>
      <c r="Q5" s="67">
        <f>(COUPNUM($C$3,N5,$C$5,1)-COUPDAYBS($C$3,N5,$C$5,1)/COUPDAYS($C$3,N5,$C$5,1))/$C$5</f>
        <v>31.318681318681318</v>
      </c>
      <c r="S5" s="46" t="s">
        <v>70</v>
      </c>
      <c r="T5" s="48"/>
      <c r="U5" s="48"/>
      <c r="V5" s="48"/>
      <c r="W5" s="48"/>
      <c r="X5" s="48"/>
      <c r="Y5" s="48"/>
      <c r="Z5" s="48"/>
      <c r="AA5" s="48"/>
      <c r="AB5" s="48"/>
    </row>
    <row r="6" spans="1:28" x14ac:dyDescent="0.3">
      <c r="H6" s="33" t="s">
        <v>48</v>
      </c>
      <c r="I6" s="33" t="s">
        <v>49</v>
      </c>
      <c r="K6" s="66" t="s">
        <v>82</v>
      </c>
      <c r="L6" s="4">
        <f>COUPNUM($C$3,N5,2)</f>
        <v>63</v>
      </c>
      <c r="N6" s="33" t="s">
        <v>68</v>
      </c>
      <c r="P6" s="48"/>
      <c r="Q6" s="48"/>
      <c r="S6" s="46" t="s">
        <v>101</v>
      </c>
      <c r="T6" s="48"/>
      <c r="U6" s="48"/>
      <c r="V6" s="48"/>
      <c r="W6" s="48"/>
      <c r="X6" s="48"/>
      <c r="Y6" s="48"/>
      <c r="Z6" s="48"/>
      <c r="AA6" s="48"/>
      <c r="AB6" s="48"/>
    </row>
    <row r="7" spans="1:28" s="33" customFormat="1" x14ac:dyDescent="0.3">
      <c r="B7" s="33" t="s">
        <v>30</v>
      </c>
      <c r="C7" s="33" t="s">
        <v>31</v>
      </c>
      <c r="D7" s="33" t="s">
        <v>35</v>
      </c>
      <c r="E7" s="33" t="s">
        <v>36</v>
      </c>
      <c r="G7" s="33" t="s">
        <v>32</v>
      </c>
      <c r="H7" s="33" t="s">
        <v>40</v>
      </c>
      <c r="I7" s="33" t="s">
        <v>74</v>
      </c>
      <c r="K7" s="33" t="s">
        <v>84</v>
      </c>
      <c r="L7" s="33" t="s">
        <v>85</v>
      </c>
      <c r="M7" s="3" t="s">
        <v>63</v>
      </c>
      <c r="N7" s="33" t="s">
        <v>40</v>
      </c>
      <c r="O7" s="33" t="s">
        <v>65</v>
      </c>
      <c r="P7" s="46" t="s">
        <v>37</v>
      </c>
      <c r="Q7" s="61" t="s">
        <v>34</v>
      </c>
      <c r="S7" s="60" t="s">
        <v>102</v>
      </c>
      <c r="T7" s="61"/>
      <c r="U7" s="61"/>
      <c r="V7" s="61"/>
      <c r="W7" s="61"/>
      <c r="X7" s="61"/>
      <c r="Y7" s="61"/>
      <c r="Z7" s="61"/>
      <c r="AA7" s="61"/>
      <c r="AB7" s="61"/>
    </row>
    <row r="8" spans="1:28" s="5" customFormat="1" x14ac:dyDescent="0.3">
      <c r="M8" s="33"/>
      <c r="N8" s="33"/>
      <c r="O8" s="33"/>
      <c r="P8" s="61"/>
      <c r="Q8" s="61"/>
      <c r="S8" s="60" t="s">
        <v>103</v>
      </c>
      <c r="T8" s="62"/>
      <c r="U8" s="62"/>
      <c r="V8" s="62"/>
      <c r="W8" s="62"/>
      <c r="X8" s="62"/>
      <c r="Y8" s="62"/>
      <c r="Z8" s="62"/>
      <c r="AA8" s="62"/>
      <c r="AB8" s="62"/>
    </row>
    <row r="9" spans="1:28" ht="14.5" x14ac:dyDescent="0.35">
      <c r="A9" s="4">
        <v>1</v>
      </c>
      <c r="B9" s="4">
        <v>0</v>
      </c>
      <c r="C9" s="4">
        <v>91</v>
      </c>
      <c r="E9" s="4">
        <v>0.15</v>
      </c>
      <c r="G9" s="5">
        <f>C9/365</f>
        <v>0.24931506849315069</v>
      </c>
      <c r="H9" s="58">
        <v>1.5002820207405954E-3</v>
      </c>
      <c r="I9" s="59">
        <f t="array" ref="I9:I21">spline(G9:G21,H9:H21,0,0)</f>
        <v>3.4186669325394249E-2</v>
      </c>
      <c r="K9" s="4">
        <v>1</v>
      </c>
      <c r="L9" s="4">
        <f t="shared" ref="L9:L40" si="0">IF($A9&gt;L$6,"",IF($A9&lt;L$6,M$5/$C$5,M$5/$C$5+$C$4))</f>
        <v>2</v>
      </c>
      <c r="M9" s="5">
        <f>IF($L$5&gt;0,(1-$L$5)/$C$5,1/$C$5)</f>
        <v>0.31868131868131866</v>
      </c>
      <c r="N9" s="31">
        <f>IF(A9&gt;L$6,"",splint(G$9:G$21,H$9:$H21,I$9:I$21,M9))</f>
        <v>1.576870249308312E-3</v>
      </c>
      <c r="O9" s="5">
        <f>IF(A9&gt;L$6,"",L9/(1+N9/$C$5)^($C$5*M9))</f>
        <v>1.998995610098929</v>
      </c>
      <c r="P9" s="62">
        <f>SUM(O9:O88)</f>
        <v>100.8449228268891</v>
      </c>
      <c r="Q9" s="62">
        <f>P9-P5</f>
        <v>-0.12035189838562133</v>
      </c>
      <c r="S9" s="64" t="s">
        <v>75</v>
      </c>
      <c r="T9" s="65"/>
      <c r="U9" s="65"/>
      <c r="V9" s="65"/>
      <c r="W9" s="65"/>
      <c r="X9" s="65"/>
      <c r="Y9" s="65"/>
      <c r="Z9" s="65"/>
      <c r="AA9" s="65"/>
      <c r="AB9" s="65"/>
    </row>
    <row r="10" spans="1:28" ht="14.5" x14ac:dyDescent="0.35">
      <c r="A10" s="4">
        <f>A9+1</f>
        <v>2</v>
      </c>
      <c r="B10" s="4">
        <v>0</v>
      </c>
      <c r="C10" s="4">
        <v>182</v>
      </c>
      <c r="E10" s="4">
        <v>0.23</v>
      </c>
      <c r="G10" s="5">
        <f>C10/365</f>
        <v>0.49863013698630138</v>
      </c>
      <c r="H10" s="58">
        <v>2.3000036219071873E-3</v>
      </c>
      <c r="I10" s="59">
        <v>8.8223456738722051E-3</v>
      </c>
      <c r="K10" s="4">
        <f t="shared" ref="K10:K41" si="1">IF($A10&gt;L$6,"",K9+1)</f>
        <v>2</v>
      </c>
      <c r="L10" s="4">
        <f t="shared" si="0"/>
        <v>2</v>
      </c>
      <c r="M10" s="5">
        <f>IF($A10&lt;=L$6,M9+0.5,"")</f>
        <v>0.81868131868131866</v>
      </c>
      <c r="N10" s="31">
        <f>IF(A10&gt;L$6,"",splint(G$9:G$21,H$9:$H22,I$9:I$21,M10))</f>
        <v>4.382415057862455E-3</v>
      </c>
      <c r="O10" s="5">
        <f t="shared" ref="O10:O73" si="2">IF(A10&gt;L$6,"",L10/(1+N10/$C$5)^($C$5*M10))</f>
        <v>1.9928450763135293</v>
      </c>
      <c r="S10" s="64"/>
      <c r="T10" s="65" t="s">
        <v>76</v>
      </c>
      <c r="U10" s="65"/>
      <c r="V10" s="65"/>
      <c r="W10" s="65"/>
      <c r="X10" s="65"/>
      <c r="Y10" s="65"/>
      <c r="Z10" s="65"/>
      <c r="AA10" s="65"/>
      <c r="AB10" s="65"/>
    </row>
    <row r="11" spans="1:28" ht="14.5" x14ac:dyDescent="0.35">
      <c r="A11" s="4">
        <f t="shared" ref="A11:A74" si="3">A10+1</f>
        <v>3</v>
      </c>
      <c r="B11" s="34">
        <v>6</v>
      </c>
      <c r="C11" s="35">
        <v>40695</v>
      </c>
      <c r="D11" s="34">
        <v>106.79</v>
      </c>
      <c r="E11" s="37">
        <v>0.77</v>
      </c>
      <c r="G11" s="5">
        <f>(COUPNUM($C$3,C11,$C$5,1)-COUPDAYBS($C$3,C11,$C$5,1)/COUPDAYS($C$3,C11,$C$5,1))/$C$5</f>
        <v>1.3186813186813187</v>
      </c>
      <c r="H11" s="56">
        <v>8.2272035712298471E-3</v>
      </c>
      <c r="I11" s="59">
        <v>-3.9886384238598943E-3</v>
      </c>
      <c r="K11" s="4">
        <f t="shared" si="1"/>
        <v>3</v>
      </c>
      <c r="L11" s="4">
        <f t="shared" si="0"/>
        <v>2</v>
      </c>
      <c r="M11" s="5">
        <f t="shared" ref="M11:M74" si="4">IF($A11&lt;=L$6,M10+0.5,"")</f>
        <v>1.3186813186813187</v>
      </c>
      <c r="N11" s="31">
        <f>IF(A11&gt;L$6,"",splint(G$9:G$21,H$9:$H23,I$9:I$21,M11))</f>
        <v>8.2272035712298471E-3</v>
      </c>
      <c r="O11" s="5">
        <f t="shared" si="2"/>
        <v>1.9784631852278434</v>
      </c>
      <c r="S11" s="64"/>
      <c r="T11" s="65" t="s">
        <v>77</v>
      </c>
      <c r="U11" s="65"/>
      <c r="V11" s="65"/>
      <c r="W11" s="65"/>
      <c r="X11" s="65"/>
      <c r="Y11" s="65"/>
      <c r="Z11" s="65"/>
      <c r="AA11" s="65"/>
      <c r="AB11" s="65"/>
    </row>
    <row r="12" spans="1:28" ht="14.5" x14ac:dyDescent="0.35">
      <c r="A12" s="4">
        <f t="shared" si="3"/>
        <v>4</v>
      </c>
      <c r="B12" s="34">
        <v>3.75</v>
      </c>
      <c r="C12" s="35">
        <v>41061</v>
      </c>
      <c r="D12" s="34">
        <v>105.31</v>
      </c>
      <c r="E12" s="37">
        <v>1.4</v>
      </c>
      <c r="G12" s="5">
        <f t="shared" ref="G12:G21" si="5">(COUPNUM($C$3,C12,$C$5,1)-COUPDAYBS($C$3,C12,$C$5,1)/COUPDAYS($C$3,C12,$C$5,1))/$C$5</f>
        <v>2.3186813186813189</v>
      </c>
      <c r="H12" s="56">
        <v>1.4334968368852466E-2</v>
      </c>
      <c r="I12" s="59">
        <v>5.6381704533920731E-4</v>
      </c>
      <c r="K12" s="4">
        <f t="shared" si="1"/>
        <v>4</v>
      </c>
      <c r="L12" s="4">
        <f t="shared" si="0"/>
        <v>2</v>
      </c>
      <c r="M12" s="5">
        <f t="shared" si="4"/>
        <v>1.8186813186813187</v>
      </c>
      <c r="N12" s="31">
        <f>IF(A12&gt;L$6,"",splint(G$9:G$21,H$9:$H24,I$9:I$21,M12))</f>
        <v>1.1495137306198697E-2</v>
      </c>
      <c r="O12" s="5">
        <f t="shared" si="2"/>
        <v>1.9587392748725538</v>
      </c>
      <c r="S12" s="64"/>
      <c r="T12" s="65" t="s">
        <v>78</v>
      </c>
      <c r="U12" s="65"/>
      <c r="V12" s="65"/>
      <c r="W12" s="65"/>
      <c r="X12" s="65"/>
      <c r="Y12" s="65"/>
      <c r="Z12" s="65"/>
      <c r="AA12" s="65"/>
      <c r="AB12" s="65"/>
    </row>
    <row r="13" spans="1:28" ht="14.5" x14ac:dyDescent="0.35">
      <c r="A13" s="4">
        <f t="shared" si="3"/>
        <v>5</v>
      </c>
      <c r="B13" s="34">
        <v>3.5</v>
      </c>
      <c r="C13" s="35">
        <v>41426</v>
      </c>
      <c r="D13" s="34">
        <v>104.99</v>
      </c>
      <c r="E13" s="37">
        <v>1.93</v>
      </c>
      <c r="G13" s="5">
        <f t="shared" si="5"/>
        <v>3.3186813186813189</v>
      </c>
      <c r="H13" s="56">
        <v>1.9750663158380807E-2</v>
      </c>
      <c r="I13" s="59">
        <v>-2.4190498060625938E-3</v>
      </c>
      <c r="K13" s="4">
        <f t="shared" si="1"/>
        <v>5</v>
      </c>
      <c r="L13" s="4">
        <f t="shared" si="0"/>
        <v>2</v>
      </c>
      <c r="M13" s="5">
        <f t="shared" si="4"/>
        <v>2.3186813186813184</v>
      </c>
      <c r="N13" s="31">
        <f>IF(A13&gt;L$6,"",splint(G$9:G$21,H$9:$H25,I$9:I$21,M13))</f>
        <v>1.4334968368852462E-2</v>
      </c>
      <c r="O13" s="5">
        <f t="shared" si="2"/>
        <v>1.9348455579453887</v>
      </c>
    </row>
    <row r="14" spans="1:28" ht="14.5" x14ac:dyDescent="0.35">
      <c r="A14" s="4">
        <f t="shared" si="3"/>
        <v>6</v>
      </c>
      <c r="B14" s="34">
        <v>2.5</v>
      </c>
      <c r="C14" s="35">
        <v>42156</v>
      </c>
      <c r="D14" s="34">
        <v>99.69</v>
      </c>
      <c r="E14" s="37">
        <v>2.56</v>
      </c>
      <c r="G14" s="5">
        <f t="shared" si="5"/>
        <v>5.3186813186813184</v>
      </c>
      <c r="H14" s="56">
        <v>2.6073142931933434E-2</v>
      </c>
      <c r="I14" s="59">
        <v>2.1187618726209814E-4</v>
      </c>
      <c r="K14" s="4">
        <f t="shared" si="1"/>
        <v>6</v>
      </c>
      <c r="L14" s="4">
        <f t="shared" si="0"/>
        <v>2</v>
      </c>
      <c r="M14" s="5">
        <f t="shared" si="4"/>
        <v>2.8186813186813184</v>
      </c>
      <c r="N14" s="31">
        <f>IF(A14&gt;L$6,"",splint(G$9:G$21,H$9:$H26,I$9:I$21,M14))</f>
        <v>1.7158767811161848E-2</v>
      </c>
      <c r="O14" s="5">
        <f t="shared" si="2"/>
        <v>1.9059648715093807</v>
      </c>
      <c r="S14" s="43" t="s">
        <v>104</v>
      </c>
      <c r="T14" s="30"/>
      <c r="U14" s="30"/>
      <c r="V14" s="30"/>
      <c r="W14" s="30"/>
      <c r="X14" s="30"/>
      <c r="Y14" s="30"/>
      <c r="Z14" s="30"/>
      <c r="AA14" s="30"/>
      <c r="AB14" s="30"/>
    </row>
    <row r="15" spans="1:28" ht="14.5" x14ac:dyDescent="0.35">
      <c r="A15" s="4">
        <f t="shared" si="3"/>
        <v>7</v>
      </c>
      <c r="B15" s="34">
        <v>4</v>
      </c>
      <c r="C15" s="35">
        <v>42887</v>
      </c>
      <c r="D15" s="34">
        <v>106.53</v>
      </c>
      <c r="E15" s="37">
        <v>3</v>
      </c>
      <c r="G15" s="5">
        <f t="shared" si="5"/>
        <v>7.3186813186813184</v>
      </c>
      <c r="H15" s="56">
        <v>3.103303918882263E-2</v>
      </c>
      <c r="I15" s="59">
        <v>-4.7233021798094902E-4</v>
      </c>
      <c r="K15" s="4">
        <f t="shared" si="1"/>
        <v>7</v>
      </c>
      <c r="L15" s="4">
        <f t="shared" si="0"/>
        <v>2</v>
      </c>
      <c r="M15" s="5">
        <f t="shared" si="4"/>
        <v>3.3186813186813184</v>
      </c>
      <c r="N15" s="31">
        <f>IF(A15&gt;L$6,"",splint(G$9:G$21,H$9:$H27,I$9:I$21,M15))</f>
        <v>1.9750663158380803E-2</v>
      </c>
      <c r="O15" s="5">
        <f t="shared" si="2"/>
        <v>1.8737139928845659</v>
      </c>
      <c r="S15" s="43" t="s">
        <v>72</v>
      </c>
      <c r="T15" s="30"/>
      <c r="U15" s="30"/>
      <c r="V15" s="30"/>
      <c r="W15" s="30"/>
      <c r="X15" s="30"/>
      <c r="Y15" s="30"/>
      <c r="Z15" s="30"/>
      <c r="AA15" s="30"/>
      <c r="AB15" s="30"/>
    </row>
    <row r="16" spans="1:28" ht="14.5" x14ac:dyDescent="0.35">
      <c r="A16" s="4">
        <f t="shared" si="3"/>
        <v>8</v>
      </c>
      <c r="B16" s="34">
        <v>3.5</v>
      </c>
      <c r="C16" s="35">
        <v>43983</v>
      </c>
      <c r="D16" s="34">
        <v>99.9</v>
      </c>
      <c r="E16" s="37">
        <v>3.51</v>
      </c>
      <c r="G16" s="5">
        <f t="shared" si="5"/>
        <v>10.318681318681319</v>
      </c>
      <c r="H16" s="56">
        <v>3.6548664382743734E-2</v>
      </c>
      <c r="I16" s="59">
        <v>1.503704741533039E-4</v>
      </c>
      <c r="K16" s="4">
        <f t="shared" si="1"/>
        <v>8</v>
      </c>
      <c r="L16" s="4">
        <f t="shared" si="0"/>
        <v>2</v>
      </c>
      <c r="M16" s="5">
        <f t="shared" si="4"/>
        <v>3.8186813186813184</v>
      </c>
      <c r="N16" s="31">
        <f>IF(A16&gt;L$6,"",splint(G$9:G$21,H$9:$H28,I$9:I$21,M16))</f>
        <v>2.1827344592585455E-2</v>
      </c>
      <c r="O16" s="5">
        <f t="shared" si="2"/>
        <v>1.8408861547212636</v>
      </c>
      <c r="S16" s="43" t="s">
        <v>70</v>
      </c>
      <c r="T16" s="30"/>
      <c r="U16" s="30"/>
      <c r="V16" s="30"/>
      <c r="W16" s="30"/>
      <c r="X16" s="30"/>
      <c r="Y16" s="30"/>
      <c r="Z16" s="30"/>
      <c r="AA16" s="30"/>
      <c r="AB16" s="30"/>
    </row>
    <row r="17" spans="1:28" ht="14.5" x14ac:dyDescent="0.35">
      <c r="A17" s="4">
        <f t="shared" si="3"/>
        <v>9</v>
      </c>
      <c r="B17" s="34">
        <v>9</v>
      </c>
      <c r="C17" s="35">
        <v>45809</v>
      </c>
      <c r="D17" s="34">
        <v>158.09</v>
      </c>
      <c r="E17" s="37">
        <v>3.92</v>
      </c>
      <c r="G17" s="5">
        <f t="shared" si="5"/>
        <v>15.318681318681319</v>
      </c>
      <c r="H17" s="56">
        <v>4.3783174005260272E-2</v>
      </c>
      <c r="I17" s="59">
        <v>-6.6775515466647485E-4</v>
      </c>
      <c r="K17" s="4">
        <f t="shared" si="1"/>
        <v>9</v>
      </c>
      <c r="L17" s="4">
        <f t="shared" si="0"/>
        <v>2</v>
      </c>
      <c r="M17" s="5">
        <f t="shared" si="4"/>
        <v>4.3186813186813184</v>
      </c>
      <c r="N17" s="31">
        <f>IF(A17&gt;L$6,"",splint(G$9:G$21,H$9:$H29,I$9:I$21,M17))</f>
        <v>2.3463696449857241E-2</v>
      </c>
      <c r="O17" s="5">
        <f t="shared" si="2"/>
        <v>1.808331779907949</v>
      </c>
      <c r="S17" s="43" t="s">
        <v>101</v>
      </c>
      <c r="T17" s="30"/>
      <c r="U17" s="30"/>
      <c r="V17" s="30"/>
      <c r="W17" s="30"/>
      <c r="X17" s="30"/>
      <c r="Y17" s="30"/>
      <c r="Z17" s="30"/>
      <c r="AA17" s="30"/>
      <c r="AB17" s="30"/>
    </row>
    <row r="18" spans="1:28" ht="14.5" x14ac:dyDescent="0.35">
      <c r="A18" s="4">
        <f t="shared" si="3"/>
        <v>10</v>
      </c>
      <c r="B18" s="34">
        <v>5.75</v>
      </c>
      <c r="C18" s="35">
        <v>47270</v>
      </c>
      <c r="D18" s="34">
        <v>122.96</v>
      </c>
      <c r="E18" s="37">
        <v>4.03</v>
      </c>
      <c r="G18" s="5">
        <f t="shared" si="5"/>
        <v>19.318681318681318</v>
      </c>
      <c r="H18" s="56">
        <v>4.2932520443761869E-2</v>
      </c>
      <c r="I18" s="59">
        <v>3.2758713099064352E-4</v>
      </c>
      <c r="K18" s="4">
        <f t="shared" si="1"/>
        <v>10</v>
      </c>
      <c r="L18" s="4">
        <f t="shared" si="0"/>
        <v>2</v>
      </c>
      <c r="M18" s="5">
        <f t="shared" si="4"/>
        <v>4.8186813186813184</v>
      </c>
      <c r="N18" s="31">
        <f>IF(A18&gt;L$6,"",splint(G$9:G$21,H$9:$H30,I$9:I$21,M18))</f>
        <v>2.4824151604778973E-2</v>
      </c>
      <c r="O18" s="5">
        <f t="shared" si="2"/>
        <v>1.7758226546683984</v>
      </c>
      <c r="S18" s="63" t="s">
        <v>105</v>
      </c>
      <c r="T18" s="30"/>
      <c r="U18" s="30"/>
      <c r="V18" s="30"/>
      <c r="W18" s="30"/>
      <c r="X18" s="30"/>
      <c r="Y18" s="30"/>
      <c r="Z18" s="30"/>
      <c r="AA18" s="30"/>
      <c r="AB18" s="30"/>
    </row>
    <row r="19" spans="1:28" ht="14.5" x14ac:dyDescent="0.35">
      <c r="A19" s="4">
        <f t="shared" si="3"/>
        <v>11</v>
      </c>
      <c r="B19" s="34">
        <v>5.75</v>
      </c>
      <c r="C19" s="35">
        <v>48731</v>
      </c>
      <c r="D19" s="34">
        <v>125.27</v>
      </c>
      <c r="E19" s="37">
        <v>4.0599999999999996</v>
      </c>
      <c r="G19" s="5">
        <f t="shared" si="5"/>
        <v>23.318681318681318</v>
      </c>
      <c r="H19" s="56">
        <v>4.2957362470663653E-2</v>
      </c>
      <c r="I19" s="59">
        <v>-3.142825236460293E-4</v>
      </c>
      <c r="K19" s="4">
        <f t="shared" si="1"/>
        <v>11</v>
      </c>
      <c r="L19" s="4">
        <f t="shared" si="0"/>
        <v>2</v>
      </c>
      <c r="M19" s="5">
        <f t="shared" si="4"/>
        <v>5.3186813186813184</v>
      </c>
      <c r="N19" s="31">
        <f>IF(A19&gt;L$6,"",splint(G$9:G$21,H$9:$H31,I$9:I$21,M19))</f>
        <v>2.6073142931933434E-2</v>
      </c>
      <c r="O19" s="5">
        <f t="shared" si="2"/>
        <v>1.742583154498065</v>
      </c>
      <c r="S19" s="63" t="s">
        <v>73</v>
      </c>
      <c r="T19" s="30"/>
      <c r="U19" s="30"/>
      <c r="V19" s="30"/>
      <c r="W19" s="30"/>
      <c r="X19" s="30"/>
      <c r="Y19" s="30"/>
      <c r="Z19" s="30"/>
      <c r="AA19" s="30"/>
      <c r="AB19" s="30"/>
    </row>
    <row r="20" spans="1:28" ht="14.5" x14ac:dyDescent="0.35">
      <c r="A20" s="4">
        <f t="shared" si="3"/>
        <v>12</v>
      </c>
      <c r="B20" s="34">
        <v>5</v>
      </c>
      <c r="C20" s="35">
        <v>50192</v>
      </c>
      <c r="D20" s="34">
        <v>116.55</v>
      </c>
      <c r="E20" s="37">
        <v>4</v>
      </c>
      <c r="G20" s="5">
        <f t="shared" si="5"/>
        <v>27.318681318681318</v>
      </c>
      <c r="H20" s="56">
        <v>4.1046523202330945E-2</v>
      </c>
      <c r="I20" s="59">
        <v>2.0366247788053952E-4</v>
      </c>
      <c r="K20" s="4">
        <f t="shared" si="1"/>
        <v>12</v>
      </c>
      <c r="L20" s="4">
        <f t="shared" si="0"/>
        <v>2</v>
      </c>
      <c r="M20" s="5">
        <f t="shared" si="4"/>
        <v>5.8186813186813184</v>
      </c>
      <c r="N20" s="31">
        <f>IF(A20&gt;L$6,"",splint(G$9:G$21,H$9:$H32,I$9:I$21,M20))</f>
        <v>2.7340570676751674E-2</v>
      </c>
      <c r="O20" s="5">
        <f t="shared" si="2"/>
        <v>1.7076850465183595</v>
      </c>
    </row>
    <row r="21" spans="1:28" ht="14.5" x14ac:dyDescent="0.35">
      <c r="A21" s="4">
        <f t="shared" si="3"/>
        <v>13</v>
      </c>
      <c r="B21" s="34">
        <v>4</v>
      </c>
      <c r="C21" s="35">
        <v>51653</v>
      </c>
      <c r="D21" s="34">
        <v>100.24</v>
      </c>
      <c r="E21" s="37">
        <v>3.99</v>
      </c>
      <c r="G21" s="5">
        <f t="shared" si="5"/>
        <v>31.318681318681318</v>
      </c>
      <c r="H21" s="56">
        <v>4.0481139065995111E-2</v>
      </c>
      <c r="I21" s="59">
        <v>4.1782866226990413E-6</v>
      </c>
      <c r="K21" s="4">
        <f t="shared" si="1"/>
        <v>13</v>
      </c>
      <c r="L21" s="4">
        <f t="shared" si="0"/>
        <v>2</v>
      </c>
      <c r="M21" s="5">
        <f t="shared" si="4"/>
        <v>6.3186813186813184</v>
      </c>
      <c r="N21" s="31">
        <f>IF(A21&gt;L$6,"",splint(G$9:G$21,H$9:$H33,I$9:I$21,M21))</f>
        <v>2.8618204568057744E-2</v>
      </c>
      <c r="O21" s="5">
        <f t="shared" si="2"/>
        <v>1.6712960576962343</v>
      </c>
    </row>
    <row r="22" spans="1:28" ht="14.5" x14ac:dyDescent="0.35">
      <c r="A22" s="4">
        <f t="shared" si="3"/>
        <v>14</v>
      </c>
      <c r="B22" s="37"/>
      <c r="C22" s="57"/>
      <c r="D22" s="37"/>
      <c r="E22" s="37"/>
      <c r="G22" s="5"/>
      <c r="H22" s="56"/>
      <c r="I22" s="59"/>
      <c r="K22" s="4">
        <f t="shared" si="1"/>
        <v>14</v>
      </c>
      <c r="L22" s="4">
        <f t="shared" si="0"/>
        <v>2</v>
      </c>
      <c r="M22" s="5">
        <f t="shared" si="4"/>
        <v>6.8186813186813184</v>
      </c>
      <c r="N22" s="31">
        <f>IF(A22&gt;L$6,"",splint(G$9:G$21,H$9:$H34,I$9:I$21,M22))</f>
        <v>2.9863281705523961E-2</v>
      </c>
      <c r="O22" s="5">
        <f t="shared" si="2"/>
        <v>1.6339890013622307</v>
      </c>
    </row>
    <row r="23" spans="1:28" ht="14.5" x14ac:dyDescent="0.35">
      <c r="A23" s="4">
        <f t="shared" si="3"/>
        <v>15</v>
      </c>
      <c r="B23" s="37"/>
      <c r="C23" s="57"/>
      <c r="D23" s="37"/>
      <c r="E23" s="37"/>
      <c r="G23" s="5"/>
      <c r="H23" s="56"/>
      <c r="I23" s="59"/>
      <c r="K23" s="4">
        <f t="shared" si="1"/>
        <v>15</v>
      </c>
      <c r="L23" s="4">
        <f t="shared" si="0"/>
        <v>2</v>
      </c>
      <c r="M23" s="5">
        <f t="shared" si="4"/>
        <v>7.3186813186813184</v>
      </c>
      <c r="N23" s="31">
        <f>IF(A23&gt;L$6,"",splint(G$9:G$21,H$9:$H35,I$9:I$21,M23))</f>
        <v>3.103303918882263E-2</v>
      </c>
      <c r="O23" s="5">
        <f t="shared" si="2"/>
        <v>1.5964306630801297</v>
      </c>
    </row>
    <row r="24" spans="1:28" ht="14.5" x14ac:dyDescent="0.35">
      <c r="A24" s="4">
        <f t="shared" si="3"/>
        <v>16</v>
      </c>
      <c r="B24" s="37"/>
      <c r="C24" s="57"/>
      <c r="D24" s="37"/>
      <c r="E24" s="37"/>
      <c r="G24" s="5"/>
      <c r="H24" s="56"/>
      <c r="I24" s="59"/>
      <c r="K24" s="4">
        <f t="shared" si="1"/>
        <v>16</v>
      </c>
      <c r="L24" s="4">
        <f t="shared" si="0"/>
        <v>2</v>
      </c>
      <c r="M24" s="5">
        <f t="shared" si="4"/>
        <v>7.8186813186813184</v>
      </c>
      <c r="N24" s="31">
        <f>IF(A24&gt;L$6,"",splint(G$9:G$21,H$9:$H36,I$9:I$21,M24))</f>
        <v>3.2096165578042721E-2</v>
      </c>
      <c r="O24" s="5">
        <f t="shared" si="2"/>
        <v>1.5592264513988712</v>
      </c>
    </row>
    <row r="25" spans="1:28" ht="14.5" x14ac:dyDescent="0.35">
      <c r="A25" s="4">
        <f t="shared" si="3"/>
        <v>17</v>
      </c>
      <c r="B25" s="37"/>
      <c r="C25" s="57"/>
      <c r="D25" s="37"/>
      <c r="E25" s="37"/>
      <c r="G25" s="5"/>
      <c r="H25" s="56"/>
      <c r="I25" s="59"/>
      <c r="K25" s="4">
        <f t="shared" si="1"/>
        <v>17</v>
      </c>
      <c r="L25" s="4">
        <f t="shared" si="0"/>
        <v>2</v>
      </c>
      <c r="M25" s="5">
        <f t="shared" si="4"/>
        <v>8.3186813186813175</v>
      </c>
      <c r="N25" s="31">
        <f>IF(A25&gt;L$6,"",splint(G$9:G$21,H$9:$H37,I$9:I$21,M25))</f>
        <v>3.3067155274939836E-2</v>
      </c>
      <c r="O25" s="5">
        <f t="shared" si="2"/>
        <v>1.5224506155822375</v>
      </c>
    </row>
    <row r="26" spans="1:28" ht="14.5" x14ac:dyDescent="0.35">
      <c r="A26" s="4">
        <f t="shared" si="3"/>
        <v>18</v>
      </c>
      <c r="B26" s="37"/>
      <c r="C26" s="57"/>
      <c r="D26" s="37"/>
      <c r="E26" s="37"/>
      <c r="G26" s="5"/>
      <c r="H26" s="56"/>
      <c r="I26" s="59"/>
      <c r="K26" s="4">
        <f t="shared" si="1"/>
        <v>18</v>
      </c>
      <c r="L26" s="4">
        <f t="shared" si="0"/>
        <v>2</v>
      </c>
      <c r="M26" s="5">
        <f t="shared" si="4"/>
        <v>8.8186813186813175</v>
      </c>
      <c r="N26" s="31">
        <f>IF(A26&gt;L$6,"",splint(G$9:G$21,H$9:$H38,I$9:I$21,M26))</f>
        <v>3.3971954141686231E-2</v>
      </c>
      <c r="O26" s="5">
        <f t="shared" si="2"/>
        <v>1.4859811909587153</v>
      </c>
    </row>
    <row r="27" spans="1:28" ht="14.5" x14ac:dyDescent="0.35">
      <c r="A27" s="4">
        <f t="shared" si="3"/>
        <v>19</v>
      </c>
      <c r="B27" s="37"/>
      <c r="C27" s="57"/>
      <c r="D27" s="37"/>
      <c r="E27" s="37"/>
      <c r="G27" s="5"/>
      <c r="H27" s="56"/>
      <c r="I27" s="59"/>
      <c r="K27" s="4">
        <f t="shared" si="1"/>
        <v>19</v>
      </c>
      <c r="L27" s="4">
        <f t="shared" si="0"/>
        <v>2</v>
      </c>
      <c r="M27" s="5">
        <f t="shared" si="4"/>
        <v>9.3186813186813175</v>
      </c>
      <c r="N27" s="31">
        <f>IF(A27&gt;L$6,"",splint(G$9:G$21,H$9:$H39,I$9:I$21,M27))</f>
        <v>3.4836508040454177E-2</v>
      </c>
      <c r="O27" s="5">
        <f t="shared" si="2"/>
        <v>1.4496348585983618</v>
      </c>
    </row>
    <row r="28" spans="1:28" ht="14.5" x14ac:dyDescent="0.35">
      <c r="A28" s="4">
        <f t="shared" si="3"/>
        <v>20</v>
      </c>
      <c r="B28" s="37"/>
      <c r="C28" s="57"/>
      <c r="D28" s="37"/>
      <c r="E28" s="37"/>
      <c r="G28" s="5"/>
      <c r="H28" s="56"/>
      <c r="I28" s="59"/>
      <c r="K28" s="4">
        <f t="shared" si="1"/>
        <v>20</v>
      </c>
      <c r="L28" s="4">
        <f t="shared" si="0"/>
        <v>2</v>
      </c>
      <c r="M28" s="5">
        <f t="shared" si="4"/>
        <v>9.8186813186813175</v>
      </c>
      <c r="N28" s="31">
        <f>IF(A28&gt;L$6,"",splint(G$9:G$21,H$9:$H40,I$9:I$21,M28))</f>
        <v>3.5686762833415916E-2</v>
      </c>
      <c r="O28" s="5">
        <f t="shared" si="2"/>
        <v>1.4131760170614733</v>
      </c>
    </row>
    <row r="29" spans="1:28" ht="14.5" x14ac:dyDescent="0.35">
      <c r="A29" s="4">
        <f t="shared" si="3"/>
        <v>21</v>
      </c>
      <c r="B29" s="37"/>
      <c r="C29" s="57"/>
      <c r="D29" s="37"/>
      <c r="E29" s="37"/>
      <c r="G29" s="5"/>
      <c r="H29" s="56"/>
      <c r="I29" s="59"/>
      <c r="K29" s="4">
        <f t="shared" si="1"/>
        <v>21</v>
      </c>
      <c r="L29" s="4">
        <f t="shared" si="0"/>
        <v>2</v>
      </c>
      <c r="M29" s="5">
        <f t="shared" si="4"/>
        <v>10.318681318681318</v>
      </c>
      <c r="N29" s="31">
        <f>IF(A29&gt;L$6,"",splint(G$9:G$21,H$9:$H41,I$9:I$21,M29))</f>
        <v>3.6548664382743734E-2</v>
      </c>
      <c r="O29" s="5">
        <f t="shared" si="2"/>
        <v>1.37632607149616</v>
      </c>
    </row>
    <row r="30" spans="1:28" ht="14.5" x14ac:dyDescent="0.35">
      <c r="A30" s="4">
        <f t="shared" si="3"/>
        <v>22</v>
      </c>
      <c r="B30" s="37"/>
      <c r="C30" s="57"/>
      <c r="D30" s="37"/>
      <c r="E30" s="37"/>
      <c r="G30" s="5"/>
      <c r="H30" s="56"/>
      <c r="I30" s="59"/>
      <c r="K30" s="4">
        <f t="shared" si="1"/>
        <v>22</v>
      </c>
      <c r="L30" s="4">
        <f t="shared" si="0"/>
        <v>2</v>
      </c>
      <c r="M30" s="5">
        <f t="shared" si="4"/>
        <v>10.818681318681318</v>
      </c>
      <c r="N30" s="31">
        <f>IF(A30&gt;L$6,"",splint(G$9:G$21,H$9:$H42,I$9:I$21,M30))</f>
        <v>3.7440425383461082E-2</v>
      </c>
      <c r="O30" s="5">
        <f t="shared" si="2"/>
        <v>1.3388832288253714</v>
      </c>
    </row>
    <row r="31" spans="1:28" ht="14.5" x14ac:dyDescent="0.35">
      <c r="A31" s="4">
        <f t="shared" si="3"/>
        <v>23</v>
      </c>
      <c r="B31" s="37"/>
      <c r="C31" s="57"/>
      <c r="D31" s="37"/>
      <c r="E31" s="37"/>
      <c r="G31" s="5"/>
      <c r="H31" s="1"/>
      <c r="I31" s="55"/>
      <c r="K31" s="4">
        <f t="shared" si="1"/>
        <v>23</v>
      </c>
      <c r="L31" s="4">
        <f t="shared" si="0"/>
        <v>2</v>
      </c>
      <c r="M31" s="5">
        <f t="shared" si="4"/>
        <v>11.318681318681318</v>
      </c>
      <c r="N31" s="31">
        <f>IF(A31&gt;L$6,"",splint(G$9:G$21,H$9:$H43,I$9:I$21,M31))</f>
        <v>3.8349325861996256E-2</v>
      </c>
      <c r="O31" s="5">
        <f t="shared" si="2"/>
        <v>1.3010770900713735</v>
      </c>
    </row>
    <row r="32" spans="1:28" ht="14.5" x14ac:dyDescent="0.35">
      <c r="A32" s="4">
        <f t="shared" si="3"/>
        <v>24</v>
      </c>
      <c r="B32" s="37"/>
      <c r="C32" s="57"/>
      <c r="D32" s="37"/>
      <c r="E32" s="37"/>
      <c r="G32" s="5"/>
      <c r="H32" s="1"/>
      <c r="I32" s="55"/>
      <c r="K32" s="4">
        <f t="shared" si="1"/>
        <v>24</v>
      </c>
      <c r="L32" s="4">
        <f t="shared" si="0"/>
        <v>2</v>
      </c>
      <c r="M32" s="5">
        <f t="shared" si="4"/>
        <v>11.818681318681318</v>
      </c>
      <c r="N32" s="31">
        <f>IF(A32&gt;L$6,"",splint(G$9:G$21,H$9:$H44,I$9:I$21,M32))</f>
        <v>3.9254912677628769E-2</v>
      </c>
      <c r="O32" s="5">
        <f t="shared" si="2"/>
        <v>1.2632656564715627</v>
      </c>
    </row>
    <row r="33" spans="1:18" ht="14.5" x14ac:dyDescent="0.35">
      <c r="A33" s="4">
        <f t="shared" si="3"/>
        <v>25</v>
      </c>
      <c r="B33" s="37"/>
      <c r="C33" s="57"/>
      <c r="D33" s="37"/>
      <c r="E33" s="37"/>
      <c r="G33" s="5"/>
      <c r="H33" s="1"/>
      <c r="I33" s="55"/>
      <c r="K33" s="4">
        <f t="shared" si="1"/>
        <v>25</v>
      </c>
      <c r="L33" s="4">
        <f t="shared" si="0"/>
        <v>2</v>
      </c>
      <c r="M33" s="5">
        <f t="shared" si="4"/>
        <v>12.318681318681318</v>
      </c>
      <c r="N33" s="31">
        <f>IF(A33&gt;L$6,"",splint(G$9:G$21,H$9:$H45,I$9:I$21,M33))</f>
        <v>4.0136732689638126E-2</v>
      </c>
      <c r="O33" s="5">
        <f t="shared" si="2"/>
        <v>1.2258216898941323</v>
      </c>
    </row>
    <row r="34" spans="1:18" x14ac:dyDescent="0.3">
      <c r="A34" s="4">
        <f t="shared" si="3"/>
        <v>26</v>
      </c>
      <c r="K34" s="4">
        <f t="shared" si="1"/>
        <v>26</v>
      </c>
      <c r="L34" s="4">
        <f t="shared" si="0"/>
        <v>2</v>
      </c>
      <c r="M34" s="5">
        <f t="shared" si="4"/>
        <v>12.818681318681318</v>
      </c>
      <c r="N34" s="31">
        <f>IF(A34&gt;L$6,"",splint(G$9:G$21,H$9:$H46,I$9:I$21,M34))</f>
        <v>4.0974332757303833E-2</v>
      </c>
      <c r="O34" s="5">
        <f t="shared" si="2"/>
        <v>1.1891255449263372</v>
      </c>
    </row>
    <row r="35" spans="1:18" x14ac:dyDescent="0.3">
      <c r="A35" s="4">
        <f t="shared" si="3"/>
        <v>27</v>
      </c>
      <c r="G35"/>
      <c r="H35"/>
      <c r="I35"/>
      <c r="J35"/>
      <c r="K35" s="4">
        <f t="shared" si="1"/>
        <v>27</v>
      </c>
      <c r="L35" s="4">
        <f t="shared" si="0"/>
        <v>2</v>
      </c>
      <c r="M35" s="5">
        <f t="shared" si="4"/>
        <v>13.318681318681318</v>
      </c>
      <c r="N35" s="31">
        <f>IF(A35&gt;L$6,"",splint(G$9:G$21,H$9:$H47,I$9:I$21,M35))</f>
        <v>4.1747259739905389E-2</v>
      </c>
      <c r="O35" s="5">
        <f t="shared" si="2"/>
        <v>1.1535593890931251</v>
      </c>
      <c r="R35"/>
    </row>
    <row r="36" spans="1:18" x14ac:dyDescent="0.3">
      <c r="A36" s="4">
        <f t="shared" si="3"/>
        <v>28</v>
      </c>
      <c r="G36"/>
      <c r="H36"/>
      <c r="I36"/>
      <c r="J36"/>
      <c r="K36" s="4">
        <f t="shared" si="1"/>
        <v>28</v>
      </c>
      <c r="L36" s="4">
        <f t="shared" si="0"/>
        <v>2</v>
      </c>
      <c r="M36" s="5">
        <f t="shared" si="4"/>
        <v>13.818681318681318</v>
      </c>
      <c r="N36" s="31">
        <f>IF(A36&gt;L$6,"",splint(G$9:G$21,H$9:$H48,I$9:I$21,M36))</f>
        <v>4.2435060496722313E-2</v>
      </c>
      <c r="O36" s="5">
        <f t="shared" si="2"/>
        <v>1.1195031020027988</v>
      </c>
      <c r="P36"/>
      <c r="Q36"/>
      <c r="R36"/>
    </row>
    <row r="37" spans="1:18" x14ac:dyDescent="0.3">
      <c r="A37" s="4">
        <f t="shared" si="3"/>
        <v>29</v>
      </c>
      <c r="G37"/>
      <c r="H37"/>
      <c r="I37"/>
      <c r="J37"/>
      <c r="K37" s="4">
        <f t="shared" si="1"/>
        <v>29</v>
      </c>
      <c r="L37" s="4">
        <f t="shared" si="0"/>
        <v>2</v>
      </c>
      <c r="M37" s="5">
        <f t="shared" si="4"/>
        <v>14.318681318681318</v>
      </c>
      <c r="N37" s="31">
        <f>IF(A37&gt;L$6,"",splint(G$9:G$21,H$9:$H49,I$9:I$21,M37))</f>
        <v>4.3017281887034083E-2</v>
      </c>
      <c r="O37" s="5">
        <f t="shared" si="2"/>
        <v>1.0873321030636907</v>
      </c>
      <c r="P37"/>
      <c r="Q37"/>
      <c r="R37"/>
    </row>
    <row r="38" spans="1:18" x14ac:dyDescent="0.3">
      <c r="A38" s="4">
        <f t="shared" si="3"/>
        <v>30</v>
      </c>
      <c r="G38"/>
      <c r="H38"/>
      <c r="I38"/>
      <c r="J38"/>
      <c r="K38" s="4">
        <f t="shared" si="1"/>
        <v>30</v>
      </c>
      <c r="L38" s="4">
        <f t="shared" si="0"/>
        <v>2</v>
      </c>
      <c r="M38" s="5">
        <f t="shared" si="4"/>
        <v>14.818681318681318</v>
      </c>
      <c r="N38" s="31">
        <f>IF(A38&gt;L$6,"",splint(G$9:G$21,H$9:$H50,I$9:I$21,M38))</f>
        <v>4.3473470770120246E-2</v>
      </c>
      <c r="O38" s="5">
        <f t="shared" si="2"/>
        <v>1.0574173260812412</v>
      </c>
      <c r="P38"/>
      <c r="Q38"/>
      <c r="R38"/>
    </row>
    <row r="39" spans="1:18" x14ac:dyDescent="0.3">
      <c r="A39" s="4">
        <f t="shared" si="3"/>
        <v>31</v>
      </c>
      <c r="G39"/>
      <c r="H39"/>
      <c r="I39"/>
      <c r="J39"/>
      <c r="K39" s="4">
        <f t="shared" si="1"/>
        <v>31</v>
      </c>
      <c r="L39" s="4">
        <f t="shared" si="0"/>
        <v>2</v>
      </c>
      <c r="M39" s="5">
        <f t="shared" si="4"/>
        <v>15.318681318681318</v>
      </c>
      <c r="N39" s="31">
        <f>IF(A39&gt;L$6,"",splint(G$9:G$21,H$9:$H51,I$9:I$21,M39))</f>
        <v>4.3783174005260272E-2</v>
      </c>
      <c r="O39" s="5">
        <f t="shared" si="2"/>
        <v>1.0301275466527031</v>
      </c>
      <c r="P39"/>
      <c r="Q39"/>
      <c r="R39"/>
    </row>
    <row r="40" spans="1:18" x14ac:dyDescent="0.3">
      <c r="A40" s="4">
        <f t="shared" si="3"/>
        <v>32</v>
      </c>
      <c r="G40"/>
      <c r="H40"/>
      <c r="I40"/>
      <c r="J40"/>
      <c r="K40" s="4">
        <f t="shared" si="1"/>
        <v>32</v>
      </c>
      <c r="L40" s="4">
        <f t="shared" si="0"/>
        <v>2</v>
      </c>
      <c r="M40" s="5">
        <f t="shared" si="4"/>
        <v>15.818681318681318</v>
      </c>
      <c r="N40" s="31">
        <f>IF(A40&gt;L$6,"",splint(G$9:G$21,H$9:$H52,I$9:I$21,M40))</f>
        <v>4.3934531382924899E-2</v>
      </c>
      <c r="O40" s="5">
        <f t="shared" si="2"/>
        <v>1.0057005100347969</v>
      </c>
      <c r="P40"/>
      <c r="Q40"/>
      <c r="R40"/>
    </row>
    <row r="41" spans="1:18" x14ac:dyDescent="0.3">
      <c r="A41" s="4">
        <f t="shared" si="3"/>
        <v>33</v>
      </c>
      <c r="G41"/>
      <c r="H41"/>
      <c r="I41"/>
      <c r="J41"/>
      <c r="K41" s="4">
        <f t="shared" si="1"/>
        <v>33</v>
      </c>
      <c r="L41" s="4">
        <f t="shared" ref="L41:L72" si="6">IF($A41&gt;L$6,"",IF($A41&lt;L$6,M$5/$C$5,M$5/$C$5+$C$4))</f>
        <v>2</v>
      </c>
      <c r="M41" s="5">
        <f t="shared" si="4"/>
        <v>16.318681318681318</v>
      </c>
      <c r="N41" s="31">
        <f>IF(A41&gt;L$6,"",splint(G$9:G$21,H$9:$H53,I$9:I$21,M41))</f>
        <v>4.3950054418349684E-2</v>
      </c>
      <c r="O41" s="5">
        <f t="shared" si="2"/>
        <v>0.98383900561912196</v>
      </c>
      <c r="P41"/>
      <c r="Q41"/>
      <c r="R41"/>
    </row>
    <row r="42" spans="1:18" x14ac:dyDescent="0.3">
      <c r="A42" s="4">
        <f t="shared" si="3"/>
        <v>34</v>
      </c>
      <c r="G42"/>
      <c r="H42"/>
      <c r="I42"/>
      <c r="J42"/>
      <c r="K42" s="4">
        <f t="shared" ref="K42:K73" si="7">IF($A42&gt;L$6,"",K41+1)</f>
        <v>34</v>
      </c>
      <c r="L42" s="4">
        <f t="shared" si="6"/>
        <v>2</v>
      </c>
      <c r="M42" s="5">
        <f t="shared" si="4"/>
        <v>16.818681318681318</v>
      </c>
      <c r="N42" s="31">
        <f>IF(A42&gt;L$6,"",splint(G$9:G$21,H$9:$H54,I$9:I$21,M42))</f>
        <v>4.3860847557961428E-2</v>
      </c>
      <c r="O42" s="5">
        <f t="shared" si="2"/>
        <v>0.96409836511458635</v>
      </c>
      <c r="P42"/>
      <c r="Q42"/>
      <c r="R42"/>
    </row>
    <row r="43" spans="1:18" x14ac:dyDescent="0.3">
      <c r="A43" s="4">
        <f t="shared" si="3"/>
        <v>35</v>
      </c>
      <c r="G43"/>
      <c r="H43"/>
      <c r="I43"/>
      <c r="J43"/>
      <c r="K43" s="4">
        <f t="shared" si="7"/>
        <v>35</v>
      </c>
      <c r="L43" s="4">
        <f t="shared" si="6"/>
        <v>2</v>
      </c>
      <c r="M43" s="5">
        <f t="shared" si="4"/>
        <v>17.318681318681318</v>
      </c>
      <c r="N43" s="31">
        <f>IF(A43&gt;L$6,"",splint(G$9:G$21,H$9:$H55,I$9:I$21,M43))</f>
        <v>4.3698015248186901E-2</v>
      </c>
      <c r="O43" s="5">
        <f t="shared" si="2"/>
        <v>0.94601606433115326</v>
      </c>
      <c r="P43"/>
      <c r="Q43"/>
      <c r="R43"/>
    </row>
    <row r="44" spans="1:18" x14ac:dyDescent="0.3">
      <c r="A44" s="4">
        <f t="shared" si="3"/>
        <v>36</v>
      </c>
      <c r="G44"/>
      <c r="H44"/>
      <c r="I44"/>
      <c r="J44" s="41"/>
      <c r="K44" s="4">
        <f t="shared" si="7"/>
        <v>36</v>
      </c>
      <c r="L44" s="4">
        <f t="shared" si="6"/>
        <v>2</v>
      </c>
      <c r="M44" s="5">
        <f t="shared" si="4"/>
        <v>17.818681318681318</v>
      </c>
      <c r="N44" s="31">
        <f>IF(A44&gt;L$6,"",splint(G$9:G$21,H$9:$H56,I$9:I$21,M44))</f>
        <v>4.3492661935452898E-2</v>
      </c>
      <c r="O44" s="5">
        <f t="shared" si="2"/>
        <v>0.92910975755960634</v>
      </c>
      <c r="P44"/>
      <c r="Q44"/>
      <c r="R44" s="41"/>
    </row>
    <row r="45" spans="1:18" x14ac:dyDescent="0.3">
      <c r="A45" s="4">
        <f t="shared" si="3"/>
        <v>37</v>
      </c>
      <c r="G45"/>
      <c r="H45"/>
      <c r="I45"/>
      <c r="J45"/>
      <c r="K45" s="4">
        <f t="shared" si="7"/>
        <v>37</v>
      </c>
      <c r="L45" s="4">
        <f t="shared" si="6"/>
        <v>2</v>
      </c>
      <c r="M45" s="5">
        <f t="shared" si="4"/>
        <v>18.318681318681318</v>
      </c>
      <c r="N45" s="31">
        <f>IF(A45&gt;L$6,"",splint(G$9:G$21,H$9:$H57,I$9:I$21,M45))</f>
        <v>4.3275892066186206E-2</v>
      </c>
      <c r="O45" s="5">
        <f t="shared" si="2"/>
        <v>0.91287618140268789</v>
      </c>
      <c r="P45" s="41"/>
      <c r="Q45" s="41"/>
      <c r="R45"/>
    </row>
    <row r="46" spans="1:18" x14ac:dyDescent="0.3">
      <c r="A46" s="4">
        <f t="shared" si="3"/>
        <v>38</v>
      </c>
      <c r="G46"/>
      <c r="H46"/>
      <c r="I46"/>
      <c r="J46"/>
      <c r="K46" s="4">
        <f t="shared" si="7"/>
        <v>38</v>
      </c>
      <c r="L46" s="4">
        <f t="shared" si="6"/>
        <v>2</v>
      </c>
      <c r="M46" s="5">
        <f t="shared" si="4"/>
        <v>18.818681318681318</v>
      </c>
      <c r="N46" s="31">
        <f>IF(A46&gt;L$6,"",splint(G$9:G$21,H$9:$H58,I$9:I$21,M46))</f>
        <v>4.3078810086813593E-2</v>
      </c>
      <c r="O46" s="5">
        <f t="shared" si="2"/>
        <v>0.8967916239260002</v>
      </c>
      <c r="P46"/>
      <c r="Q46"/>
      <c r="R46"/>
    </row>
    <row r="47" spans="1:18" x14ac:dyDescent="0.3">
      <c r="A47" s="4">
        <f t="shared" si="3"/>
        <v>39</v>
      </c>
      <c r="G47"/>
      <c r="H47"/>
      <c r="I47"/>
      <c r="J47"/>
      <c r="K47" s="4">
        <f t="shared" si="7"/>
        <v>39</v>
      </c>
      <c r="L47" s="4">
        <f t="shared" si="6"/>
        <v>2</v>
      </c>
      <c r="M47" s="5">
        <f t="shared" si="4"/>
        <v>19.318681318681318</v>
      </c>
      <c r="N47" s="31">
        <f>IF(A47&gt;L$6,"",splint(G$9:G$21,H$9:$H59,I$9:I$21,M47))</f>
        <v>4.2932520443761869E-2</v>
      </c>
      <c r="O47" s="5">
        <f t="shared" si="2"/>
        <v>0.88031469730376766</v>
      </c>
      <c r="P47"/>
      <c r="Q47"/>
      <c r="R47"/>
    </row>
    <row r="48" spans="1:18" x14ac:dyDescent="0.3">
      <c r="A48" s="4">
        <f t="shared" si="3"/>
        <v>40</v>
      </c>
      <c r="G48"/>
      <c r="H48"/>
      <c r="I48"/>
      <c r="J48" s="41"/>
      <c r="K48" s="4">
        <f t="shared" si="7"/>
        <v>40</v>
      </c>
      <c r="L48" s="4">
        <f t="shared" si="6"/>
        <v>2</v>
      </c>
      <c r="M48" s="5">
        <f t="shared" si="4"/>
        <v>19.818681318681318</v>
      </c>
      <c r="N48" s="31">
        <f>IF(A48&gt;L$6,"",splint(G$9:G$21,H$9:$H60,I$9:I$21,M48))</f>
        <v>4.2859600437935436E-2</v>
      </c>
      <c r="O48" s="5">
        <f t="shared" si="2"/>
        <v>0.86303494437279871</v>
      </c>
      <c r="P48"/>
      <c r="Q48"/>
      <c r="R48" s="41"/>
    </row>
    <row r="49" spans="1:18" x14ac:dyDescent="0.3">
      <c r="A49" s="4">
        <f t="shared" si="3"/>
        <v>41</v>
      </c>
      <c r="G49"/>
      <c r="H49"/>
      <c r="I49"/>
      <c r="J49"/>
      <c r="K49" s="4">
        <f t="shared" si="7"/>
        <v>41</v>
      </c>
      <c r="L49" s="4">
        <f t="shared" si="6"/>
        <v>2</v>
      </c>
      <c r="M49" s="5">
        <f t="shared" si="4"/>
        <v>20.318681318681318</v>
      </c>
      <c r="N49" s="31">
        <f>IF(A49&gt;L$6,"",splint(G$9:G$21,H$9:$H61,I$9:I$21,M49))</f>
        <v>4.284851878814927E-2</v>
      </c>
      <c r="O49" s="5">
        <f t="shared" si="2"/>
        <v>0.84511457717562544</v>
      </c>
      <c r="P49" s="41"/>
      <c r="Q49" s="41"/>
      <c r="R49"/>
    </row>
    <row r="50" spans="1:18" x14ac:dyDescent="0.3">
      <c r="A50" s="4">
        <f t="shared" si="3"/>
        <v>42</v>
      </c>
      <c r="G50"/>
      <c r="H50"/>
      <c r="I50"/>
      <c r="J50"/>
      <c r="K50" s="4">
        <f t="shared" si="7"/>
        <v>42</v>
      </c>
      <c r="L50" s="4">
        <f t="shared" si="6"/>
        <v>2</v>
      </c>
      <c r="M50" s="5">
        <f t="shared" si="4"/>
        <v>20.818681318681318</v>
      </c>
      <c r="N50" s="31">
        <f>IF(A50&gt;L$6,"",splint(G$9:G$21,H$9:$H62,I$9:I$21,M50))</f>
        <v>4.2879217067695971E-2</v>
      </c>
      <c r="O50" s="5">
        <f t="shared" si="2"/>
        <v>0.82687086854754788</v>
      </c>
      <c r="P50"/>
      <c r="Q50"/>
      <c r="R50"/>
    </row>
    <row r="51" spans="1:18" x14ac:dyDescent="0.3">
      <c r="A51" s="4">
        <f t="shared" si="3"/>
        <v>43</v>
      </c>
      <c r="G51"/>
      <c r="H51"/>
      <c r="I51"/>
      <c r="J51"/>
      <c r="K51" s="4">
        <f t="shared" si="7"/>
        <v>43</v>
      </c>
      <c r="L51" s="4">
        <f t="shared" si="6"/>
        <v>2</v>
      </c>
      <c r="M51" s="5">
        <f t="shared" si="4"/>
        <v>21.318681318681318</v>
      </c>
      <c r="N51" s="31">
        <f>IF(A51&gt;L$6,"",splint(G$9:G$21,H$9:$H63,I$9:I$21,M51))</f>
        <v>4.293163684986815E-2</v>
      </c>
      <c r="O51" s="5">
        <f t="shared" si="2"/>
        <v>0.80863001397044942</v>
      </c>
      <c r="P51"/>
      <c r="Q51"/>
      <c r="R51"/>
    </row>
    <row r="52" spans="1:18" x14ac:dyDescent="0.3">
      <c r="A52" s="4">
        <f t="shared" si="3"/>
        <v>44</v>
      </c>
      <c r="G52"/>
      <c r="H52"/>
      <c r="I52"/>
      <c r="J52"/>
      <c r="K52" s="4">
        <f t="shared" si="7"/>
        <v>44</v>
      </c>
      <c r="L52" s="4">
        <f t="shared" si="6"/>
        <v>2</v>
      </c>
      <c r="M52" s="5">
        <f t="shared" si="4"/>
        <v>21.818681318681318</v>
      </c>
      <c r="N52" s="31">
        <f>IF(A52&gt;L$6,"",splint(G$9:G$21,H$9:$H64,I$9:I$21,M52))</f>
        <v>4.2985719707958399E-2</v>
      </c>
      <c r="O52" s="5">
        <f t="shared" si="2"/>
        <v>0.79072290664928424</v>
      </c>
      <c r="P52"/>
      <c r="Q52"/>
      <c r="R52"/>
    </row>
    <row r="53" spans="1:18" x14ac:dyDescent="0.3">
      <c r="A53" s="4">
        <f t="shared" si="3"/>
        <v>45</v>
      </c>
      <c r="G53"/>
      <c r="H53"/>
      <c r="I53"/>
      <c r="J53"/>
      <c r="K53" s="4">
        <f t="shared" si="7"/>
        <v>45</v>
      </c>
      <c r="L53" s="4">
        <f t="shared" si="6"/>
        <v>2</v>
      </c>
      <c r="M53" s="5">
        <f t="shared" si="4"/>
        <v>22.318681318681318</v>
      </c>
      <c r="N53" s="31">
        <f>IF(A53&gt;L$6,"",splint(G$9:G$21,H$9:$H65,I$9:I$21,M53))</f>
        <v>4.3021407215259329E-2</v>
      </c>
      <c r="O53" s="5">
        <f t="shared" si="2"/>
        <v>0.77348224905983631</v>
      </c>
      <c r="P53"/>
      <c r="Q53"/>
      <c r="R53"/>
    </row>
    <row r="54" spans="1:18" x14ac:dyDescent="0.3">
      <c r="A54" s="4">
        <f t="shared" si="3"/>
        <v>46</v>
      </c>
      <c r="G54" s="41"/>
      <c r="H54" s="41"/>
      <c r="I54" s="41"/>
      <c r="J54"/>
      <c r="K54" s="4">
        <f t="shared" si="7"/>
        <v>46</v>
      </c>
      <c r="L54" s="4">
        <f t="shared" si="6"/>
        <v>2</v>
      </c>
      <c r="M54" s="5">
        <f t="shared" si="4"/>
        <v>22.818681318681318</v>
      </c>
      <c r="N54" s="31">
        <f>IF(A54&gt;L$6,"",splint(G$9:G$21,H$9:$H66,I$9:I$21,M54))</f>
        <v>4.3018640945063545E-2</v>
      </c>
      <c r="O54" s="5">
        <f t="shared" si="2"/>
        <v>0.75724125449606872</v>
      </c>
      <c r="P54"/>
      <c r="Q54"/>
      <c r="R54"/>
    </row>
    <row r="55" spans="1:18" x14ac:dyDescent="0.3">
      <c r="A55" s="4">
        <f t="shared" si="3"/>
        <v>47</v>
      </c>
      <c r="G55"/>
      <c r="H55"/>
      <c r="I55"/>
      <c r="K55" s="4">
        <f t="shared" si="7"/>
        <v>47</v>
      </c>
      <c r="L55" s="4">
        <f t="shared" si="6"/>
        <v>2</v>
      </c>
      <c r="M55" s="5">
        <f t="shared" si="4"/>
        <v>23.318681318681318</v>
      </c>
      <c r="N55" s="31">
        <f>IF(A55&gt;L$6,"",splint(G$9:G$21,H$9:$H67,I$9:I$21,M55))</f>
        <v>4.2957362470663653E-2</v>
      </c>
      <c r="O55" s="5">
        <f t="shared" si="2"/>
        <v>0.74233417118739708</v>
      </c>
      <c r="P55"/>
      <c r="Q55"/>
    </row>
    <row r="56" spans="1:18" x14ac:dyDescent="0.3">
      <c r="A56" s="4">
        <f t="shared" si="3"/>
        <v>48</v>
      </c>
      <c r="G56"/>
      <c r="H56"/>
      <c r="I56"/>
      <c r="J56"/>
      <c r="K56" s="4">
        <f t="shared" si="7"/>
        <v>48</v>
      </c>
      <c r="L56" s="4">
        <f t="shared" si="6"/>
        <v>2</v>
      </c>
      <c r="M56" s="5">
        <f t="shared" si="4"/>
        <v>23.818681318681318</v>
      </c>
      <c r="N56" s="31">
        <f>IF(A56&gt;L$6,"",splint(G$9:G$21,H$9:$H68,I$9:I$21,M56))</f>
        <v>4.2823554066686427E-2</v>
      </c>
      <c r="O56" s="5">
        <f t="shared" si="2"/>
        <v>0.72899616257848665</v>
      </c>
      <c r="R56"/>
    </row>
    <row r="57" spans="1:18" x14ac:dyDescent="0.3">
      <c r="A57" s="4">
        <f t="shared" si="3"/>
        <v>49</v>
      </c>
      <c r="G57"/>
      <c r="H57"/>
      <c r="I57"/>
      <c r="J57"/>
      <c r="K57" s="4">
        <f t="shared" si="7"/>
        <v>49</v>
      </c>
      <c r="L57" s="4">
        <f t="shared" si="6"/>
        <v>2</v>
      </c>
      <c r="M57" s="5">
        <f t="shared" si="4"/>
        <v>24.318681318681318</v>
      </c>
      <c r="N57" s="31">
        <f>IF(A57&gt;L$6,"",splint(G$9:G$21,H$9:$H69,I$9:I$21,M57))</f>
        <v>4.2627360813095413E-2</v>
      </c>
      <c r="O57" s="5">
        <f t="shared" si="2"/>
        <v>0.71705609313174634</v>
      </c>
      <c r="P57"/>
      <c r="Q57"/>
      <c r="R57"/>
    </row>
    <row r="58" spans="1:18" x14ac:dyDescent="0.3">
      <c r="A58" s="4">
        <f t="shared" si="3"/>
        <v>50</v>
      </c>
      <c r="G58"/>
      <c r="H58"/>
      <c r="I58"/>
      <c r="J58"/>
      <c r="K58" s="4">
        <f t="shared" si="7"/>
        <v>50</v>
      </c>
      <c r="L58" s="4">
        <f t="shared" si="6"/>
        <v>2</v>
      </c>
      <c r="M58" s="5">
        <f t="shared" si="4"/>
        <v>24.818681318681318</v>
      </c>
      <c r="N58" s="31">
        <f>IF(A58&gt;L$6,"",splint(G$9:G$21,H$9:$H70,I$9:I$21,M58))</f>
        <v>4.23849684911883E-2</v>
      </c>
      <c r="O58" s="5">
        <f t="shared" si="2"/>
        <v>0.70623992232655064</v>
      </c>
      <c r="P58"/>
      <c r="Q58"/>
      <c r="R58"/>
    </row>
    <row r="59" spans="1:18" x14ac:dyDescent="0.3">
      <c r="A59" s="4">
        <f t="shared" si="3"/>
        <v>51</v>
      </c>
      <c r="G59"/>
      <c r="H59"/>
      <c r="I59"/>
      <c r="J59"/>
      <c r="K59" s="4">
        <f t="shared" si="7"/>
        <v>51</v>
      </c>
      <c r="L59" s="4">
        <f t="shared" si="6"/>
        <v>2</v>
      </c>
      <c r="M59" s="5">
        <f t="shared" si="4"/>
        <v>25.318681318681318</v>
      </c>
      <c r="N59" s="31">
        <f>IF(A59&gt;L$6,"",splint(G$9:G$21,H$9:$H71,I$9:I$21,M59))</f>
        <v>4.211256288226279E-2</v>
      </c>
      <c r="O59" s="5">
        <f t="shared" si="2"/>
        <v>0.69627050223305276</v>
      </c>
      <c r="P59"/>
      <c r="Q59"/>
      <c r="R59"/>
    </row>
    <row r="60" spans="1:18" x14ac:dyDescent="0.3">
      <c r="A60" s="4">
        <f t="shared" si="3"/>
        <v>52</v>
      </c>
      <c r="G60"/>
      <c r="H60"/>
      <c r="I60"/>
      <c r="J60"/>
      <c r="K60" s="4">
        <f t="shared" si="7"/>
        <v>52</v>
      </c>
      <c r="L60" s="4">
        <f t="shared" si="6"/>
        <v>2</v>
      </c>
      <c r="M60" s="5">
        <f t="shared" si="4"/>
        <v>25.818681318681318</v>
      </c>
      <c r="N60" s="31">
        <f>IF(A60&gt;L$6,"",splint(G$9:G$21,H$9:$H72,I$9:I$21,M60))</f>
        <v>4.1826329767616591E-2</v>
      </c>
      <c r="O60" s="5">
        <f t="shared" si="2"/>
        <v>0.68686574052138838</v>
      </c>
      <c r="P60"/>
      <c r="Q60"/>
      <c r="R60"/>
    </row>
    <row r="61" spans="1:18" x14ac:dyDescent="0.3">
      <c r="A61" s="4">
        <f t="shared" si="3"/>
        <v>53</v>
      </c>
      <c r="G61"/>
      <c r="H61"/>
      <c r="I61"/>
      <c r="J61"/>
      <c r="K61" s="4">
        <f t="shared" si="7"/>
        <v>53</v>
      </c>
      <c r="L61" s="4">
        <f t="shared" si="6"/>
        <v>2</v>
      </c>
      <c r="M61" s="5">
        <f t="shared" si="4"/>
        <v>26.318681318681318</v>
      </c>
      <c r="N61" s="31">
        <f>IF(A61&gt;L$6,"",splint(G$9:G$21,H$9:$H73,I$9:I$21,M61))</f>
        <v>4.1542454928547419E-2</v>
      </c>
      <c r="O61" s="5">
        <f t="shared" si="2"/>
        <v>0.67773749143470752</v>
      </c>
      <c r="P61"/>
      <c r="Q61"/>
      <c r="R61"/>
    </row>
    <row r="62" spans="1:18" x14ac:dyDescent="0.3">
      <c r="A62" s="4">
        <f t="shared" si="3"/>
        <v>54</v>
      </c>
      <c r="G62"/>
      <c r="H62"/>
      <c r="I62"/>
      <c r="J62"/>
      <c r="K62" s="4">
        <f t="shared" si="7"/>
        <v>54</v>
      </c>
      <c r="L62" s="4">
        <f t="shared" si="6"/>
        <v>2</v>
      </c>
      <c r="M62" s="5">
        <f t="shared" si="4"/>
        <v>26.818681318681318</v>
      </c>
      <c r="N62" s="31">
        <f>IF(A62&gt;L$6,"",splint(G$9:G$21,H$9:$H74,I$9:I$21,M62))</f>
        <v>4.127712414635297E-2</v>
      </c>
      <c r="O62" s="5">
        <f t="shared" si="2"/>
        <v>0.66859136792147933</v>
      </c>
      <c r="P62"/>
      <c r="Q62"/>
      <c r="R62"/>
    </row>
    <row r="63" spans="1:18" x14ac:dyDescent="0.3">
      <c r="A63" s="4">
        <f t="shared" si="3"/>
        <v>55</v>
      </c>
      <c r="G63"/>
      <c r="H63"/>
      <c r="I63"/>
      <c r="J63"/>
      <c r="K63" s="4">
        <f t="shared" si="7"/>
        <v>55</v>
      </c>
      <c r="L63" s="4">
        <f t="shared" si="6"/>
        <v>2</v>
      </c>
      <c r="M63" s="5">
        <f t="shared" si="4"/>
        <v>27.318681318681318</v>
      </c>
      <c r="N63" s="31">
        <f>IF(A63&gt;L$6,"",splint(G$9:G$21,H$9:$H75,I$9:I$21,M63))</f>
        <v>4.1046523202330945E-2</v>
      </c>
      <c r="O63" s="5">
        <f t="shared" si="2"/>
        <v>0.65912768076744821</v>
      </c>
      <c r="P63"/>
      <c r="Q63"/>
      <c r="R63"/>
    </row>
    <row r="64" spans="1:18" x14ac:dyDescent="0.3">
      <c r="A64" s="4">
        <f t="shared" si="3"/>
        <v>56</v>
      </c>
      <c r="G64"/>
      <c r="H64"/>
      <c r="I64"/>
      <c r="J64"/>
      <c r="K64" s="4">
        <f t="shared" si="7"/>
        <v>56</v>
      </c>
      <c r="L64" s="4">
        <f t="shared" si="6"/>
        <v>2</v>
      </c>
      <c r="M64" s="5">
        <f t="shared" si="4"/>
        <v>27.818681318681318</v>
      </c>
      <c r="N64" s="31">
        <f>IF(A64&gt;L$6,"",splint(G$9:G$21,H$9:$H76,I$9:I$21,M64))</f>
        <v>4.0863101267399976E-2</v>
      </c>
      <c r="O64" s="5">
        <f t="shared" si="2"/>
        <v>0.6491098310626201</v>
      </c>
      <c r="P64"/>
      <c r="Q64"/>
      <c r="R64"/>
    </row>
    <row r="65" spans="1:18" x14ac:dyDescent="0.3">
      <c r="A65" s="4">
        <f t="shared" si="3"/>
        <v>57</v>
      </c>
      <c r="G65"/>
      <c r="H65"/>
      <c r="I65"/>
      <c r="J65"/>
      <c r="K65" s="4">
        <f t="shared" si="7"/>
        <v>57</v>
      </c>
      <c r="L65" s="4">
        <f t="shared" si="6"/>
        <v>2</v>
      </c>
      <c r="M65" s="5">
        <f t="shared" si="4"/>
        <v>28.318681318681318</v>
      </c>
      <c r="N65" s="31">
        <f>IF(A65&gt;L$6,"",splint(G$9:G$21,H$9:$H77,I$9:I$21,M65))</f>
        <v>4.0724361070962327E-2</v>
      </c>
      <c r="O65" s="5">
        <f t="shared" si="2"/>
        <v>0.6385670681856882</v>
      </c>
      <c r="P65"/>
      <c r="Q65"/>
      <c r="R65"/>
    </row>
    <row r="66" spans="1:18" x14ac:dyDescent="0.3">
      <c r="A66" s="4">
        <f t="shared" si="3"/>
        <v>58</v>
      </c>
      <c r="G66"/>
      <c r="H66"/>
      <c r="I66"/>
      <c r="J66"/>
      <c r="K66" s="4">
        <f t="shared" si="7"/>
        <v>58</v>
      </c>
      <c r="L66" s="4">
        <f t="shared" si="6"/>
        <v>2</v>
      </c>
      <c r="M66" s="5">
        <f t="shared" si="4"/>
        <v>28.818681318681318</v>
      </c>
      <c r="N66" s="31">
        <f>IF(A66&gt;L$6,"",splint(G$9:G$21,H$9:$H78,I$9:I$21,M66))</f>
        <v>4.0624068732041205E-2</v>
      </c>
      <c r="O66" s="5">
        <f t="shared" si="2"/>
        <v>0.62759920322924156</v>
      </c>
      <c r="P66"/>
      <c r="Q66"/>
      <c r="R66"/>
    </row>
    <row r="67" spans="1:18" x14ac:dyDescent="0.3">
      <c r="A67" s="4">
        <f t="shared" si="3"/>
        <v>59</v>
      </c>
      <c r="G67"/>
      <c r="H67"/>
      <c r="I67"/>
      <c r="J67"/>
      <c r="K67" s="4">
        <f t="shared" si="7"/>
        <v>59</v>
      </c>
      <c r="L67" s="4">
        <f t="shared" si="6"/>
        <v>2</v>
      </c>
      <c r="M67" s="5">
        <f t="shared" si="4"/>
        <v>29.318681318681318</v>
      </c>
      <c r="N67" s="31">
        <f>IF(A67&gt;L$6,"",splint(G$9:G$21,H$9:$H79,I$9:I$21,M67))</f>
        <v>4.0555990369659789E-2</v>
      </c>
      <c r="O67" s="5">
        <f t="shared" si="2"/>
        <v>0.61630965266250681</v>
      </c>
      <c r="P67"/>
      <c r="Q67"/>
      <c r="R67"/>
    </row>
    <row r="68" spans="1:18" x14ac:dyDescent="0.3">
      <c r="A68" s="4">
        <f t="shared" si="3"/>
        <v>60</v>
      </c>
      <c r="G68"/>
      <c r="H68"/>
      <c r="I68"/>
      <c r="J68"/>
      <c r="K68" s="4">
        <f t="shared" si="7"/>
        <v>60</v>
      </c>
      <c r="L68" s="4">
        <f t="shared" si="6"/>
        <v>2</v>
      </c>
      <c r="M68" s="5">
        <f t="shared" si="4"/>
        <v>29.818681318681318</v>
      </c>
      <c r="N68" s="31">
        <f>IF(A68&gt;L$6,"",splint(G$9:G$21,H$9:$H80,I$9:I$21,M68))</f>
        <v>4.051389210284128E-2</v>
      </c>
      <c r="O68" s="5">
        <f t="shared" si="2"/>
        <v>0.60480419668968433</v>
      </c>
      <c r="P68"/>
      <c r="Q68"/>
      <c r="R68"/>
    </row>
    <row r="69" spans="1:18" x14ac:dyDescent="0.3">
      <c r="A69" s="4">
        <f t="shared" si="3"/>
        <v>61</v>
      </c>
      <c r="G69"/>
      <c r="H69"/>
      <c r="I69"/>
      <c r="J69"/>
      <c r="K69" s="4">
        <f t="shared" si="7"/>
        <v>61</v>
      </c>
      <c r="L69" s="4">
        <f t="shared" si="6"/>
        <v>2</v>
      </c>
      <c r="M69" s="5">
        <f t="shared" si="4"/>
        <v>30.318681318681318</v>
      </c>
      <c r="N69" s="31">
        <f>IF(A69&gt;L$6,"",splint(G$9:G$21,H$9:$H81,I$9:I$21,M69))</f>
        <v>4.0491540050608871E-2</v>
      </c>
      <c r="O69" s="5">
        <f t="shared" si="2"/>
        <v>0.59318984640579742</v>
      </c>
      <c r="P69"/>
      <c r="Q69"/>
      <c r="R69"/>
    </row>
    <row r="70" spans="1:18" x14ac:dyDescent="0.3">
      <c r="A70" s="4">
        <f t="shared" si="3"/>
        <v>62</v>
      </c>
      <c r="G70"/>
      <c r="H70"/>
      <c r="I70"/>
      <c r="J70"/>
      <c r="K70" s="4">
        <f t="shared" si="7"/>
        <v>62</v>
      </c>
      <c r="L70" s="4">
        <f t="shared" si="6"/>
        <v>2</v>
      </c>
      <c r="M70" s="5">
        <f t="shared" si="4"/>
        <v>30.818681318681318</v>
      </c>
      <c r="N70" s="31">
        <f>IF(A70&gt;L$6,"",splint(G$9:G$21,H$9:$H82,I$9:I$21,M70))</f>
        <v>4.0482700331985748E-2</v>
      </c>
      <c r="O70" s="5">
        <f t="shared" si="2"/>
        <v>0.58157385240461168</v>
      </c>
      <c r="P70"/>
      <c r="Q70"/>
      <c r="R70"/>
    </row>
    <row r="71" spans="1:18" x14ac:dyDescent="0.3">
      <c r="A71" s="4">
        <f t="shared" si="3"/>
        <v>63</v>
      </c>
      <c r="G71"/>
      <c r="H71"/>
      <c r="I71"/>
      <c r="J71"/>
      <c r="K71" s="4">
        <f t="shared" si="7"/>
        <v>63</v>
      </c>
      <c r="L71" s="4">
        <f t="shared" si="6"/>
        <v>102</v>
      </c>
      <c r="M71" s="5">
        <f t="shared" si="4"/>
        <v>31.318681318681318</v>
      </c>
      <c r="N71" s="31">
        <f>IF(A71&gt;L$6,"",splint(G$9:G$21,H$9:$H83,I$9:I$21,M71))</f>
        <v>4.0481139065995111E-2</v>
      </c>
      <c r="O71" s="5">
        <f t="shared" si="2"/>
        <v>29.073207061100387</v>
      </c>
      <c r="P71"/>
      <c r="Q71"/>
      <c r="R71"/>
    </row>
    <row r="72" spans="1:18" x14ac:dyDescent="0.3">
      <c r="A72" s="4">
        <f t="shared" si="3"/>
        <v>64</v>
      </c>
      <c r="G72"/>
      <c r="H72"/>
      <c r="I72"/>
      <c r="J72"/>
      <c r="K72" s="4" t="str">
        <f t="shared" si="7"/>
        <v/>
      </c>
      <c r="L72" s="4" t="str">
        <f t="shared" si="6"/>
        <v/>
      </c>
      <c r="M72" s="5" t="str">
        <f t="shared" si="4"/>
        <v/>
      </c>
      <c r="N72" s="31" t="str">
        <f>IF(A72&gt;L$6,"",splint(G$9:G$21,H$9:$H84,I$9:I$21,M72))</f>
        <v/>
      </c>
      <c r="O72" s="5" t="str">
        <f t="shared" si="2"/>
        <v/>
      </c>
      <c r="P72"/>
      <c r="Q72"/>
      <c r="R72"/>
    </row>
    <row r="73" spans="1:18" x14ac:dyDescent="0.3">
      <c r="A73" s="4">
        <f t="shared" si="3"/>
        <v>65</v>
      </c>
      <c r="G73"/>
      <c r="H73"/>
      <c r="I73"/>
      <c r="J73"/>
      <c r="K73" s="4" t="str">
        <f t="shared" si="7"/>
        <v/>
      </c>
      <c r="L73" s="4" t="str">
        <f t="shared" ref="L73:L88" si="8">IF($A73&gt;L$6,"",IF($A73&lt;L$6,M$5/$C$5,M$5/$C$5+$C$4))</f>
        <v/>
      </c>
      <c r="M73" s="5" t="str">
        <f t="shared" si="4"/>
        <v/>
      </c>
      <c r="N73" s="31" t="str">
        <f>IF(A73&gt;L$6,"",splint(G$9:G$21,H$9:$H85,I$9:I$21,M73))</f>
        <v/>
      </c>
      <c r="O73" s="5" t="str">
        <f t="shared" si="2"/>
        <v/>
      </c>
      <c r="P73"/>
      <c r="Q73"/>
      <c r="R73"/>
    </row>
    <row r="74" spans="1:18" x14ac:dyDescent="0.3">
      <c r="A74" s="4">
        <f t="shared" si="3"/>
        <v>66</v>
      </c>
      <c r="G74"/>
      <c r="H74"/>
      <c r="I74"/>
      <c r="J74"/>
      <c r="K74" s="4" t="str">
        <f t="shared" ref="K74:K88" si="9">IF($A74&gt;L$6,"",K73+1)</f>
        <v/>
      </c>
      <c r="L74" s="4" t="str">
        <f t="shared" si="8"/>
        <v/>
      </c>
      <c r="M74" s="5" t="str">
        <f t="shared" si="4"/>
        <v/>
      </c>
      <c r="N74" s="31" t="str">
        <f>IF(A74&gt;L$6,"",splint(G$9:G$21,H$9:$H86,I$9:I$21,M74))</f>
        <v/>
      </c>
      <c r="O74" s="5" t="str">
        <f t="shared" ref="O74:O88" si="10">IF(A74&gt;L$6,"",L74/(1+N74/$C$5)^($C$5*M74))</f>
        <v/>
      </c>
      <c r="P74"/>
      <c r="Q74"/>
      <c r="R74"/>
    </row>
    <row r="75" spans="1:18" x14ac:dyDescent="0.3">
      <c r="A75" s="4">
        <f t="shared" ref="A75:A88" si="11">A74+1</f>
        <v>67</v>
      </c>
      <c r="G75"/>
      <c r="H75"/>
      <c r="I75"/>
      <c r="J75"/>
      <c r="K75" s="4" t="str">
        <f t="shared" si="9"/>
        <v/>
      </c>
      <c r="L75" s="4" t="str">
        <f t="shared" si="8"/>
        <v/>
      </c>
      <c r="M75" s="5" t="str">
        <f t="shared" ref="M75:M88" si="12">IF($A75&lt;=L$6,M74+0.5,"")</f>
        <v/>
      </c>
      <c r="N75" s="31" t="str">
        <f>IF(A75&gt;L$6,"",splint(G$9:G$21,H$9:$H87,I$9:I$21,M75))</f>
        <v/>
      </c>
      <c r="O75" s="5" t="str">
        <f t="shared" si="10"/>
        <v/>
      </c>
      <c r="P75"/>
      <c r="Q75"/>
      <c r="R75"/>
    </row>
    <row r="76" spans="1:18" x14ac:dyDescent="0.3">
      <c r="A76" s="4">
        <f t="shared" si="11"/>
        <v>68</v>
      </c>
      <c r="G76"/>
      <c r="H76"/>
      <c r="I76"/>
      <c r="J76"/>
      <c r="K76" s="4" t="str">
        <f t="shared" si="9"/>
        <v/>
      </c>
      <c r="L76" s="4" t="str">
        <f t="shared" si="8"/>
        <v/>
      </c>
      <c r="M76" s="5" t="str">
        <f t="shared" si="12"/>
        <v/>
      </c>
      <c r="N76" s="31" t="str">
        <f>IF(A76&gt;L$6,"",splint(G$9:G$21,H$9:$H88,I$9:I$21,M76))</f>
        <v/>
      </c>
      <c r="O76" s="5" t="str">
        <f t="shared" si="10"/>
        <v/>
      </c>
      <c r="P76"/>
      <c r="Q76"/>
      <c r="R76"/>
    </row>
    <row r="77" spans="1:18" x14ac:dyDescent="0.3">
      <c r="A77" s="4">
        <f t="shared" si="11"/>
        <v>69</v>
      </c>
      <c r="G77"/>
      <c r="H77"/>
      <c r="I77"/>
      <c r="J77"/>
      <c r="K77" s="4" t="str">
        <f t="shared" si="9"/>
        <v/>
      </c>
      <c r="L77" s="4" t="str">
        <f t="shared" si="8"/>
        <v/>
      </c>
      <c r="M77" s="5" t="str">
        <f t="shared" si="12"/>
        <v/>
      </c>
      <c r="N77" s="31" t="str">
        <f>IF(A77&gt;L$6,"",splint(G$9:G$21,H$9:$H89,I$9:I$21,M77))</f>
        <v/>
      </c>
      <c r="O77" s="5" t="str">
        <f t="shared" si="10"/>
        <v/>
      </c>
      <c r="P77"/>
      <c r="Q77"/>
      <c r="R77"/>
    </row>
    <row r="78" spans="1:18" x14ac:dyDescent="0.3">
      <c r="A78" s="4">
        <f t="shared" si="11"/>
        <v>70</v>
      </c>
      <c r="G78"/>
      <c r="H78"/>
      <c r="I78"/>
      <c r="J78"/>
      <c r="K78" s="4" t="str">
        <f t="shared" si="9"/>
        <v/>
      </c>
      <c r="L78" s="4" t="str">
        <f t="shared" si="8"/>
        <v/>
      </c>
      <c r="M78" s="5" t="str">
        <f t="shared" si="12"/>
        <v/>
      </c>
      <c r="N78" s="31" t="str">
        <f>IF(A78&gt;L$6,"",splint(G$9:G$21,H$9:$H90,I$9:I$21,M78))</f>
        <v/>
      </c>
      <c r="O78" s="5" t="str">
        <f t="shared" si="10"/>
        <v/>
      </c>
      <c r="P78"/>
      <c r="Q78"/>
      <c r="R78"/>
    </row>
    <row r="79" spans="1:18" x14ac:dyDescent="0.3">
      <c r="A79" s="4">
        <f t="shared" si="11"/>
        <v>71</v>
      </c>
      <c r="G79"/>
      <c r="H79"/>
      <c r="I79"/>
      <c r="J79"/>
      <c r="K79" s="4" t="str">
        <f t="shared" si="9"/>
        <v/>
      </c>
      <c r="L79" s="4" t="str">
        <f t="shared" si="8"/>
        <v/>
      </c>
      <c r="M79" s="5" t="str">
        <f t="shared" si="12"/>
        <v/>
      </c>
      <c r="N79" s="31" t="str">
        <f>IF(A79&gt;L$6,"",splint(G$9:G$21,H$9:$H91,I$9:I$21,M79))</f>
        <v/>
      </c>
      <c r="O79" s="5" t="str">
        <f t="shared" si="10"/>
        <v/>
      </c>
      <c r="P79"/>
      <c r="Q79"/>
      <c r="R79"/>
    </row>
    <row r="80" spans="1:18" x14ac:dyDescent="0.3">
      <c r="A80" s="4">
        <f t="shared" si="11"/>
        <v>72</v>
      </c>
      <c r="G80"/>
      <c r="H80"/>
      <c r="I80"/>
      <c r="J80"/>
      <c r="K80" s="4" t="str">
        <f t="shared" si="9"/>
        <v/>
      </c>
      <c r="L80" s="4" t="str">
        <f t="shared" si="8"/>
        <v/>
      </c>
      <c r="M80" s="5" t="str">
        <f t="shared" si="12"/>
        <v/>
      </c>
      <c r="N80" s="31" t="str">
        <f>IF(A80&gt;L$6,"",splint(G$9:G$21,H$9:$H92,I$9:I$21,M80))</f>
        <v/>
      </c>
      <c r="O80" s="5" t="str">
        <f t="shared" si="10"/>
        <v/>
      </c>
      <c r="P80"/>
      <c r="Q80"/>
      <c r="R80"/>
    </row>
    <row r="81" spans="1:18" x14ac:dyDescent="0.3">
      <c r="A81" s="4">
        <f t="shared" si="11"/>
        <v>73</v>
      </c>
      <c r="G81"/>
      <c r="H81"/>
      <c r="I81"/>
      <c r="J81"/>
      <c r="K81" s="4" t="str">
        <f t="shared" si="9"/>
        <v/>
      </c>
      <c r="L81" s="4" t="str">
        <f t="shared" si="8"/>
        <v/>
      </c>
      <c r="M81" s="5" t="str">
        <f t="shared" si="12"/>
        <v/>
      </c>
      <c r="N81" s="31" t="str">
        <f>IF(A81&gt;L$6,"",splint(G$9:G$21,H$9:$H93,I$9:I$21,M81))</f>
        <v/>
      </c>
      <c r="O81" s="5" t="str">
        <f t="shared" si="10"/>
        <v/>
      </c>
      <c r="P81"/>
      <c r="Q81"/>
      <c r="R81"/>
    </row>
    <row r="82" spans="1:18" x14ac:dyDescent="0.3">
      <c r="A82" s="4">
        <f t="shared" si="11"/>
        <v>74</v>
      </c>
      <c r="G82"/>
      <c r="H82"/>
      <c r="I82"/>
      <c r="J82"/>
      <c r="K82" s="4" t="str">
        <f t="shared" si="9"/>
        <v/>
      </c>
      <c r="L82" s="4" t="str">
        <f t="shared" si="8"/>
        <v/>
      </c>
      <c r="M82" s="5" t="str">
        <f t="shared" si="12"/>
        <v/>
      </c>
      <c r="N82" s="31" t="str">
        <f>IF(A82&gt;L$6,"",splint(G$9:G$21,H$9:$H94,I$9:I$21,M82))</f>
        <v/>
      </c>
      <c r="O82" s="5" t="str">
        <f t="shared" si="10"/>
        <v/>
      </c>
      <c r="P82"/>
      <c r="Q82"/>
      <c r="R82"/>
    </row>
    <row r="83" spans="1:18" x14ac:dyDescent="0.3">
      <c r="A83" s="4">
        <f t="shared" si="11"/>
        <v>75</v>
      </c>
      <c r="G83"/>
      <c r="H83"/>
      <c r="I83"/>
      <c r="J83"/>
      <c r="K83" s="4" t="str">
        <f t="shared" si="9"/>
        <v/>
      </c>
      <c r="L83" s="4" t="str">
        <f t="shared" si="8"/>
        <v/>
      </c>
      <c r="M83" s="5" t="str">
        <f t="shared" si="12"/>
        <v/>
      </c>
      <c r="N83" s="31" t="str">
        <f>IF(A83&gt;L$6,"",splint(G$9:G$21,H$9:$H95,I$9:I$21,M83))</f>
        <v/>
      </c>
      <c r="O83" s="5" t="str">
        <f t="shared" si="10"/>
        <v/>
      </c>
      <c r="P83"/>
      <c r="Q83"/>
      <c r="R83"/>
    </row>
    <row r="84" spans="1:18" x14ac:dyDescent="0.3">
      <c r="A84" s="4">
        <f t="shared" si="11"/>
        <v>76</v>
      </c>
      <c r="G84"/>
      <c r="H84"/>
      <c r="I84"/>
      <c r="J84"/>
      <c r="K84" s="4" t="str">
        <f t="shared" si="9"/>
        <v/>
      </c>
      <c r="L84" s="4" t="str">
        <f t="shared" si="8"/>
        <v/>
      </c>
      <c r="M84" s="5" t="str">
        <f t="shared" si="12"/>
        <v/>
      </c>
      <c r="N84" s="31" t="str">
        <f>IF(A84&gt;L$6,"",splint(G$9:G$21,H$9:$H96,I$9:I$21,M84))</f>
        <v/>
      </c>
      <c r="O84" s="5" t="str">
        <f t="shared" si="10"/>
        <v/>
      </c>
      <c r="P84"/>
      <c r="Q84"/>
      <c r="R84"/>
    </row>
    <row r="85" spans="1:18" x14ac:dyDescent="0.3">
      <c r="A85" s="4">
        <f t="shared" si="11"/>
        <v>77</v>
      </c>
      <c r="G85"/>
      <c r="H85"/>
      <c r="I85"/>
      <c r="J85"/>
      <c r="K85" s="4" t="str">
        <f t="shared" si="9"/>
        <v/>
      </c>
      <c r="L85" s="4" t="str">
        <f t="shared" si="8"/>
        <v/>
      </c>
      <c r="M85" s="5" t="str">
        <f t="shared" si="12"/>
        <v/>
      </c>
      <c r="N85" s="31" t="str">
        <f>IF(A85&gt;L$6,"",splint(G$9:G$21,H$9:$H97,I$9:I$21,M85))</f>
        <v/>
      </c>
      <c r="O85" s="5" t="str">
        <f t="shared" si="10"/>
        <v/>
      </c>
      <c r="P85"/>
      <c r="Q85"/>
      <c r="R85"/>
    </row>
    <row r="86" spans="1:18" x14ac:dyDescent="0.3">
      <c r="A86" s="4">
        <f t="shared" si="11"/>
        <v>78</v>
      </c>
      <c r="J86"/>
      <c r="K86" s="4" t="str">
        <f t="shared" si="9"/>
        <v/>
      </c>
      <c r="L86" s="4" t="str">
        <f t="shared" si="8"/>
        <v/>
      </c>
      <c r="M86" s="5" t="str">
        <f t="shared" si="12"/>
        <v/>
      </c>
      <c r="N86" s="31" t="str">
        <f>IF(A86&gt;L$6,"",splint(G$9:G$21,H$9:$H98,I$9:I$21,M86))</f>
        <v/>
      </c>
      <c r="O86" s="5" t="str">
        <f t="shared" si="10"/>
        <v/>
      </c>
      <c r="P86"/>
      <c r="Q86"/>
      <c r="R86"/>
    </row>
    <row r="87" spans="1:18" x14ac:dyDescent="0.3">
      <c r="A87" s="4">
        <f t="shared" si="11"/>
        <v>79</v>
      </c>
      <c r="K87" s="4" t="str">
        <f t="shared" si="9"/>
        <v/>
      </c>
      <c r="L87" s="4" t="str">
        <f t="shared" si="8"/>
        <v/>
      </c>
      <c r="M87" s="5" t="str">
        <f t="shared" si="12"/>
        <v/>
      </c>
      <c r="N87" s="31" t="str">
        <f>IF(A87&gt;L$6,"",splint(G$9:G$21,H$9:$H99,I$9:I$21,M87))</f>
        <v/>
      </c>
      <c r="O87" s="5" t="str">
        <f t="shared" si="10"/>
        <v/>
      </c>
      <c r="P87"/>
      <c r="Q87"/>
    </row>
    <row r="88" spans="1:18" x14ac:dyDescent="0.3">
      <c r="A88" s="4">
        <f t="shared" si="11"/>
        <v>80</v>
      </c>
      <c r="K88" s="4" t="str">
        <f t="shared" si="9"/>
        <v/>
      </c>
      <c r="L88" s="4" t="str">
        <f t="shared" si="8"/>
        <v/>
      </c>
      <c r="M88" s="5" t="str">
        <f t="shared" si="12"/>
        <v/>
      </c>
      <c r="N88" s="31" t="str">
        <f>IF(A88&gt;L$6,"",splint(G$9:G$21,H$9:$H100,I$9:I$21,M88))</f>
        <v/>
      </c>
      <c r="O88" s="5" t="str">
        <f t="shared" si="10"/>
        <v/>
      </c>
    </row>
    <row r="89" spans="1:18" x14ac:dyDescent="0.3">
      <c r="K89" s="4" t="str">
        <f>IF($A88&gt;L$6,"",K88+1)</f>
        <v/>
      </c>
    </row>
  </sheetData>
  <phoneticPr fontId="1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DCF8A-2BBF-42F9-B5C5-9D5389A75A40}">
  <sheetPr codeName="Sheet14"/>
  <dimension ref="A1:N163"/>
  <sheetViews>
    <sheetView topLeftCell="A134" zoomScale="88" zoomScaleNormal="85" workbookViewId="0">
      <selection activeCell="B157" sqref="B157"/>
    </sheetView>
  </sheetViews>
  <sheetFormatPr defaultColWidth="15.54296875" defaultRowHeight="15.5" x14ac:dyDescent="0.35"/>
  <cols>
    <col min="1" max="1" width="20.26953125" style="76" customWidth="1"/>
    <col min="2" max="2" width="16.54296875" style="76" customWidth="1"/>
    <col min="3" max="4" width="21.453125" style="76" bestFit="1" customWidth="1"/>
    <col min="5" max="5" width="15" style="76" bestFit="1" customWidth="1"/>
    <col min="6" max="6" width="17" style="76" bestFit="1" customWidth="1"/>
    <col min="7" max="7" width="15" style="76" bestFit="1" customWidth="1"/>
    <col min="8" max="16384" width="15.54296875" style="76"/>
  </cols>
  <sheetData>
    <row r="1" spans="1:13" s="74" customFormat="1" x14ac:dyDescent="0.25">
      <c r="A1" s="209" t="s">
        <v>277</v>
      </c>
      <c r="B1" s="209"/>
      <c r="C1" s="209"/>
      <c r="D1" s="209"/>
      <c r="E1" s="209"/>
      <c r="F1" s="209"/>
      <c r="G1" s="209"/>
      <c r="H1" s="209"/>
      <c r="I1" s="209"/>
      <c r="J1" s="209"/>
      <c r="K1" s="209"/>
      <c r="L1" s="209"/>
      <c r="M1" s="209"/>
    </row>
    <row r="2" spans="1:13" s="74" customFormat="1" x14ac:dyDescent="0.25">
      <c r="A2" s="214" t="s">
        <v>126</v>
      </c>
      <c r="B2" s="214"/>
      <c r="C2" s="214"/>
      <c r="D2" s="214"/>
      <c r="E2" s="214"/>
      <c r="F2" s="214"/>
      <c r="G2" s="214"/>
      <c r="H2" s="214"/>
      <c r="I2" s="214"/>
      <c r="J2" s="214"/>
      <c r="K2" s="214"/>
      <c r="L2" s="214"/>
      <c r="M2" s="214"/>
    </row>
    <row r="4" spans="1:13" x14ac:dyDescent="0.35">
      <c r="A4" s="98" t="s">
        <v>127</v>
      </c>
      <c r="B4" s="98" t="s">
        <v>128</v>
      </c>
      <c r="C4" s="98" t="s">
        <v>129</v>
      </c>
    </row>
    <row r="5" spans="1:13" x14ac:dyDescent="0.35">
      <c r="A5" s="75">
        <v>1</v>
      </c>
      <c r="B5" s="75">
        <v>0.5</v>
      </c>
      <c r="C5" s="77">
        <v>4.061E-2</v>
      </c>
    </row>
    <row r="6" spans="1:13" x14ac:dyDescent="0.35">
      <c r="A6" s="75">
        <v>2</v>
      </c>
      <c r="B6" s="75">
        <v>1</v>
      </c>
      <c r="C6" s="77">
        <v>4.19E-2</v>
      </c>
    </row>
    <row r="7" spans="1:13" x14ac:dyDescent="0.35">
      <c r="A7" s="75">
        <v>3</v>
      </c>
      <c r="B7" s="75">
        <v>2</v>
      </c>
      <c r="C7" s="77">
        <v>3.6859999999999997E-2</v>
      </c>
    </row>
    <row r="8" spans="1:13" x14ac:dyDescent="0.35">
      <c r="A8" s="75">
        <v>4</v>
      </c>
      <c r="B8" s="75">
        <v>3</v>
      </c>
      <c r="C8" s="77">
        <v>3.3550000000000003E-2</v>
      </c>
    </row>
    <row r="9" spans="1:13" x14ac:dyDescent="0.35">
      <c r="A9" s="75">
        <v>5</v>
      </c>
      <c r="B9" s="75">
        <v>5</v>
      </c>
      <c r="C9" s="77">
        <v>3.073E-2</v>
      </c>
    </row>
    <row r="10" spans="1:13" x14ac:dyDescent="0.35">
      <c r="A10" s="75">
        <v>6</v>
      </c>
      <c r="B10" s="75">
        <v>7</v>
      </c>
      <c r="C10" s="77">
        <v>2.9860000000000001E-2</v>
      </c>
    </row>
    <row r="11" spans="1:13" x14ac:dyDescent="0.35">
      <c r="A11" s="75">
        <v>7</v>
      </c>
      <c r="B11" s="75">
        <v>10</v>
      </c>
      <c r="C11" s="77">
        <v>2.8729999999999999E-2</v>
      </c>
    </row>
    <row r="12" spans="1:13" x14ac:dyDescent="0.35">
      <c r="A12" s="75">
        <v>8</v>
      </c>
      <c r="B12" s="75">
        <v>30</v>
      </c>
      <c r="C12" s="77">
        <v>2.6550000000000001E-2</v>
      </c>
    </row>
    <row r="14" spans="1:13" x14ac:dyDescent="0.35">
      <c r="A14" s="209" t="s">
        <v>130</v>
      </c>
      <c r="B14" s="209"/>
      <c r="C14" s="209"/>
      <c r="D14" s="209"/>
      <c r="E14" s="209"/>
      <c r="F14" s="209"/>
      <c r="G14" s="209"/>
      <c r="H14" s="209"/>
      <c r="I14" s="209"/>
      <c r="J14" s="209"/>
      <c r="K14" s="209"/>
      <c r="L14" s="209"/>
      <c r="M14" s="209"/>
    </row>
    <row r="15" spans="1:13" x14ac:dyDescent="0.35">
      <c r="A15" s="209" t="s">
        <v>131</v>
      </c>
      <c r="B15" s="209"/>
      <c r="C15" s="209"/>
      <c r="D15" s="209"/>
      <c r="E15" s="209"/>
      <c r="F15" s="209"/>
      <c r="G15" s="209"/>
      <c r="H15" s="209"/>
      <c r="I15" s="209"/>
      <c r="J15" s="209"/>
      <c r="K15" s="209"/>
      <c r="L15" s="209"/>
      <c r="M15" s="209"/>
    </row>
    <row r="16" spans="1:13" x14ac:dyDescent="0.35">
      <c r="F16" s="179" t="s">
        <v>301</v>
      </c>
      <c r="G16" s="179" t="s">
        <v>302</v>
      </c>
    </row>
    <row r="17" spans="1:13" x14ac:dyDescent="0.35">
      <c r="B17" s="98" t="s">
        <v>132</v>
      </c>
      <c r="C17" s="98" t="s">
        <v>133</v>
      </c>
      <c r="E17" s="99" t="s">
        <v>127</v>
      </c>
      <c r="F17" s="99" t="s">
        <v>128</v>
      </c>
      <c r="G17" s="99" t="s">
        <v>129</v>
      </c>
    </row>
    <row r="18" spans="1:13" x14ac:dyDescent="0.35">
      <c r="A18" s="76">
        <v>1</v>
      </c>
      <c r="B18" s="123">
        <v>5.5E-2</v>
      </c>
      <c r="C18" s="75">
        <v>0.8</v>
      </c>
      <c r="E18" s="96">
        <f t="shared" ref="E18:G22" si="0">A5</f>
        <v>1</v>
      </c>
      <c r="F18" s="96">
        <f t="shared" si="0"/>
        <v>0.5</v>
      </c>
      <c r="G18" s="97">
        <f t="shared" si="0"/>
        <v>4.061E-2</v>
      </c>
    </row>
    <row r="19" spans="1:13" x14ac:dyDescent="0.35">
      <c r="A19" s="76">
        <f>A18+1</f>
        <v>2</v>
      </c>
      <c r="B19" s="123">
        <v>4.4999999999999998E-2</v>
      </c>
      <c r="C19" s="75">
        <v>1.7</v>
      </c>
      <c r="E19" s="96">
        <f t="shared" si="0"/>
        <v>2</v>
      </c>
      <c r="F19" s="96">
        <f t="shared" si="0"/>
        <v>1</v>
      </c>
      <c r="G19" s="97">
        <f t="shared" si="0"/>
        <v>4.19E-2</v>
      </c>
    </row>
    <row r="20" spans="1:13" x14ac:dyDescent="0.35">
      <c r="A20" s="76">
        <f t="shared" ref="A20:A23" si="1">A19+1</f>
        <v>3</v>
      </c>
      <c r="B20" s="123">
        <v>5.2499999999999998E-2</v>
      </c>
      <c r="C20" s="75">
        <v>2.25</v>
      </c>
      <c r="E20" s="96">
        <f t="shared" si="0"/>
        <v>3</v>
      </c>
      <c r="F20" s="96">
        <f t="shared" si="0"/>
        <v>2</v>
      </c>
      <c r="G20" s="97">
        <f t="shared" si="0"/>
        <v>3.6859999999999997E-2</v>
      </c>
    </row>
    <row r="21" spans="1:13" x14ac:dyDescent="0.35">
      <c r="A21" s="76">
        <f t="shared" si="1"/>
        <v>4</v>
      </c>
      <c r="B21" s="123">
        <v>4.7500000000000001E-2</v>
      </c>
      <c r="C21" s="75">
        <v>3.5</v>
      </c>
      <c r="E21" s="96">
        <f t="shared" si="0"/>
        <v>4</v>
      </c>
      <c r="F21" s="96">
        <f t="shared" si="0"/>
        <v>3</v>
      </c>
      <c r="G21" s="97">
        <f t="shared" si="0"/>
        <v>3.3550000000000003E-2</v>
      </c>
    </row>
    <row r="22" spans="1:13" x14ac:dyDescent="0.35">
      <c r="A22" s="76">
        <f t="shared" si="1"/>
        <v>5</v>
      </c>
      <c r="B22" s="123">
        <v>4.2500000000000003E-2</v>
      </c>
      <c r="C22" s="75">
        <v>4.75</v>
      </c>
      <c r="E22" s="96">
        <f t="shared" si="0"/>
        <v>5</v>
      </c>
      <c r="F22" s="96">
        <f t="shared" si="0"/>
        <v>5</v>
      </c>
      <c r="G22" s="97">
        <f t="shared" si="0"/>
        <v>3.073E-2</v>
      </c>
    </row>
    <row r="23" spans="1:13" x14ac:dyDescent="0.35">
      <c r="A23" s="76">
        <f t="shared" si="1"/>
        <v>6</v>
      </c>
      <c r="B23" s="123">
        <v>5.7500000000000002E-2</v>
      </c>
      <c r="C23" s="75">
        <v>5.25</v>
      </c>
      <c r="E23" s="96">
        <f t="shared" ref="E23" si="2">A10</f>
        <v>6</v>
      </c>
      <c r="F23" s="96">
        <f t="shared" ref="F23" si="3">B10</f>
        <v>7</v>
      </c>
      <c r="G23" s="97">
        <f t="shared" ref="G23" si="4">C10</f>
        <v>2.9860000000000001E-2</v>
      </c>
    </row>
    <row r="25" spans="1:13" x14ac:dyDescent="0.35">
      <c r="A25" s="209" t="s">
        <v>135</v>
      </c>
      <c r="B25" s="209"/>
      <c r="C25" s="209"/>
      <c r="D25" s="209"/>
      <c r="E25" s="209"/>
      <c r="F25" s="209"/>
      <c r="G25" s="209"/>
      <c r="H25" s="209"/>
      <c r="I25" s="209"/>
      <c r="J25" s="209"/>
      <c r="K25" s="209"/>
      <c r="L25" s="209"/>
      <c r="M25" s="209"/>
    </row>
    <row r="27" spans="1:13" x14ac:dyDescent="0.35">
      <c r="A27" s="133" t="s">
        <v>121</v>
      </c>
      <c r="B27" s="133" t="s">
        <v>278</v>
      </c>
      <c r="C27" s="133" t="s">
        <v>133</v>
      </c>
      <c r="D27" s="133" t="s">
        <v>118</v>
      </c>
      <c r="E27" s="133" t="s">
        <v>114</v>
      </c>
      <c r="F27" s="180" t="s">
        <v>119</v>
      </c>
    </row>
    <row r="28" spans="1:13" x14ac:dyDescent="0.35">
      <c r="A28" s="133">
        <v>1</v>
      </c>
      <c r="B28" s="181">
        <f t="shared" ref="B28:C33" si="5">B18</f>
        <v>5.5E-2</v>
      </c>
      <c r="C28" s="182">
        <f t="shared" si="5"/>
        <v>0.8</v>
      </c>
      <c r="D28" s="128">
        <v>100</v>
      </c>
      <c r="E28" s="133">
        <v>2</v>
      </c>
      <c r="F28" s="183" cm="1">
        <f t="array" ref="F28">Bond_ZeroRates(D28,C28,B28,E28,$F$18:$F$23,$G$18:$G$23)</f>
        <v>102.15455359263454</v>
      </c>
    </row>
    <row r="29" spans="1:13" x14ac:dyDescent="0.35">
      <c r="A29" s="133">
        <v>2</v>
      </c>
      <c r="B29" s="181">
        <f t="shared" si="5"/>
        <v>4.4999999999999998E-2</v>
      </c>
      <c r="C29" s="182">
        <f t="shared" si="5"/>
        <v>1.7</v>
      </c>
      <c r="D29" s="128">
        <f>D28</f>
        <v>100</v>
      </c>
      <c r="E29" s="133">
        <f>E28</f>
        <v>2</v>
      </c>
      <c r="F29" s="183" cm="1">
        <f t="array" ref="F29">Bond_ZeroRates(D29,C29,B29,E29,$F$18:$F$23,$G$18:$G$23)</f>
        <v>102.41417719440751</v>
      </c>
    </row>
    <row r="30" spans="1:13" x14ac:dyDescent="0.35">
      <c r="A30" s="133">
        <v>3</v>
      </c>
      <c r="B30" s="181">
        <f t="shared" si="5"/>
        <v>5.2499999999999998E-2</v>
      </c>
      <c r="C30" s="182">
        <f t="shared" si="5"/>
        <v>2.25</v>
      </c>
      <c r="D30" s="128">
        <f t="shared" ref="D30:D33" si="6">D29</f>
        <v>100</v>
      </c>
      <c r="E30" s="133">
        <f t="shared" ref="E30:E33" si="7">E29</f>
        <v>2</v>
      </c>
      <c r="F30" s="183" cm="1">
        <f t="array" ref="F30">Bond_ZeroRates(D30,C30,B30,E30,$F$18:$F$23,$G$18:$G$23)</f>
        <v>104.79949091045589</v>
      </c>
    </row>
    <row r="31" spans="1:13" x14ac:dyDescent="0.35">
      <c r="A31" s="133">
        <v>4</v>
      </c>
      <c r="B31" s="181">
        <f t="shared" si="5"/>
        <v>4.7500000000000001E-2</v>
      </c>
      <c r="C31" s="182">
        <f t="shared" si="5"/>
        <v>3.5</v>
      </c>
      <c r="D31" s="128">
        <f t="shared" si="6"/>
        <v>100</v>
      </c>
      <c r="E31" s="133">
        <f t="shared" si="7"/>
        <v>2</v>
      </c>
      <c r="F31" s="183" cm="1">
        <f t="array" ref="F31">Bond_ZeroRates(D31,C31,B31,E31,$F$18:$F$23,$G$18:$G$23)</f>
        <v>104.72271069826341</v>
      </c>
    </row>
    <row r="32" spans="1:13" x14ac:dyDescent="0.35">
      <c r="A32" s="133">
        <v>5</v>
      </c>
      <c r="B32" s="181">
        <f t="shared" si="5"/>
        <v>4.2500000000000003E-2</v>
      </c>
      <c r="C32" s="182">
        <f t="shared" si="5"/>
        <v>4.75</v>
      </c>
      <c r="D32" s="128">
        <f t="shared" si="6"/>
        <v>100</v>
      </c>
      <c r="E32" s="133">
        <f t="shared" si="7"/>
        <v>2</v>
      </c>
      <c r="F32" s="183" cm="1">
        <f t="array" ref="F32">Bond_ZeroRates(D32,C32,B32,E32,$F$18:$F$23,$G$18:$G$23)</f>
        <v>105.92863658616533</v>
      </c>
    </row>
    <row r="33" spans="1:14" x14ac:dyDescent="0.35">
      <c r="A33" s="133">
        <v>6</v>
      </c>
      <c r="B33" s="181">
        <f t="shared" si="5"/>
        <v>5.7500000000000002E-2</v>
      </c>
      <c r="C33" s="182">
        <f t="shared" si="5"/>
        <v>5.25</v>
      </c>
      <c r="D33" s="128">
        <f t="shared" si="6"/>
        <v>100</v>
      </c>
      <c r="E33" s="133">
        <f t="shared" si="7"/>
        <v>2</v>
      </c>
      <c r="F33" s="183" cm="1">
        <f t="array" ref="F33">Bond_ZeroRates(D33,C33,B33,E33,$F$18:$F$23,$G$18:$G$23)</f>
        <v>114.16328357472554</v>
      </c>
    </row>
    <row r="36" spans="1:14" x14ac:dyDescent="0.35">
      <c r="A36" s="209" t="s">
        <v>303</v>
      </c>
      <c r="B36" s="209"/>
      <c r="C36" s="209"/>
      <c r="D36" s="209"/>
      <c r="E36" s="209"/>
      <c r="F36" s="209"/>
      <c r="G36" s="209"/>
      <c r="H36" s="209"/>
      <c r="I36" s="209"/>
      <c r="J36" s="209"/>
      <c r="K36" s="209"/>
      <c r="L36" s="209"/>
      <c r="M36" s="209"/>
    </row>
    <row r="38" spans="1:14" x14ac:dyDescent="0.35">
      <c r="C38" s="81" t="s">
        <v>136</v>
      </c>
      <c r="D38" s="75">
        <v>1E-4</v>
      </c>
      <c r="E38" s="75">
        <v>-1E-4</v>
      </c>
    </row>
    <row r="39" spans="1:14" x14ac:dyDescent="0.35">
      <c r="C39" s="215" t="s">
        <v>280</v>
      </c>
      <c r="D39" s="215"/>
      <c r="E39" s="215"/>
      <c r="F39" s="215"/>
      <c r="G39" s="215"/>
      <c r="H39" s="215"/>
      <c r="I39" s="215"/>
      <c r="J39" s="215"/>
      <c r="K39" s="215"/>
      <c r="L39" s="215"/>
    </row>
    <row r="40" spans="1:14" x14ac:dyDescent="0.35">
      <c r="C40" s="210">
        <v>1</v>
      </c>
      <c r="D40" s="210"/>
      <c r="E40" s="210">
        <v>2</v>
      </c>
      <c r="F40" s="210"/>
      <c r="G40" s="210">
        <v>3</v>
      </c>
      <c r="H40" s="210"/>
      <c r="I40" s="210">
        <v>4</v>
      </c>
      <c r="J40" s="210"/>
      <c r="K40" s="210">
        <v>5</v>
      </c>
      <c r="L40" s="210"/>
      <c r="M40" s="210">
        <v>6</v>
      </c>
      <c r="N40" s="210"/>
    </row>
    <row r="41" spans="1:14" x14ac:dyDescent="0.35">
      <c r="A41" s="81" t="s">
        <v>137</v>
      </c>
      <c r="B41" s="81" t="s">
        <v>166</v>
      </c>
      <c r="C41" s="126" t="s">
        <v>308</v>
      </c>
      <c r="D41" s="126" t="s">
        <v>309</v>
      </c>
      <c r="E41" s="126" t="s">
        <v>308</v>
      </c>
      <c r="F41" s="126" t="s">
        <v>309</v>
      </c>
      <c r="G41" s="126" t="s">
        <v>308</v>
      </c>
      <c r="H41" s="126" t="s">
        <v>309</v>
      </c>
      <c r="I41" s="126" t="s">
        <v>308</v>
      </c>
      <c r="J41" s="126" t="s">
        <v>309</v>
      </c>
      <c r="K41" s="126" t="s">
        <v>308</v>
      </c>
      <c r="L41" s="126" t="s">
        <v>309</v>
      </c>
      <c r="M41" s="126" t="s">
        <v>308</v>
      </c>
      <c r="N41" s="126" t="s">
        <v>309</v>
      </c>
    </row>
    <row r="42" spans="1:14" x14ac:dyDescent="0.35">
      <c r="A42" s="76" cm="1">
        <f t="array" ref="A42:A47">F18:F23</f>
        <v>0.5</v>
      </c>
      <c r="B42" s="76" cm="1">
        <f t="array" ref="B42:B47">E18:E23</f>
        <v>1</v>
      </c>
      <c r="C42" s="129">
        <f>G18+1*$D$38</f>
        <v>4.0710000000000003E-2</v>
      </c>
      <c r="D42" s="129">
        <f>G18+1*$E$38</f>
        <v>4.0509999999999997E-2</v>
      </c>
      <c r="E42" s="130">
        <f t="shared" ref="E42:N42" si="8">$G$18</f>
        <v>4.061E-2</v>
      </c>
      <c r="F42" s="130">
        <f t="shared" si="8"/>
        <v>4.061E-2</v>
      </c>
      <c r="G42" s="130">
        <f t="shared" si="8"/>
        <v>4.061E-2</v>
      </c>
      <c r="H42" s="130">
        <f t="shared" si="8"/>
        <v>4.061E-2</v>
      </c>
      <c r="I42" s="130">
        <f t="shared" si="8"/>
        <v>4.061E-2</v>
      </c>
      <c r="J42" s="130">
        <f t="shared" si="8"/>
        <v>4.061E-2</v>
      </c>
      <c r="K42" s="130">
        <f t="shared" si="8"/>
        <v>4.061E-2</v>
      </c>
      <c r="L42" s="130">
        <f t="shared" si="8"/>
        <v>4.061E-2</v>
      </c>
      <c r="M42" s="130">
        <f>$G$18</f>
        <v>4.061E-2</v>
      </c>
      <c r="N42" s="130">
        <f t="shared" si="8"/>
        <v>4.061E-2</v>
      </c>
    </row>
    <row r="43" spans="1:14" x14ac:dyDescent="0.35">
      <c r="A43" s="76">
        <v>1</v>
      </c>
      <c r="B43" s="76">
        <v>2</v>
      </c>
      <c r="C43" s="130">
        <f>G19</f>
        <v>4.19E-2</v>
      </c>
      <c r="D43" s="130">
        <f>G19</f>
        <v>4.19E-2</v>
      </c>
      <c r="E43" s="129">
        <f>$G$19+1*shock</f>
        <v>4.2000000000000003E-2</v>
      </c>
      <c r="F43" s="129">
        <f>$G$19+1*E38</f>
        <v>4.1799999999999997E-2</v>
      </c>
      <c r="G43" s="130">
        <f t="shared" ref="G43:N43" si="9">$G$19</f>
        <v>4.19E-2</v>
      </c>
      <c r="H43" s="130">
        <f t="shared" si="9"/>
        <v>4.19E-2</v>
      </c>
      <c r="I43" s="130">
        <f t="shared" si="9"/>
        <v>4.19E-2</v>
      </c>
      <c r="J43" s="130">
        <f t="shared" si="9"/>
        <v>4.19E-2</v>
      </c>
      <c r="K43" s="130">
        <f t="shared" si="9"/>
        <v>4.19E-2</v>
      </c>
      <c r="L43" s="130">
        <f t="shared" si="9"/>
        <v>4.19E-2</v>
      </c>
      <c r="M43" s="130">
        <f t="shared" si="9"/>
        <v>4.19E-2</v>
      </c>
      <c r="N43" s="130">
        <f t="shared" si="9"/>
        <v>4.19E-2</v>
      </c>
    </row>
    <row r="44" spans="1:14" x14ac:dyDescent="0.35">
      <c r="A44" s="76">
        <v>2</v>
      </c>
      <c r="B44" s="76">
        <v>3</v>
      </c>
      <c r="C44" s="130">
        <f t="shared" ref="C44:C47" si="10">G20</f>
        <v>3.6859999999999997E-2</v>
      </c>
      <c r="D44" s="130">
        <f t="shared" ref="D44:D47" si="11">G20</f>
        <v>3.6859999999999997E-2</v>
      </c>
      <c r="E44" s="130">
        <f>$G$20</f>
        <v>3.6859999999999997E-2</v>
      </c>
      <c r="F44" s="130">
        <f>$G$20</f>
        <v>3.6859999999999997E-2</v>
      </c>
      <c r="G44" s="129">
        <f>$G$20+1*shock</f>
        <v>3.696E-2</v>
      </c>
      <c r="H44" s="129">
        <f>$G$20+1*E38</f>
        <v>3.6759999999999994E-2</v>
      </c>
      <c r="I44" s="130">
        <f t="shared" ref="I44:N44" si="12">$G$20</f>
        <v>3.6859999999999997E-2</v>
      </c>
      <c r="J44" s="130">
        <f t="shared" si="12"/>
        <v>3.6859999999999997E-2</v>
      </c>
      <c r="K44" s="130">
        <f t="shared" si="12"/>
        <v>3.6859999999999997E-2</v>
      </c>
      <c r="L44" s="130">
        <f t="shared" si="12"/>
        <v>3.6859999999999997E-2</v>
      </c>
      <c r="M44" s="130">
        <f t="shared" si="12"/>
        <v>3.6859999999999997E-2</v>
      </c>
      <c r="N44" s="130">
        <f t="shared" si="12"/>
        <v>3.6859999999999997E-2</v>
      </c>
    </row>
    <row r="45" spans="1:14" x14ac:dyDescent="0.35">
      <c r="A45" s="76">
        <v>3</v>
      </c>
      <c r="B45" s="76">
        <v>4</v>
      </c>
      <c r="C45" s="130">
        <f t="shared" si="10"/>
        <v>3.3550000000000003E-2</v>
      </c>
      <c r="D45" s="130">
        <f t="shared" si="11"/>
        <v>3.3550000000000003E-2</v>
      </c>
      <c r="E45" s="130">
        <f>$G$21</f>
        <v>3.3550000000000003E-2</v>
      </c>
      <c r="F45" s="130">
        <f>$G$21</f>
        <v>3.3550000000000003E-2</v>
      </c>
      <c r="G45" s="130">
        <f>$G$21</f>
        <v>3.3550000000000003E-2</v>
      </c>
      <c r="H45" s="130">
        <f>$G$21</f>
        <v>3.3550000000000003E-2</v>
      </c>
      <c r="I45" s="129">
        <f>$G$21+1*shock</f>
        <v>3.3650000000000006E-2</v>
      </c>
      <c r="J45" s="129">
        <f>$G$21+1*E38</f>
        <v>3.3450000000000001E-2</v>
      </c>
      <c r="K45" s="130">
        <f>$G$21</f>
        <v>3.3550000000000003E-2</v>
      </c>
      <c r="L45" s="130">
        <f>$G$21</f>
        <v>3.3550000000000003E-2</v>
      </c>
      <c r="M45" s="130">
        <f>$G$21</f>
        <v>3.3550000000000003E-2</v>
      </c>
      <c r="N45" s="130">
        <f>$G$21</f>
        <v>3.3550000000000003E-2</v>
      </c>
    </row>
    <row r="46" spans="1:14" x14ac:dyDescent="0.35">
      <c r="A46" s="76">
        <v>5</v>
      </c>
      <c r="B46" s="76">
        <v>5</v>
      </c>
      <c r="C46" s="130">
        <f t="shared" si="10"/>
        <v>3.073E-2</v>
      </c>
      <c r="D46" s="130">
        <f t="shared" si="11"/>
        <v>3.073E-2</v>
      </c>
      <c r="E46" s="184">
        <f t="shared" ref="E46:J46" si="13">$G$22</f>
        <v>3.073E-2</v>
      </c>
      <c r="F46" s="184">
        <f t="shared" si="13"/>
        <v>3.073E-2</v>
      </c>
      <c r="G46" s="184">
        <f t="shared" si="13"/>
        <v>3.073E-2</v>
      </c>
      <c r="H46" s="184">
        <f t="shared" si="13"/>
        <v>3.073E-2</v>
      </c>
      <c r="I46" s="184">
        <f t="shared" si="13"/>
        <v>3.073E-2</v>
      </c>
      <c r="J46" s="184">
        <f t="shared" si="13"/>
        <v>3.073E-2</v>
      </c>
      <c r="K46" s="185">
        <f>$G$22+1*shock</f>
        <v>3.083E-2</v>
      </c>
      <c r="L46" s="185">
        <f>$G$22+1*E38</f>
        <v>3.0630000000000001E-2</v>
      </c>
      <c r="M46" s="184">
        <f>$G$22</f>
        <v>3.073E-2</v>
      </c>
      <c r="N46" s="184">
        <f>$G$22</f>
        <v>3.073E-2</v>
      </c>
    </row>
    <row r="47" spans="1:14" x14ac:dyDescent="0.35">
      <c r="A47" s="76">
        <v>7</v>
      </c>
      <c r="B47" s="76">
        <v>6</v>
      </c>
      <c r="C47" s="130">
        <f t="shared" si="10"/>
        <v>2.9860000000000001E-2</v>
      </c>
      <c r="D47" s="130">
        <f t="shared" si="11"/>
        <v>2.9860000000000001E-2</v>
      </c>
      <c r="E47" s="184">
        <f t="shared" ref="E47:L47" si="14">$G$23</f>
        <v>2.9860000000000001E-2</v>
      </c>
      <c r="F47" s="184">
        <f t="shared" si="14"/>
        <v>2.9860000000000001E-2</v>
      </c>
      <c r="G47" s="184">
        <f t="shared" si="14"/>
        <v>2.9860000000000001E-2</v>
      </c>
      <c r="H47" s="184">
        <f t="shared" si="14"/>
        <v>2.9860000000000001E-2</v>
      </c>
      <c r="I47" s="184">
        <f t="shared" si="14"/>
        <v>2.9860000000000001E-2</v>
      </c>
      <c r="J47" s="184">
        <f t="shared" si="14"/>
        <v>2.9860000000000001E-2</v>
      </c>
      <c r="K47" s="184">
        <f t="shared" si="14"/>
        <v>2.9860000000000001E-2</v>
      </c>
      <c r="L47" s="184">
        <f t="shared" si="14"/>
        <v>2.9860000000000001E-2</v>
      </c>
      <c r="M47" s="185">
        <f>$G$23+1*shock</f>
        <v>2.9960000000000001E-2</v>
      </c>
      <c r="N47" s="185">
        <f>$G$23+1*E38</f>
        <v>2.9760000000000002E-2</v>
      </c>
    </row>
    <row r="48" spans="1:14" x14ac:dyDescent="0.35">
      <c r="B48" s="133"/>
      <c r="C48" s="213" t="s">
        <v>125</v>
      </c>
      <c r="D48" s="213"/>
      <c r="E48" s="213"/>
      <c r="F48" s="213"/>
      <c r="G48" s="213"/>
      <c r="H48" s="213"/>
      <c r="I48" s="213"/>
      <c r="J48" s="213"/>
      <c r="K48" s="213"/>
      <c r="L48" s="213"/>
    </row>
    <row r="49" spans="2:14" x14ac:dyDescent="0.35">
      <c r="B49" s="133"/>
      <c r="C49" s="133" t="s">
        <v>304</v>
      </c>
      <c r="D49" s="133" t="s">
        <v>305</v>
      </c>
      <c r="E49" s="133" t="s">
        <v>304</v>
      </c>
      <c r="F49" s="133" t="s">
        <v>305</v>
      </c>
      <c r="G49" s="133" t="s">
        <v>304</v>
      </c>
      <c r="H49" s="133" t="s">
        <v>305</v>
      </c>
      <c r="I49" s="133" t="s">
        <v>304</v>
      </c>
      <c r="J49" s="133" t="s">
        <v>305</v>
      </c>
      <c r="K49" s="133" t="s">
        <v>304</v>
      </c>
      <c r="L49" s="133" t="s">
        <v>305</v>
      </c>
      <c r="M49" s="133" t="s">
        <v>304</v>
      </c>
      <c r="N49" s="133" t="s">
        <v>305</v>
      </c>
    </row>
    <row r="50" spans="2:14" x14ac:dyDescent="0.35">
      <c r="B50" s="133" cm="1">
        <f t="array" ref="B50:B55">A18:A23</f>
        <v>1</v>
      </c>
      <c r="C50" s="128">
        <f>Bond_ZeroRates($D28,$C28,$B28,$E28,_xlfn.ANCHORARRAY($A$42),C$42:C$47)</f>
        <v>102.15135629284256</v>
      </c>
      <c r="D50" s="128">
        <f>Bond_ZeroRates($D28,$C28,$B28,$E28,_xlfn.ANCHORARRAY($A$42),D$42:D$47)</f>
        <v>102.15775105751368</v>
      </c>
      <c r="E50" s="128">
        <f t="shared" ref="E50:N50" si="15">Bond_ZeroRates($D28,$C28,$B28,$E28,_xlfn.ANCHORARRAY($A$42),E$42:E$47)</f>
        <v>102.14987753101155</v>
      </c>
      <c r="F50" s="128">
        <f t="shared" si="15"/>
        <v>102.15923001160992</v>
      </c>
      <c r="G50" s="128">
        <f t="shared" si="15"/>
        <v>102.15455359263454</v>
      </c>
      <c r="H50" s="128">
        <f t="shared" si="15"/>
        <v>102.15455359263454</v>
      </c>
      <c r="I50" s="128">
        <f t="shared" si="15"/>
        <v>102.15455359263454</v>
      </c>
      <c r="J50" s="128">
        <f t="shared" si="15"/>
        <v>102.15455359263454</v>
      </c>
      <c r="K50" s="128">
        <f t="shared" si="15"/>
        <v>102.15455359263454</v>
      </c>
      <c r="L50" s="128">
        <f t="shared" si="15"/>
        <v>102.15455359263454</v>
      </c>
      <c r="M50" s="128">
        <f t="shared" si="15"/>
        <v>102.15455359263454</v>
      </c>
      <c r="N50" s="128">
        <f t="shared" si="15"/>
        <v>102.15455359263454</v>
      </c>
    </row>
    <row r="51" spans="2:14" x14ac:dyDescent="0.35">
      <c r="B51" s="133">
        <v>2</v>
      </c>
      <c r="C51" s="128">
        <f t="shared" ref="C51:D55" si="16">Bond_ZeroRates($D29,$C29,$B29,$E29,_xlfn.ANCHORARRAY($A$42),C$42:C$47)</f>
        <v>102.41404345327314</v>
      </c>
      <c r="D51" s="128">
        <f t="shared" si="16"/>
        <v>102.41431094489258</v>
      </c>
      <c r="E51" s="128">
        <f t="shared" ref="E51:N51" si="17">Bond_ZeroRates($D29,$C29,$B29,$E29,_xlfn.ANCHORARRAY($A$42),E$42:E$47)</f>
        <v>102.40911930011188</v>
      </c>
      <c r="F51" s="128">
        <f t="shared" si="17"/>
        <v>102.41923542900315</v>
      </c>
      <c r="G51" s="128">
        <f t="shared" si="17"/>
        <v>102.40293595649997</v>
      </c>
      <c r="H51" s="128">
        <f t="shared" si="17"/>
        <v>102.42542012506766</v>
      </c>
      <c r="I51" s="128">
        <f t="shared" si="17"/>
        <v>102.41417719440751</v>
      </c>
      <c r="J51" s="128">
        <f t="shared" si="17"/>
        <v>102.41417719440751</v>
      </c>
      <c r="K51" s="128">
        <f t="shared" si="17"/>
        <v>102.41417719440751</v>
      </c>
      <c r="L51" s="128">
        <f t="shared" si="17"/>
        <v>102.41417719440751</v>
      </c>
      <c r="M51" s="128">
        <f t="shared" si="17"/>
        <v>102.41417719440751</v>
      </c>
      <c r="N51" s="128">
        <f t="shared" si="17"/>
        <v>102.41417719440751</v>
      </c>
    </row>
    <row r="52" spans="2:14" x14ac:dyDescent="0.35">
      <c r="B52" s="133">
        <v>3</v>
      </c>
      <c r="C52" s="128">
        <f t="shared" si="16"/>
        <v>104.79933370094423</v>
      </c>
      <c r="D52" s="128">
        <f t="shared" si="16"/>
        <v>104.79964813037623</v>
      </c>
      <c r="E52" s="128">
        <f t="shared" ref="E52:N52" si="18">Bond_ZeroRates($D30,$C30,$B30,$E30,_xlfn.ANCHORARRAY($A$42),E$42:E$47)</f>
        <v>104.79906253982831</v>
      </c>
      <c r="F52" s="128">
        <f t="shared" si="18"/>
        <v>104.79991932213863</v>
      </c>
      <c r="G52" s="128">
        <f t="shared" si="18"/>
        <v>104.78340154398725</v>
      </c>
      <c r="H52" s="128">
        <f t="shared" si="18"/>
        <v>104.81558351303397</v>
      </c>
      <c r="I52" s="128">
        <f t="shared" si="18"/>
        <v>104.79425839975796</v>
      </c>
      <c r="J52" s="128">
        <f t="shared" si="18"/>
        <v>104.80472377453445</v>
      </c>
      <c r="K52" s="128">
        <f t="shared" si="18"/>
        <v>104.79949091045589</v>
      </c>
      <c r="L52" s="128">
        <f t="shared" si="18"/>
        <v>104.79949091045589</v>
      </c>
      <c r="M52" s="128">
        <f t="shared" si="18"/>
        <v>104.79949091045589</v>
      </c>
      <c r="N52" s="128">
        <f t="shared" si="18"/>
        <v>104.79949091045589</v>
      </c>
    </row>
    <row r="53" spans="2:14" x14ac:dyDescent="0.35">
      <c r="B53" s="133">
        <v>4</v>
      </c>
      <c r="C53" s="128">
        <f t="shared" si="16"/>
        <v>104.72259663328926</v>
      </c>
      <c r="D53" s="128">
        <f t="shared" si="16"/>
        <v>104.7228247744176</v>
      </c>
      <c r="E53" s="128">
        <f t="shared" ref="E53:N53" si="19">Bond_ZeroRates($D31,$C31,$B31,$E31,_xlfn.ANCHORARRAY($A$42),E$42:E$47)</f>
        <v>104.72232278517427</v>
      </c>
      <c r="F53" s="128">
        <f t="shared" si="19"/>
        <v>104.72309866030008</v>
      </c>
      <c r="G53" s="128">
        <f t="shared" si="19"/>
        <v>104.72184510553006</v>
      </c>
      <c r="H53" s="128">
        <f t="shared" si="19"/>
        <v>104.72357645299134</v>
      </c>
      <c r="I53" s="128">
        <f t="shared" si="19"/>
        <v>104.69822270464674</v>
      </c>
      <c r="J53" s="128">
        <f t="shared" si="19"/>
        <v>104.74720591226506</v>
      </c>
      <c r="K53" s="128">
        <f t="shared" si="19"/>
        <v>104.71484773145602</v>
      </c>
      <c r="L53" s="128">
        <f t="shared" si="19"/>
        <v>104.73057443870121</v>
      </c>
      <c r="M53" s="128">
        <f t="shared" si="19"/>
        <v>104.72271069826341</v>
      </c>
      <c r="N53" s="128">
        <f t="shared" si="19"/>
        <v>104.72271069826341</v>
      </c>
    </row>
    <row r="54" spans="2:14" x14ac:dyDescent="0.35">
      <c r="B54" s="133">
        <v>5</v>
      </c>
      <c r="C54" s="128">
        <f t="shared" si="16"/>
        <v>105.92850932132254</v>
      </c>
      <c r="D54" s="128">
        <f t="shared" si="16"/>
        <v>105.92876385943417</v>
      </c>
      <c r="E54" s="128">
        <f t="shared" ref="E54:N54" si="20">Bond_ZeroRates($D32,$C32,$B32,$E32,_xlfn.ANCHORARRAY($A$42),E$42:E$47)</f>
        <v>105.928289809943</v>
      </c>
      <c r="F54" s="128">
        <f t="shared" si="20"/>
        <v>105.92898339562278</v>
      </c>
      <c r="G54" s="128">
        <f t="shared" si="20"/>
        <v>105.92786274166261</v>
      </c>
      <c r="H54" s="128">
        <f t="shared" si="20"/>
        <v>105.92941055204625</v>
      </c>
      <c r="I54" s="128">
        <f t="shared" si="20"/>
        <v>105.92171918051349</v>
      </c>
      <c r="J54" s="128">
        <f t="shared" si="20"/>
        <v>105.93555476343391</v>
      </c>
      <c r="K54" s="128">
        <f t="shared" si="20"/>
        <v>105.8917218721304</v>
      </c>
      <c r="L54" s="128">
        <f t="shared" si="20"/>
        <v>105.96556781631773</v>
      </c>
      <c r="M54" s="128">
        <f t="shared" si="20"/>
        <v>105.92863658616533</v>
      </c>
      <c r="N54" s="128">
        <f t="shared" si="20"/>
        <v>105.92863658616533</v>
      </c>
    </row>
    <row r="55" spans="2:14" x14ac:dyDescent="0.35">
      <c r="B55" s="133">
        <v>6</v>
      </c>
      <c r="C55" s="128">
        <f t="shared" si="16"/>
        <v>114.16311139287944</v>
      </c>
      <c r="D55" s="128">
        <f t="shared" si="16"/>
        <v>114.16345576797163</v>
      </c>
      <c r="E55" s="128">
        <f t="shared" ref="E55:N55" si="21">Bond_ZeroRates($D33,$C33,$B33,$E33,_xlfn.ANCHORARRAY($A$42),E$42:E$47)</f>
        <v>114.16281440689535</v>
      </c>
      <c r="F55" s="128">
        <f t="shared" si="21"/>
        <v>114.16375278752093</v>
      </c>
      <c r="G55" s="128">
        <f t="shared" si="21"/>
        <v>114.16223660863365</v>
      </c>
      <c r="H55" s="128">
        <f t="shared" si="21"/>
        <v>114.16433070503504</v>
      </c>
      <c r="I55" s="128">
        <f t="shared" si="21"/>
        <v>114.16075667164885</v>
      </c>
      <c r="J55" s="128">
        <f t="shared" si="21"/>
        <v>114.16581108025525</v>
      </c>
      <c r="K55" s="128">
        <f t="shared" si="21"/>
        <v>114.12148264799694</v>
      </c>
      <c r="L55" s="128">
        <f t="shared" si="21"/>
        <v>114.20510487708914</v>
      </c>
      <c r="M55" s="128">
        <f t="shared" si="21"/>
        <v>114.15761497115346</v>
      </c>
      <c r="N55" s="128">
        <f t="shared" si="21"/>
        <v>114.16895257959874</v>
      </c>
    </row>
    <row r="56" spans="2:14" x14ac:dyDescent="0.35">
      <c r="B56" s="186"/>
      <c r="C56" s="210" t="s">
        <v>167</v>
      </c>
      <c r="D56" s="210"/>
      <c r="E56" s="210"/>
      <c r="F56" s="210"/>
      <c r="G56" s="210"/>
      <c r="H56" s="210"/>
      <c r="I56" s="210"/>
      <c r="J56" s="210"/>
      <c r="K56" s="210"/>
      <c r="L56" s="210"/>
    </row>
    <row r="57" spans="2:14" x14ac:dyDescent="0.35">
      <c r="B57" s="187" cm="1">
        <f t="array" ref="B57:B62">A18:A23</f>
        <v>1</v>
      </c>
      <c r="C57" s="212">
        <f t="shared" ref="C57:C62" si="22">-(C50-D50)/($D$38*2*$F28)</f>
        <v>0.31299459721662798</v>
      </c>
      <c r="D57" s="212"/>
      <c r="E57" s="212">
        <f t="shared" ref="E57:E62" si="23">-(E50-F50)/($D$38*2*$F28)</f>
        <v>0.4577613170168347</v>
      </c>
      <c r="F57" s="212"/>
      <c r="G57" s="212">
        <f t="shared" ref="G57:G62" si="24">-(G50-H50)/($D$38*2*$F28)</f>
        <v>0</v>
      </c>
      <c r="H57" s="212"/>
      <c r="I57" s="212">
        <f t="shared" ref="I57:I62" si="25">-(I50-J50)/($D$38*2*$F28)</f>
        <v>0</v>
      </c>
      <c r="J57" s="212"/>
      <c r="K57" s="212">
        <f t="shared" ref="K57:K62" si="26">-(K50-L50)/($D$38*2*$F28)</f>
        <v>0</v>
      </c>
      <c r="L57" s="212"/>
    </row>
    <row r="58" spans="2:14" x14ac:dyDescent="0.35">
      <c r="B58" s="187">
        <v>2</v>
      </c>
      <c r="C58" s="212">
        <f t="shared" si="22"/>
        <v>1.3059306180414445E-2</v>
      </c>
      <c r="D58" s="212"/>
      <c r="E58" s="212">
        <f t="shared" si="23"/>
        <v>0.49388322829886644</v>
      </c>
      <c r="F58" s="212"/>
      <c r="G58" s="212">
        <f t="shared" si="24"/>
        <v>1.0977078166143879</v>
      </c>
      <c r="H58" s="212"/>
      <c r="I58" s="212">
        <f t="shared" si="25"/>
        <v>0</v>
      </c>
      <c r="J58" s="212"/>
      <c r="K58" s="212">
        <f t="shared" si="26"/>
        <v>0</v>
      </c>
      <c r="L58" s="212"/>
    </row>
    <row r="59" spans="2:14" x14ac:dyDescent="0.35">
      <c r="B59" s="187">
        <v>3</v>
      </c>
      <c r="C59" s="212">
        <f t="shared" si="22"/>
        <v>1.5001477071290407E-2</v>
      </c>
      <c r="D59" s="212"/>
      <c r="E59" s="212">
        <f t="shared" si="23"/>
        <v>4.0877217192500911E-2</v>
      </c>
      <c r="F59" s="212"/>
      <c r="G59" s="212">
        <f t="shared" si="24"/>
        <v>1.5354067451632623</v>
      </c>
      <c r="H59" s="212"/>
      <c r="I59" s="212">
        <f t="shared" si="25"/>
        <v>0.49930465718717476</v>
      </c>
      <c r="J59" s="212"/>
      <c r="K59" s="212">
        <f t="shared" si="26"/>
        <v>0</v>
      </c>
      <c r="L59" s="212"/>
    </row>
    <row r="60" spans="2:14" x14ac:dyDescent="0.35">
      <c r="B60" s="187">
        <v>4</v>
      </c>
      <c r="C60" s="212">
        <f t="shared" si="22"/>
        <v>1.0892629059401381E-2</v>
      </c>
      <c r="D60" s="212"/>
      <c r="E60" s="212">
        <f t="shared" si="23"/>
        <v>3.7044262922415208E-2</v>
      </c>
      <c r="F60" s="212"/>
      <c r="G60" s="212">
        <f t="shared" si="24"/>
        <v>8.266341893412088E-2</v>
      </c>
      <c r="H60" s="212"/>
      <c r="I60" s="212">
        <f t="shared" si="25"/>
        <v>2.3387098792474634</v>
      </c>
      <c r="J60" s="212"/>
      <c r="K60" s="212">
        <f t="shared" si="26"/>
        <v>0.75087376655605309</v>
      </c>
      <c r="L60" s="212"/>
    </row>
    <row r="61" spans="2:14" x14ac:dyDescent="0.35">
      <c r="B61" s="187">
        <v>5</v>
      </c>
      <c r="C61" s="212">
        <f t="shared" si="22"/>
        <v>1.201460340832399E-2</v>
      </c>
      <c r="D61" s="212"/>
      <c r="E61" s="212">
        <f t="shared" si="23"/>
        <v>3.2738346406434429E-2</v>
      </c>
      <c r="F61" s="212"/>
      <c r="G61" s="212">
        <f t="shared" si="24"/>
        <v>7.3059110053892637E-2</v>
      </c>
      <c r="H61" s="212"/>
      <c r="I61" s="212">
        <f t="shared" si="25"/>
        <v>0.65306150283390441</v>
      </c>
      <c r="J61" s="212"/>
      <c r="K61" s="212">
        <f t="shared" si="26"/>
        <v>3.4856459295243392</v>
      </c>
      <c r="L61" s="212"/>
    </row>
    <row r="62" spans="2:14" x14ac:dyDescent="0.35">
      <c r="B62" s="187">
        <v>6</v>
      </c>
      <c r="C62" s="212">
        <f t="shared" si="22"/>
        <v>1.5082567766098053E-2</v>
      </c>
      <c r="D62" s="212"/>
      <c r="E62" s="212">
        <f t="shared" si="23"/>
        <v>4.10981795635647E-2</v>
      </c>
      <c r="F62" s="212"/>
      <c r="G62" s="212">
        <f t="shared" si="24"/>
        <v>9.1714968938434588E-2</v>
      </c>
      <c r="H62" s="212"/>
      <c r="I62" s="212">
        <f t="shared" si="25"/>
        <v>0.22136752063064041</v>
      </c>
      <c r="J62" s="212"/>
      <c r="K62" s="212">
        <f t="shared" si="26"/>
        <v>3.6623959329912146</v>
      </c>
      <c r="L62" s="212"/>
    </row>
    <row r="63" spans="2:14" x14ac:dyDescent="0.35">
      <c r="B63" s="79"/>
    </row>
    <row r="64" spans="2:14" x14ac:dyDescent="0.35">
      <c r="B64" s="79"/>
      <c r="F64" s="81"/>
    </row>
    <row r="65" spans="1:13" x14ac:dyDescent="0.35">
      <c r="B65" s="79"/>
      <c r="D65" s="80"/>
      <c r="E65" s="80"/>
    </row>
    <row r="66" spans="1:13" x14ac:dyDescent="0.35">
      <c r="A66" s="81" t="s">
        <v>168</v>
      </c>
      <c r="B66" s="100"/>
      <c r="D66" s="80"/>
      <c r="E66" s="80"/>
    </row>
    <row r="67" spans="1:13" x14ac:dyDescent="0.35">
      <c r="B67" s="79"/>
      <c r="D67" s="80"/>
      <c r="E67" s="80"/>
    </row>
    <row r="68" spans="1:13" x14ac:dyDescent="0.35">
      <c r="B68" s="211" t="s">
        <v>169</v>
      </c>
      <c r="C68" s="211"/>
      <c r="D68" s="211"/>
      <c r="E68" s="211"/>
      <c r="F68" s="211"/>
    </row>
    <row r="69" spans="1:13" x14ac:dyDescent="0.35">
      <c r="A69" s="126" t="str" cm="1">
        <f t="array" ref="A69:F69">TRANSPOSE(E17:E22)</f>
        <v>Order</v>
      </c>
      <c r="B69" s="135">
        <v>1</v>
      </c>
      <c r="C69" s="135">
        <v>2</v>
      </c>
      <c r="D69" s="135">
        <v>3</v>
      </c>
      <c r="E69" s="135">
        <v>4</v>
      </c>
      <c r="F69" s="135">
        <v>5</v>
      </c>
    </row>
    <row r="70" spans="1:13" x14ac:dyDescent="0.35">
      <c r="A70" s="126" t="str" cm="1">
        <f t="array" ref="A70:F70">TRANSPOSE(F17:F22)</f>
        <v>Term (year)</v>
      </c>
      <c r="B70" s="136">
        <v>0.5</v>
      </c>
      <c r="C70" s="136">
        <v>1</v>
      </c>
      <c r="D70" s="136">
        <v>2</v>
      </c>
      <c r="E70" s="136">
        <v>3</v>
      </c>
      <c r="F70" s="136">
        <v>5</v>
      </c>
      <c r="G70" s="81"/>
    </row>
    <row r="71" spans="1:13" x14ac:dyDescent="0.35">
      <c r="A71" s="216" t="s">
        <v>116</v>
      </c>
      <c r="B71" s="217"/>
      <c r="C71" s="217"/>
      <c r="D71" s="217"/>
      <c r="E71" s="217"/>
      <c r="F71" s="218"/>
    </row>
    <row r="72" spans="1:13" x14ac:dyDescent="0.35">
      <c r="A72" s="133" cm="1">
        <f t="array" ref="A72:A77">A18:A23</f>
        <v>1</v>
      </c>
      <c r="B72" s="133">
        <f>C57</f>
        <v>0.31299459721662798</v>
      </c>
      <c r="C72" s="133">
        <f>E57</f>
        <v>0.4577613170168347</v>
      </c>
      <c r="D72" s="133">
        <f>G57</f>
        <v>0</v>
      </c>
      <c r="E72" s="133">
        <f>I57</f>
        <v>0</v>
      </c>
      <c r="F72" s="133">
        <f>K57</f>
        <v>0</v>
      </c>
    </row>
    <row r="73" spans="1:13" x14ac:dyDescent="0.35">
      <c r="A73" s="133">
        <v>2</v>
      </c>
      <c r="B73" s="133">
        <f t="shared" ref="B73:B76" si="27">C58</f>
        <v>1.3059306180414445E-2</v>
      </c>
      <c r="C73" s="133">
        <f t="shared" ref="C73:C77" si="28">E58</f>
        <v>0.49388322829886644</v>
      </c>
      <c r="D73" s="133">
        <f t="shared" ref="D73:D77" si="29">G58</f>
        <v>1.0977078166143879</v>
      </c>
      <c r="E73" s="133">
        <f t="shared" ref="E73:E77" si="30">I58</f>
        <v>0</v>
      </c>
      <c r="F73" s="133">
        <f t="shared" ref="F73:F77" si="31">K58</f>
        <v>0</v>
      </c>
    </row>
    <row r="74" spans="1:13" x14ac:dyDescent="0.35">
      <c r="A74" s="133">
        <v>3</v>
      </c>
      <c r="B74" s="133">
        <f t="shared" si="27"/>
        <v>1.5001477071290407E-2</v>
      </c>
      <c r="C74" s="133">
        <f t="shared" si="28"/>
        <v>4.0877217192500911E-2</v>
      </c>
      <c r="D74" s="133">
        <f t="shared" si="29"/>
        <v>1.5354067451632623</v>
      </c>
      <c r="E74" s="133">
        <f t="shared" si="30"/>
        <v>0.49930465718717476</v>
      </c>
      <c r="F74" s="133">
        <f t="shared" si="31"/>
        <v>0</v>
      </c>
    </row>
    <row r="75" spans="1:13" x14ac:dyDescent="0.35">
      <c r="A75" s="133">
        <v>4</v>
      </c>
      <c r="B75" s="133">
        <f t="shared" si="27"/>
        <v>1.0892629059401381E-2</v>
      </c>
      <c r="C75" s="133">
        <f t="shared" si="28"/>
        <v>3.7044262922415208E-2</v>
      </c>
      <c r="D75" s="133">
        <f t="shared" si="29"/>
        <v>8.266341893412088E-2</v>
      </c>
      <c r="E75" s="133">
        <f t="shared" si="30"/>
        <v>2.3387098792474634</v>
      </c>
      <c r="F75" s="133">
        <f t="shared" si="31"/>
        <v>0.75087376655605309</v>
      </c>
    </row>
    <row r="76" spans="1:13" x14ac:dyDescent="0.35">
      <c r="A76" s="133">
        <v>5</v>
      </c>
      <c r="B76" s="133">
        <f t="shared" si="27"/>
        <v>1.201460340832399E-2</v>
      </c>
      <c r="C76" s="133">
        <f t="shared" si="28"/>
        <v>3.2738346406434429E-2</v>
      </c>
      <c r="D76" s="133">
        <f t="shared" si="29"/>
        <v>7.3059110053892637E-2</v>
      </c>
      <c r="E76" s="133">
        <f t="shared" si="30"/>
        <v>0.65306150283390441</v>
      </c>
      <c r="F76" s="133">
        <f t="shared" si="31"/>
        <v>3.4856459295243392</v>
      </c>
    </row>
    <row r="77" spans="1:13" x14ac:dyDescent="0.35">
      <c r="A77" s="133">
        <v>6</v>
      </c>
      <c r="B77" s="133">
        <f>C62</f>
        <v>1.5082567766098053E-2</v>
      </c>
      <c r="C77" s="133">
        <f t="shared" si="28"/>
        <v>4.10981795635647E-2</v>
      </c>
      <c r="D77" s="133">
        <f t="shared" si="29"/>
        <v>9.1714968938434588E-2</v>
      </c>
      <c r="E77" s="133">
        <f t="shared" si="30"/>
        <v>0.22136752063064041</v>
      </c>
      <c r="F77" s="133">
        <f t="shared" si="31"/>
        <v>3.6623959329912146</v>
      </c>
    </row>
    <row r="80" spans="1:13" x14ac:dyDescent="0.35">
      <c r="A80" s="209" t="s">
        <v>171</v>
      </c>
      <c r="B80" s="209"/>
      <c r="C80" s="209"/>
      <c r="D80" s="209"/>
      <c r="E80" s="209"/>
      <c r="F80" s="209"/>
      <c r="G80" s="209"/>
      <c r="H80" s="209"/>
      <c r="I80" s="209"/>
      <c r="J80" s="209"/>
      <c r="K80" s="209"/>
      <c r="L80" s="209"/>
      <c r="M80" s="209"/>
    </row>
    <row r="82" spans="1:14" x14ac:dyDescent="0.35">
      <c r="A82" s="98" t="s">
        <v>172</v>
      </c>
      <c r="B82" s="98" t="s">
        <v>173</v>
      </c>
    </row>
    <row r="83" spans="1:14" x14ac:dyDescent="0.35">
      <c r="A83" s="75">
        <v>1</v>
      </c>
      <c r="B83" s="75">
        <v>1000</v>
      </c>
    </row>
    <row r="84" spans="1:14" x14ac:dyDescent="0.35">
      <c r="A84" s="75">
        <v>2</v>
      </c>
      <c r="B84" s="75">
        <v>1250</v>
      </c>
    </row>
    <row r="85" spans="1:14" x14ac:dyDescent="0.35">
      <c r="A85" s="75">
        <v>3</v>
      </c>
      <c r="B85" s="75">
        <v>950</v>
      </c>
    </row>
    <row r="86" spans="1:14" x14ac:dyDescent="0.35">
      <c r="A86" s="75">
        <v>4</v>
      </c>
      <c r="B86" s="75">
        <v>900</v>
      </c>
    </row>
    <row r="87" spans="1:14" x14ac:dyDescent="0.35">
      <c r="A87" s="75">
        <v>5</v>
      </c>
      <c r="B87" s="75">
        <v>800</v>
      </c>
    </row>
    <row r="89" spans="1:14" x14ac:dyDescent="0.35">
      <c r="A89" s="209" t="s">
        <v>175</v>
      </c>
      <c r="B89" s="209"/>
      <c r="C89" s="209"/>
      <c r="D89" s="209"/>
      <c r="E89" s="209"/>
      <c r="F89" s="209"/>
      <c r="G89" s="209"/>
      <c r="H89" s="209"/>
      <c r="I89" s="209"/>
      <c r="J89" s="209"/>
      <c r="K89" s="209"/>
      <c r="L89" s="209"/>
      <c r="M89" s="209"/>
    </row>
    <row r="90" spans="1:14" x14ac:dyDescent="0.35">
      <c r="A90" s="209" t="s">
        <v>174</v>
      </c>
      <c r="B90" s="209"/>
      <c r="C90" s="209"/>
      <c r="D90" s="209"/>
      <c r="E90" s="209"/>
      <c r="F90" s="209"/>
      <c r="G90" s="209"/>
      <c r="H90" s="209"/>
      <c r="I90" s="209"/>
      <c r="J90" s="209"/>
      <c r="K90" s="209"/>
      <c r="L90" s="209"/>
      <c r="M90" s="209"/>
    </row>
    <row r="92" spans="1:14" x14ac:dyDescent="0.35">
      <c r="A92" s="209" t="s">
        <v>177</v>
      </c>
      <c r="B92" s="209"/>
      <c r="C92" s="209"/>
      <c r="D92" s="209"/>
      <c r="E92" s="209"/>
      <c r="F92" s="209"/>
      <c r="G92" s="209"/>
      <c r="H92" s="209"/>
      <c r="I92" s="209"/>
      <c r="J92" s="209"/>
      <c r="K92" s="209"/>
      <c r="L92" s="209"/>
      <c r="M92" s="209"/>
    </row>
    <row r="93" spans="1:14" x14ac:dyDescent="0.35">
      <c r="E93" s="210">
        <v>1</v>
      </c>
      <c r="F93" s="210"/>
      <c r="G93" s="210">
        <v>2</v>
      </c>
      <c r="H93" s="210"/>
      <c r="I93" s="210">
        <v>3</v>
      </c>
      <c r="J93" s="210"/>
      <c r="K93" s="210">
        <v>4</v>
      </c>
      <c r="L93" s="210"/>
      <c r="M93" s="210">
        <v>5</v>
      </c>
      <c r="N93" s="210"/>
    </row>
    <row r="94" spans="1:14" x14ac:dyDescent="0.35">
      <c r="C94" s="81" t="s">
        <v>176</v>
      </c>
      <c r="D94" s="81" t="s">
        <v>140</v>
      </c>
      <c r="E94" s="126" t="s">
        <v>306</v>
      </c>
      <c r="F94" s="126" t="s">
        <v>307</v>
      </c>
      <c r="G94" s="126" t="s">
        <v>306</v>
      </c>
      <c r="H94" s="126" t="s">
        <v>307</v>
      </c>
      <c r="I94" s="126" t="s">
        <v>306</v>
      </c>
      <c r="J94" s="126" t="s">
        <v>307</v>
      </c>
      <c r="K94" s="126" t="s">
        <v>306</v>
      </c>
      <c r="L94" s="126" t="s">
        <v>307</v>
      </c>
      <c r="M94" s="126" t="s">
        <v>306</v>
      </c>
      <c r="N94" s="126" t="s">
        <v>307</v>
      </c>
    </row>
    <row r="95" spans="1:14" x14ac:dyDescent="0.35">
      <c r="C95" s="76">
        <v>0.5</v>
      </c>
      <c r="D95" s="102" cm="1">
        <f t="array" ref="D95">PWLinear($C95,$F$18:$F$22,$G$18:$G$22)</f>
        <v>4.061E-2</v>
      </c>
      <c r="E95" s="127" cm="1">
        <f t="array" ref="E95">PWLinear($C95,$A$42:$A$46,C$42:C$46)/2</f>
        <v>2.0355000000000002E-2</v>
      </c>
      <c r="F95" s="127" cm="1">
        <f t="array" ref="F95">PWLinear($C95,$A$42:$A$46,D$42:D$46)/2</f>
        <v>2.0254999999999999E-2</v>
      </c>
      <c r="G95" s="127" cm="1">
        <f t="array" ref="G95">PWLinear($C95,_xlfn.ANCHORARRAY($A$42),E$42:E$46)</f>
        <v>4.061E-2</v>
      </c>
      <c r="H95" s="127" cm="1">
        <f t="array" ref="H95">PWLinear($C95,_xlfn.ANCHORARRAY($A$42),F$42:F$46)</f>
        <v>4.061E-2</v>
      </c>
      <c r="I95" s="127" cm="1">
        <f t="array" ref="I95">PWLinear($C95,_xlfn.ANCHORARRAY($A$42),G$42:G$46)</f>
        <v>4.061E-2</v>
      </c>
      <c r="J95" s="127" cm="1">
        <f t="array" ref="J95">PWLinear($C95,_xlfn.ANCHORARRAY($A$42),H$42:H$46)</f>
        <v>4.061E-2</v>
      </c>
      <c r="K95" s="127" cm="1">
        <f t="array" ref="K95">PWLinear($C95,_xlfn.ANCHORARRAY($A$42),I$42:I$46)</f>
        <v>4.061E-2</v>
      </c>
      <c r="L95" s="127" cm="1">
        <f t="array" ref="L95">PWLinear($C95,_xlfn.ANCHORARRAY($A$42),J$42:J$46)</f>
        <v>4.061E-2</v>
      </c>
      <c r="M95" s="127" cm="1">
        <f t="array" ref="M95">PWLinear($C95,_xlfn.ANCHORARRAY($A$42),K$42:K$46)</f>
        <v>4.061E-2</v>
      </c>
      <c r="N95" s="127" cm="1">
        <f t="array" ref="N95">PWLinear($C95,_xlfn.ANCHORARRAY($A$42),L$42:L$46)</f>
        <v>4.061E-2</v>
      </c>
    </row>
    <row r="96" spans="1:14" x14ac:dyDescent="0.35">
      <c r="C96" s="76">
        <f t="shared" ref="C96:C104" si="32">C95+0.5</f>
        <v>1</v>
      </c>
      <c r="D96" s="102" cm="1">
        <f t="array" ref="D96">PWLinear($C96,$F$18:$F$22,$G$18:$G$22)</f>
        <v>4.19E-2</v>
      </c>
      <c r="E96" s="127" cm="1">
        <f t="array" ref="E96">PWLinear($C96,$A$42:$A$46,C$42:C$46)/2</f>
        <v>2.095E-2</v>
      </c>
      <c r="F96" s="127" cm="1">
        <f t="array" ref="F96">PWLinear($C96,$A$42:$A$46,D$42:D$46)/2</f>
        <v>2.095E-2</v>
      </c>
      <c r="G96" s="127" cm="1">
        <f t="array" ref="G96">PWLinear($C96,_xlfn.ANCHORARRAY($A$42),E$42:E$46)</f>
        <v>4.2000000000000003E-2</v>
      </c>
      <c r="H96" s="127" cm="1">
        <f t="array" ref="H96">PWLinear($C96,_xlfn.ANCHORARRAY($A$42),F$42:F$46)</f>
        <v>4.1799999999999997E-2</v>
      </c>
      <c r="I96" s="127" cm="1">
        <f t="array" ref="I96">PWLinear($C96,_xlfn.ANCHORARRAY($A$42),G$42:G$46)</f>
        <v>4.19E-2</v>
      </c>
      <c r="J96" s="127" cm="1">
        <f t="array" ref="J96">PWLinear($C96,_xlfn.ANCHORARRAY($A$42),H$42:H$46)</f>
        <v>4.19E-2</v>
      </c>
      <c r="K96" s="127" cm="1">
        <f t="array" ref="K96">PWLinear($C96,_xlfn.ANCHORARRAY($A$42),I$42:I$46)</f>
        <v>4.19E-2</v>
      </c>
      <c r="L96" s="127" cm="1">
        <f t="array" ref="L96">PWLinear($C96,_xlfn.ANCHORARRAY($A$42),J$42:J$46)</f>
        <v>4.19E-2</v>
      </c>
      <c r="M96" s="127" cm="1">
        <f t="array" ref="M96">PWLinear($C96,_xlfn.ANCHORARRAY($A$42),K$42:K$46)</f>
        <v>4.19E-2</v>
      </c>
      <c r="N96" s="127" cm="1">
        <f t="array" ref="N96">PWLinear($C96,_xlfn.ANCHORARRAY($A$42),L$42:L$46)</f>
        <v>4.19E-2</v>
      </c>
    </row>
    <row r="97" spans="1:14" x14ac:dyDescent="0.35">
      <c r="C97" s="76">
        <f t="shared" si="32"/>
        <v>1.5</v>
      </c>
      <c r="D97" s="102" cm="1">
        <f t="array" ref="D97">PWLinear($C97,$F$18:$F$22,$G$18:$G$22)</f>
        <v>3.9379999999999998E-2</v>
      </c>
      <c r="E97" s="127" cm="1">
        <f t="array" ref="E97">PWLinear($C97,$A$42:$A$46,C$42:C$46)/2</f>
        <v>1.9689999999999999E-2</v>
      </c>
      <c r="F97" s="127" cm="1">
        <f t="array" ref="F97">PWLinear($C97,$A$42:$A$46,D$42:D$46)/2</f>
        <v>1.9689999999999999E-2</v>
      </c>
      <c r="G97" s="127" cm="1">
        <f t="array" ref="G97">PWLinear($C97,_xlfn.ANCHORARRAY($A$42),E$42:E$46)</f>
        <v>3.943E-2</v>
      </c>
      <c r="H97" s="127" cm="1">
        <f t="array" ref="H97">PWLinear($C97,_xlfn.ANCHORARRAY($A$42),F$42:F$46)</f>
        <v>3.9329999999999997E-2</v>
      </c>
      <c r="I97" s="127" cm="1">
        <f t="array" ref="I97">PWLinear($C97,_xlfn.ANCHORARRAY($A$42),G$42:G$46)</f>
        <v>3.943E-2</v>
      </c>
      <c r="J97" s="127" cm="1">
        <f t="array" ref="J97">PWLinear($C97,_xlfn.ANCHORARRAY($A$42),H$42:H$46)</f>
        <v>3.9329999999999997E-2</v>
      </c>
      <c r="K97" s="127" cm="1">
        <f t="array" ref="K97">PWLinear($C97,_xlfn.ANCHORARRAY($A$42),I$42:I$46)</f>
        <v>3.9379999999999998E-2</v>
      </c>
      <c r="L97" s="127" cm="1">
        <f t="array" ref="L97">PWLinear($C97,_xlfn.ANCHORARRAY($A$42),J$42:J$46)</f>
        <v>3.9379999999999998E-2</v>
      </c>
      <c r="M97" s="127" cm="1">
        <f t="array" ref="M97">PWLinear($C97,_xlfn.ANCHORARRAY($A$42),K$42:K$46)</f>
        <v>3.9379999999999998E-2</v>
      </c>
      <c r="N97" s="127" cm="1">
        <f t="array" ref="N97">PWLinear($C97,_xlfn.ANCHORARRAY($A$42),L$42:L$46)</f>
        <v>3.9379999999999998E-2</v>
      </c>
    </row>
    <row r="98" spans="1:14" x14ac:dyDescent="0.35">
      <c r="C98" s="76">
        <f t="shared" si="32"/>
        <v>2</v>
      </c>
      <c r="D98" s="102" cm="1">
        <f t="array" ref="D98">PWLinear($C98,$F$18:$F$22,$G$18:$G$22)</f>
        <v>3.6859999999999997E-2</v>
      </c>
      <c r="E98" s="127" cm="1">
        <f t="array" ref="E98">PWLinear($C98,$A$42:$A$46,C$42:C$46)/2</f>
        <v>1.8429999999999998E-2</v>
      </c>
      <c r="F98" s="127" cm="1">
        <f t="array" ref="F98">PWLinear($C98,$A$42:$A$46,D$42:D$46)/2</f>
        <v>1.8429999999999998E-2</v>
      </c>
      <c r="G98" s="127" cm="1">
        <f t="array" ref="G98">PWLinear($C98,_xlfn.ANCHORARRAY($A$42),E$42:E$46)</f>
        <v>3.6859999999999997E-2</v>
      </c>
      <c r="H98" s="127" cm="1">
        <f t="array" ref="H98">PWLinear($C98,_xlfn.ANCHORARRAY($A$42),F$42:F$46)</f>
        <v>3.6859999999999997E-2</v>
      </c>
      <c r="I98" s="127" cm="1">
        <f t="array" ref="I98">PWLinear($C98,_xlfn.ANCHORARRAY($A$42),G$42:G$46)</f>
        <v>3.696E-2</v>
      </c>
      <c r="J98" s="127" cm="1">
        <f t="array" ref="J98">PWLinear($C98,_xlfn.ANCHORARRAY($A$42),H$42:H$46)</f>
        <v>3.6759999999999994E-2</v>
      </c>
      <c r="K98" s="127" cm="1">
        <f t="array" ref="K98">PWLinear($C98,_xlfn.ANCHORARRAY($A$42),I$42:I$46)</f>
        <v>3.6859999999999997E-2</v>
      </c>
      <c r="L98" s="127" cm="1">
        <f t="array" ref="L98">PWLinear($C98,_xlfn.ANCHORARRAY($A$42),J$42:J$46)</f>
        <v>3.6859999999999997E-2</v>
      </c>
      <c r="M98" s="127" cm="1">
        <f t="array" ref="M98">PWLinear($C98,_xlfn.ANCHORARRAY($A$42),K$42:K$46)</f>
        <v>3.6859999999999997E-2</v>
      </c>
      <c r="N98" s="127" cm="1">
        <f t="array" ref="N98">PWLinear($C98,_xlfn.ANCHORARRAY($A$42),L$42:L$46)</f>
        <v>3.6859999999999997E-2</v>
      </c>
    </row>
    <row r="99" spans="1:14" x14ac:dyDescent="0.35">
      <c r="C99" s="76">
        <f t="shared" si="32"/>
        <v>2.5</v>
      </c>
      <c r="D99" s="102" cm="1">
        <f t="array" ref="D99">PWLinear($C99,$F$18:$F$22,$G$18:$G$22)</f>
        <v>3.5205E-2</v>
      </c>
      <c r="E99" s="127" cm="1">
        <f t="array" ref="E99">PWLinear($C99,$A$42:$A$46,C$42:C$46)/2</f>
        <v>1.76025E-2</v>
      </c>
      <c r="F99" s="127" cm="1">
        <f t="array" ref="F99">PWLinear($C99,$A$42:$A$46,D$42:D$46)/2</f>
        <v>1.76025E-2</v>
      </c>
      <c r="G99" s="127" cm="1">
        <f t="array" ref="G99">PWLinear($C99,_xlfn.ANCHORARRAY($A$42),E$42:E$46)</f>
        <v>3.5205E-2</v>
      </c>
      <c r="H99" s="127" cm="1">
        <f t="array" ref="H99">PWLinear($C99,_xlfn.ANCHORARRAY($A$42),F$42:F$46)</f>
        <v>3.5205E-2</v>
      </c>
      <c r="I99" s="127" cm="1">
        <f t="array" ref="I99">PWLinear($C99,_xlfn.ANCHORARRAY($A$42),G$42:G$46)</f>
        <v>3.5255000000000002E-2</v>
      </c>
      <c r="J99" s="127" cm="1">
        <f t="array" ref="J99">PWLinear($C99,_xlfn.ANCHORARRAY($A$42),H$42:H$46)</f>
        <v>3.5154999999999999E-2</v>
      </c>
      <c r="K99" s="127" cm="1">
        <f t="array" ref="K99">PWLinear($C99,_xlfn.ANCHORARRAY($A$42),I$42:I$46)</f>
        <v>3.5255000000000002E-2</v>
      </c>
      <c r="L99" s="127" cm="1">
        <f t="array" ref="L99">PWLinear($C99,_xlfn.ANCHORARRAY($A$42),J$42:J$46)</f>
        <v>3.5154999999999999E-2</v>
      </c>
      <c r="M99" s="127" cm="1">
        <f t="array" ref="M99">PWLinear($C99,_xlfn.ANCHORARRAY($A$42),K$42:K$46)</f>
        <v>3.5205E-2</v>
      </c>
      <c r="N99" s="127" cm="1">
        <f t="array" ref="N99">PWLinear($C99,_xlfn.ANCHORARRAY($A$42),L$42:L$46)</f>
        <v>3.5205E-2</v>
      </c>
    </row>
    <row r="100" spans="1:14" x14ac:dyDescent="0.35">
      <c r="C100" s="76">
        <f t="shared" si="32"/>
        <v>3</v>
      </c>
      <c r="D100" s="102" cm="1">
        <f t="array" ref="D100">PWLinear($C100,$F$18:$F$22,$G$18:$G$22)</f>
        <v>3.3550000000000003E-2</v>
      </c>
      <c r="E100" s="127" cm="1">
        <f t="array" ref="E100">PWLinear($C100,$A$42:$A$46,C$42:C$46)/2</f>
        <v>1.6775000000000002E-2</v>
      </c>
      <c r="F100" s="127" cm="1">
        <f t="array" ref="F100">PWLinear($C100,$A$42:$A$46,D$42:D$46)/2</f>
        <v>1.6775000000000002E-2</v>
      </c>
      <c r="G100" s="127" cm="1">
        <f t="array" ref="G100">PWLinear($C100,_xlfn.ANCHORARRAY($A$42),E$42:E$46)</f>
        <v>3.3550000000000003E-2</v>
      </c>
      <c r="H100" s="127" cm="1">
        <f t="array" ref="H100">PWLinear($C100,_xlfn.ANCHORARRAY($A$42),F$42:F$46)</f>
        <v>3.3550000000000003E-2</v>
      </c>
      <c r="I100" s="127" cm="1">
        <f t="array" ref="I100">PWLinear($C100,_xlfn.ANCHORARRAY($A$42),G$42:G$46)</f>
        <v>3.3550000000000003E-2</v>
      </c>
      <c r="J100" s="127" cm="1">
        <f t="array" ref="J100">PWLinear($C100,_xlfn.ANCHORARRAY($A$42),H$42:H$46)</f>
        <v>3.3550000000000003E-2</v>
      </c>
      <c r="K100" s="127" cm="1">
        <f t="array" ref="K100">PWLinear($C100,_xlfn.ANCHORARRAY($A$42),I$42:I$46)</f>
        <v>3.3650000000000006E-2</v>
      </c>
      <c r="L100" s="127" cm="1">
        <f t="array" ref="L100">PWLinear($C100,_xlfn.ANCHORARRAY($A$42),J$42:J$46)</f>
        <v>3.3450000000000001E-2</v>
      </c>
      <c r="M100" s="127" cm="1">
        <f t="array" ref="M100">PWLinear($C100,_xlfn.ANCHORARRAY($A$42),K$42:K$46)</f>
        <v>3.3550000000000003E-2</v>
      </c>
      <c r="N100" s="127" cm="1">
        <f t="array" ref="N100">PWLinear($C100,_xlfn.ANCHORARRAY($A$42),L$42:L$46)</f>
        <v>3.3550000000000003E-2</v>
      </c>
    </row>
    <row r="101" spans="1:14" x14ac:dyDescent="0.35">
      <c r="C101" s="76">
        <f t="shared" si="32"/>
        <v>3.5</v>
      </c>
      <c r="D101" s="102" cm="1">
        <f t="array" ref="D101">PWLinear($C101,$F$18:$F$22,$G$18:$G$22)</f>
        <v>3.2844999999999999E-2</v>
      </c>
      <c r="E101" s="127" cm="1">
        <f t="array" ref="E101">PWLinear($C101,$A$42:$A$46,C$42:C$46)/2</f>
        <v>1.64225E-2</v>
      </c>
      <c r="F101" s="127" cm="1">
        <f t="array" ref="F101">PWLinear($C101,$A$42:$A$46,D$42:D$46)/2</f>
        <v>1.64225E-2</v>
      </c>
      <c r="G101" s="127" cm="1">
        <f t="array" ref="G101">PWLinear($C101,_xlfn.ANCHORARRAY($A$42),E$42:E$46)</f>
        <v>3.2844999999999999E-2</v>
      </c>
      <c r="H101" s="127" cm="1">
        <f t="array" ref="H101">PWLinear($C101,_xlfn.ANCHORARRAY($A$42),F$42:F$46)</f>
        <v>3.2844999999999999E-2</v>
      </c>
      <c r="I101" s="127" cm="1">
        <f t="array" ref="I101">PWLinear($C101,_xlfn.ANCHORARRAY($A$42),G$42:G$46)</f>
        <v>3.2844999999999999E-2</v>
      </c>
      <c r="J101" s="127" cm="1">
        <f t="array" ref="J101">PWLinear($C101,_xlfn.ANCHORARRAY($A$42),H$42:H$46)</f>
        <v>3.2844999999999999E-2</v>
      </c>
      <c r="K101" s="127" cm="1">
        <f t="array" ref="K101">PWLinear($C101,_xlfn.ANCHORARRAY($A$42),I$42:I$46)</f>
        <v>3.2920000000000005E-2</v>
      </c>
      <c r="L101" s="127" cm="1">
        <f t="array" ref="L101">PWLinear($C101,_xlfn.ANCHORARRAY($A$42),J$42:J$46)</f>
        <v>3.2770000000000001E-2</v>
      </c>
      <c r="M101" s="127" cm="1">
        <f t="array" ref="M101">PWLinear($C101,_xlfn.ANCHORARRAY($A$42),K$42:K$46)</f>
        <v>3.2870000000000003E-2</v>
      </c>
      <c r="N101" s="127" cm="1">
        <f t="array" ref="N101">PWLinear($C101,_xlfn.ANCHORARRAY($A$42),L$42:L$46)</f>
        <v>3.2820000000000002E-2</v>
      </c>
    </row>
    <row r="102" spans="1:14" x14ac:dyDescent="0.35">
      <c r="C102" s="76">
        <f t="shared" si="32"/>
        <v>4</v>
      </c>
      <c r="D102" s="102" cm="1">
        <f t="array" ref="D102">PWLinear($C102,$F$18:$F$22,$G$18:$G$22)</f>
        <v>3.2140000000000002E-2</v>
      </c>
      <c r="E102" s="127" cm="1">
        <f t="array" ref="E102">PWLinear($C102,$A$42:$A$46,C$42:C$46)/2</f>
        <v>1.6070000000000001E-2</v>
      </c>
      <c r="F102" s="127" cm="1">
        <f t="array" ref="F102">PWLinear($C102,$A$42:$A$46,D$42:D$46)/2</f>
        <v>1.6070000000000001E-2</v>
      </c>
      <c r="G102" s="127" cm="1">
        <f t="array" ref="G102">PWLinear($C102,_xlfn.ANCHORARRAY($A$42),E$42:E$46)</f>
        <v>3.2140000000000002E-2</v>
      </c>
      <c r="H102" s="127" cm="1">
        <f t="array" ref="H102">PWLinear($C102,_xlfn.ANCHORARRAY($A$42),F$42:F$46)</f>
        <v>3.2140000000000002E-2</v>
      </c>
      <c r="I102" s="127" cm="1">
        <f t="array" ref="I102">PWLinear($C102,_xlfn.ANCHORARRAY($A$42),G$42:G$46)</f>
        <v>3.2140000000000002E-2</v>
      </c>
      <c r="J102" s="127" cm="1">
        <f t="array" ref="J102">PWLinear($C102,_xlfn.ANCHORARRAY($A$42),H$42:H$46)</f>
        <v>3.2140000000000002E-2</v>
      </c>
      <c r="K102" s="127" cm="1">
        <f t="array" ref="K102">PWLinear($C102,_xlfn.ANCHORARRAY($A$42),I$42:I$46)</f>
        <v>3.2190000000000003E-2</v>
      </c>
      <c r="L102" s="127" cm="1">
        <f t="array" ref="L102">PWLinear($C102,_xlfn.ANCHORARRAY($A$42),J$42:J$46)</f>
        <v>3.209E-2</v>
      </c>
      <c r="M102" s="127" cm="1">
        <f t="array" ref="M102">PWLinear($C102,_xlfn.ANCHORARRAY($A$42),K$42:K$46)</f>
        <v>3.2190000000000003E-2</v>
      </c>
      <c r="N102" s="127" cm="1">
        <f t="array" ref="N102">PWLinear($C102,_xlfn.ANCHORARRAY($A$42),L$42:L$46)</f>
        <v>3.209E-2</v>
      </c>
    </row>
    <row r="103" spans="1:14" x14ac:dyDescent="0.35">
      <c r="C103" s="76">
        <f t="shared" si="32"/>
        <v>4.5</v>
      </c>
      <c r="D103" s="102" cm="1">
        <f t="array" ref="D103">PWLinear($C103,$F$18:$F$22,$G$18:$G$22)</f>
        <v>3.1435000000000005E-2</v>
      </c>
      <c r="E103" s="127" cm="1">
        <f t="array" ref="E103">PWLinear($C103,$A$42:$A$46,C$42:C$46)/2</f>
        <v>1.5717500000000002E-2</v>
      </c>
      <c r="F103" s="127" cm="1">
        <f t="array" ref="F103">PWLinear($C103,$A$42:$A$46,D$42:D$46)/2</f>
        <v>1.5717500000000002E-2</v>
      </c>
      <c r="G103" s="127" cm="1">
        <f t="array" ref="G103">PWLinear($C103,_xlfn.ANCHORARRAY($A$42),E$42:E$46)</f>
        <v>3.1435000000000005E-2</v>
      </c>
      <c r="H103" s="127" cm="1">
        <f t="array" ref="H103">PWLinear($C103,_xlfn.ANCHORARRAY($A$42),F$42:F$46)</f>
        <v>3.1435000000000005E-2</v>
      </c>
      <c r="I103" s="127" cm="1">
        <f t="array" ref="I103">PWLinear($C103,_xlfn.ANCHORARRAY($A$42),G$42:G$46)</f>
        <v>3.1435000000000005E-2</v>
      </c>
      <c r="J103" s="127" cm="1">
        <f t="array" ref="J103">PWLinear($C103,_xlfn.ANCHORARRAY($A$42),H$42:H$46)</f>
        <v>3.1435000000000005E-2</v>
      </c>
      <c r="K103" s="127" cm="1">
        <f t="array" ref="K103">PWLinear($C103,_xlfn.ANCHORARRAY($A$42),I$42:I$46)</f>
        <v>3.1460000000000002E-2</v>
      </c>
      <c r="L103" s="127" cm="1">
        <f t="array" ref="L103">PWLinear($C103,_xlfn.ANCHORARRAY($A$42),J$42:J$46)</f>
        <v>3.141E-2</v>
      </c>
      <c r="M103" s="127" cm="1">
        <f t="array" ref="M103">PWLinear($C103,_xlfn.ANCHORARRAY($A$42),K$42:K$46)</f>
        <v>3.1510000000000003E-2</v>
      </c>
      <c r="N103" s="127" cm="1">
        <f t="array" ref="N103">PWLinear($C103,_xlfn.ANCHORARRAY($A$42),L$42:L$46)</f>
        <v>3.1359999999999999E-2</v>
      </c>
    </row>
    <row r="104" spans="1:14" x14ac:dyDescent="0.35">
      <c r="C104" s="76">
        <f t="shared" si="32"/>
        <v>5</v>
      </c>
      <c r="D104" s="102" cm="1">
        <f t="array" ref="D104">PWLinear($C104,$F$18:$F$22,$G$18:$G$22)</f>
        <v>3.073E-2</v>
      </c>
      <c r="E104" s="127" cm="1">
        <f t="array" ref="E104">PWLinear($C104,$A$42:$A$46,C$42:C$46)/2</f>
        <v>1.5365E-2</v>
      </c>
      <c r="F104" s="127" cm="1">
        <f t="array" ref="F104">PWLinear($C104,$A$42:$A$46,D$42:D$46)/2</f>
        <v>1.5365E-2</v>
      </c>
      <c r="G104" s="127" cm="1">
        <f t="array" ref="G104">PWLinear($C104,_xlfn.ANCHORARRAY($A$42),E$42:E$46)</f>
        <v>3.073E-2</v>
      </c>
      <c r="H104" s="127" cm="1">
        <f t="array" ref="H104">PWLinear($C104,_xlfn.ANCHORARRAY($A$42),F$42:F$46)</f>
        <v>3.073E-2</v>
      </c>
      <c r="I104" s="127" cm="1">
        <f t="array" ref="I104">PWLinear($C104,_xlfn.ANCHORARRAY($A$42),G$42:G$46)</f>
        <v>3.073E-2</v>
      </c>
      <c r="J104" s="127" cm="1">
        <f t="array" ref="J104">PWLinear($C104,_xlfn.ANCHORARRAY($A$42),H$42:H$46)</f>
        <v>3.073E-2</v>
      </c>
      <c r="K104" s="127" cm="1">
        <f t="array" ref="K104">PWLinear($C104,_xlfn.ANCHORARRAY($A$42),I$42:I$46)</f>
        <v>3.073E-2</v>
      </c>
      <c r="L104" s="127" cm="1">
        <f t="array" ref="L104">PWLinear($C104,_xlfn.ANCHORARRAY($A$42),J$42:J$46)</f>
        <v>3.073E-2</v>
      </c>
      <c r="M104" s="127" cm="1">
        <f t="array" ref="M104">PWLinear($C104,_xlfn.ANCHORARRAY($A$42),K$42:K$46)</f>
        <v>3.083E-2</v>
      </c>
      <c r="N104" s="127" cm="1">
        <f t="array" ref="N104">PWLinear($C104,_xlfn.ANCHORARRAY($A$42),L$42:L$46)</f>
        <v>3.0630000000000001E-2</v>
      </c>
    </row>
    <row r="105" spans="1:14" x14ac:dyDescent="0.35">
      <c r="C105" s="219" t="s">
        <v>281</v>
      </c>
      <c r="D105" s="219"/>
      <c r="E105" s="219"/>
      <c r="F105" s="219"/>
      <c r="G105" s="219"/>
      <c r="H105" s="219"/>
      <c r="I105" s="219"/>
      <c r="J105" s="219"/>
      <c r="K105" s="219"/>
      <c r="L105" s="219"/>
      <c r="M105" s="219"/>
      <c r="N105" s="219"/>
    </row>
    <row r="106" spans="1:14" x14ac:dyDescent="0.35">
      <c r="A106" s="81" t="s">
        <v>124</v>
      </c>
      <c r="B106" s="81" t="s">
        <v>178</v>
      </c>
      <c r="C106" s="81" t="s">
        <v>85</v>
      </c>
      <c r="D106" s="81" t="s">
        <v>279</v>
      </c>
      <c r="E106" s="81" t="s">
        <v>179</v>
      </c>
      <c r="F106" s="81" t="s">
        <v>180</v>
      </c>
      <c r="G106" s="81" t="s">
        <v>179</v>
      </c>
      <c r="H106" s="81" t="s">
        <v>180</v>
      </c>
      <c r="I106" s="81" t="s">
        <v>179</v>
      </c>
      <c r="J106" s="81" t="s">
        <v>180</v>
      </c>
      <c r="K106" s="81" t="s">
        <v>179</v>
      </c>
      <c r="L106" s="81" t="s">
        <v>180</v>
      </c>
      <c r="M106" s="81" t="s">
        <v>179</v>
      </c>
      <c r="N106" s="81" t="s">
        <v>180</v>
      </c>
    </row>
    <row r="107" spans="1:14" x14ac:dyDescent="0.35">
      <c r="A107" s="76">
        <v>1</v>
      </c>
      <c r="B107" s="76">
        <f>A107/2</f>
        <v>0.5</v>
      </c>
      <c r="C107" s="121">
        <f>_xlfn.XLOOKUP(ROUNDUP(B107,0),$A$83:$A$87,$B$83:$B$87)/2</f>
        <v>500</v>
      </c>
      <c r="D107" s="121">
        <f>$C107/(1+D95/2)^($A107)</f>
        <v>490.04954400889932</v>
      </c>
      <c r="E107" s="128">
        <f>$C107/(1+E95)^($B107*2)</f>
        <v>490.02553033013027</v>
      </c>
      <c r="F107" s="128">
        <f>$C107/(1+F95)^($B107*2)</f>
        <v>490.07356004136227</v>
      </c>
      <c r="G107" s="128">
        <f t="shared" ref="G107:N107" si="33">$C107/(1+G95/2)^($A107)</f>
        <v>490.04954400889932</v>
      </c>
      <c r="H107" s="128">
        <f t="shared" si="33"/>
        <v>490.04954400889932</v>
      </c>
      <c r="I107" s="128">
        <f t="shared" si="33"/>
        <v>490.04954400889932</v>
      </c>
      <c r="J107" s="128">
        <f t="shared" si="33"/>
        <v>490.04954400889932</v>
      </c>
      <c r="K107" s="128">
        <f t="shared" si="33"/>
        <v>490.04954400889932</v>
      </c>
      <c r="L107" s="128">
        <f t="shared" si="33"/>
        <v>490.04954400889932</v>
      </c>
      <c r="M107" s="128">
        <f t="shared" si="33"/>
        <v>490.04954400889932</v>
      </c>
      <c r="N107" s="128">
        <f t="shared" si="33"/>
        <v>490.04954400889932</v>
      </c>
    </row>
    <row r="108" spans="1:14" x14ac:dyDescent="0.35">
      <c r="A108" s="76">
        <v>2</v>
      </c>
      <c r="B108" s="76">
        <f t="shared" ref="B108:B116" si="34">A108/2</f>
        <v>1</v>
      </c>
      <c r="C108" s="121">
        <f t="shared" ref="C108:C116" si="35">_xlfn.XLOOKUP(ROUNDUP(B108,0),$A$83:$A$87,$B$83:$B$87)/2</f>
        <v>500</v>
      </c>
      <c r="D108" s="121">
        <f t="shared" ref="D108:N108" si="36">$C108/(1+D96/2)^($A108)</f>
        <v>479.69043350562271</v>
      </c>
      <c r="E108" s="128">
        <f t="shared" ref="E108:F116" si="37">$C108/(1+E96)^($B108*2)</f>
        <v>479.69043350562271</v>
      </c>
      <c r="F108" s="128">
        <f t="shared" si="37"/>
        <v>479.69043350562271</v>
      </c>
      <c r="G108" s="128">
        <f t="shared" si="36"/>
        <v>479.6434522433405</v>
      </c>
      <c r="H108" s="128">
        <f t="shared" si="36"/>
        <v>479.73742167099243</v>
      </c>
      <c r="I108" s="128">
        <f t="shared" si="36"/>
        <v>479.69043350562271</v>
      </c>
      <c r="J108" s="128">
        <f t="shared" si="36"/>
        <v>479.69043350562271</v>
      </c>
      <c r="K108" s="128">
        <f t="shared" si="36"/>
        <v>479.69043350562271</v>
      </c>
      <c r="L108" s="128">
        <f t="shared" si="36"/>
        <v>479.69043350562271</v>
      </c>
      <c r="M108" s="128">
        <f t="shared" si="36"/>
        <v>479.69043350562271</v>
      </c>
      <c r="N108" s="128">
        <f t="shared" si="36"/>
        <v>479.69043350562271</v>
      </c>
    </row>
    <row r="109" spans="1:14" x14ac:dyDescent="0.35">
      <c r="A109" s="76">
        <v>3</v>
      </c>
      <c r="B109" s="76">
        <f t="shared" si="34"/>
        <v>1.5</v>
      </c>
      <c r="C109" s="121">
        <f t="shared" si="35"/>
        <v>625</v>
      </c>
      <c r="D109" s="121">
        <f t="shared" ref="D109:N109" si="38">$C109/(1+D97/2)^($A109)</f>
        <v>589.48877081393152</v>
      </c>
      <c r="E109" s="128">
        <f t="shared" si="37"/>
        <v>589.48877081393152</v>
      </c>
      <c r="F109" s="128">
        <f t="shared" si="37"/>
        <v>589.48877081393152</v>
      </c>
      <c r="G109" s="128">
        <f t="shared" si="38"/>
        <v>589.44541499990703</v>
      </c>
      <c r="H109" s="128">
        <f t="shared" si="38"/>
        <v>589.53213088002644</v>
      </c>
      <c r="I109" s="128">
        <f t="shared" si="38"/>
        <v>589.44541499990703</v>
      </c>
      <c r="J109" s="128">
        <f t="shared" si="38"/>
        <v>589.53213088002644</v>
      </c>
      <c r="K109" s="128">
        <f t="shared" si="38"/>
        <v>589.48877081393152</v>
      </c>
      <c r="L109" s="128">
        <f t="shared" si="38"/>
        <v>589.48877081393152</v>
      </c>
      <c r="M109" s="128">
        <f t="shared" si="38"/>
        <v>589.48877081393152</v>
      </c>
      <c r="N109" s="128">
        <f t="shared" si="38"/>
        <v>589.48877081393152</v>
      </c>
    </row>
    <row r="110" spans="1:14" x14ac:dyDescent="0.35">
      <c r="A110" s="76">
        <v>4</v>
      </c>
      <c r="B110" s="76">
        <f t="shared" si="34"/>
        <v>2</v>
      </c>
      <c r="C110" s="121">
        <f t="shared" si="35"/>
        <v>625</v>
      </c>
      <c r="D110" s="121">
        <f t="shared" ref="D110:N110" si="39">$C110/(1+D98/2)^($A110)</f>
        <v>580.97210667517743</v>
      </c>
      <c r="E110" s="128">
        <f t="shared" si="37"/>
        <v>580.97210667517743</v>
      </c>
      <c r="F110" s="128">
        <f t="shared" si="37"/>
        <v>580.97210667517743</v>
      </c>
      <c r="G110" s="128">
        <f t="shared" si="39"/>
        <v>580.97210667517743</v>
      </c>
      <c r="H110" s="128">
        <f t="shared" si="39"/>
        <v>580.97210667517743</v>
      </c>
      <c r="I110" s="128">
        <f t="shared" si="39"/>
        <v>580.85802896608448</v>
      </c>
      <c r="J110" s="128">
        <f t="shared" si="39"/>
        <v>581.0862123910332</v>
      </c>
      <c r="K110" s="128">
        <f t="shared" si="39"/>
        <v>580.97210667517743</v>
      </c>
      <c r="L110" s="128">
        <f t="shared" si="39"/>
        <v>580.97210667517743</v>
      </c>
      <c r="M110" s="128">
        <f t="shared" si="39"/>
        <v>580.97210667517743</v>
      </c>
      <c r="N110" s="128">
        <f t="shared" si="39"/>
        <v>580.97210667517743</v>
      </c>
    </row>
    <row r="111" spans="1:14" x14ac:dyDescent="0.35">
      <c r="A111" s="76">
        <v>5</v>
      </c>
      <c r="B111" s="76">
        <f t="shared" si="34"/>
        <v>2.5</v>
      </c>
      <c r="C111" s="121">
        <f t="shared" si="35"/>
        <v>475</v>
      </c>
      <c r="D111" s="121">
        <f t="shared" ref="D111:N111" si="40">$C111/(1+D99/2)^($A111)</f>
        <v>435.31414907655977</v>
      </c>
      <c r="E111" s="128">
        <f t="shared" si="37"/>
        <v>435.31414907655977</v>
      </c>
      <c r="F111" s="128">
        <f t="shared" si="37"/>
        <v>435.31414907655977</v>
      </c>
      <c r="G111" s="128">
        <f t="shared" si="40"/>
        <v>435.31414907655977</v>
      </c>
      <c r="H111" s="128">
        <f t="shared" si="40"/>
        <v>435.31414907655977</v>
      </c>
      <c r="I111" s="128">
        <f t="shared" si="40"/>
        <v>435.26068000745994</v>
      </c>
      <c r="J111" s="128">
        <f t="shared" si="40"/>
        <v>435.36762602786439</v>
      </c>
      <c r="K111" s="128">
        <f t="shared" si="40"/>
        <v>435.26068000745994</v>
      </c>
      <c r="L111" s="128">
        <f t="shared" si="40"/>
        <v>435.36762602786439</v>
      </c>
      <c r="M111" s="128">
        <f t="shared" si="40"/>
        <v>435.31414907655977</v>
      </c>
      <c r="N111" s="128">
        <f t="shared" si="40"/>
        <v>435.31414907655977</v>
      </c>
    </row>
    <row r="112" spans="1:14" x14ac:dyDescent="0.35">
      <c r="A112" s="76">
        <v>6</v>
      </c>
      <c r="B112" s="76">
        <f t="shared" si="34"/>
        <v>3</v>
      </c>
      <c r="C112" s="121">
        <f t="shared" si="35"/>
        <v>475</v>
      </c>
      <c r="D112" s="121">
        <f t="shared" ref="D112:N112" si="41">$C112/(1+D100/2)^($A112)</f>
        <v>429.87724110484248</v>
      </c>
      <c r="E112" s="128">
        <f t="shared" si="37"/>
        <v>429.87724110484248</v>
      </c>
      <c r="F112" s="128">
        <f t="shared" si="37"/>
        <v>429.87724110484248</v>
      </c>
      <c r="G112" s="128">
        <f t="shared" si="41"/>
        <v>429.87724110484248</v>
      </c>
      <c r="H112" s="128">
        <f t="shared" si="41"/>
        <v>429.87724110484248</v>
      </c>
      <c r="I112" s="128">
        <f t="shared" si="41"/>
        <v>429.87724110484248</v>
      </c>
      <c r="J112" s="128">
        <f t="shared" si="41"/>
        <v>429.87724110484248</v>
      </c>
      <c r="K112" s="128">
        <f t="shared" si="41"/>
        <v>429.75042742528859</v>
      </c>
      <c r="L112" s="128">
        <f t="shared" si="41"/>
        <v>430.00409844442686</v>
      </c>
      <c r="M112" s="128">
        <f t="shared" si="41"/>
        <v>429.87724110484248</v>
      </c>
      <c r="N112" s="128">
        <f t="shared" si="41"/>
        <v>429.87724110484248</v>
      </c>
    </row>
    <row r="113" spans="1:14" x14ac:dyDescent="0.35">
      <c r="A113" s="76">
        <v>7</v>
      </c>
      <c r="B113" s="76">
        <f t="shared" si="34"/>
        <v>3.5</v>
      </c>
      <c r="C113" s="121">
        <f t="shared" si="35"/>
        <v>450</v>
      </c>
      <c r="D113" s="121">
        <f t="shared" ref="D113:N113" si="42">$C113/(1+D101/2)^($A113)</f>
        <v>401.50653854814846</v>
      </c>
      <c r="E113" s="128">
        <f t="shared" si="37"/>
        <v>401.50653854814846</v>
      </c>
      <c r="F113" s="128">
        <f t="shared" si="37"/>
        <v>401.50653854814846</v>
      </c>
      <c r="G113" s="128">
        <f t="shared" si="42"/>
        <v>401.50653854814846</v>
      </c>
      <c r="H113" s="128">
        <f t="shared" si="42"/>
        <v>401.50653854814846</v>
      </c>
      <c r="I113" s="128">
        <f t="shared" si="42"/>
        <v>401.50653854814846</v>
      </c>
      <c r="J113" s="128">
        <f t="shared" si="42"/>
        <v>401.50653854814846</v>
      </c>
      <c r="K113" s="128">
        <f t="shared" si="42"/>
        <v>401.40286127397985</v>
      </c>
      <c r="L113" s="128">
        <f t="shared" si="42"/>
        <v>401.61024642747685</v>
      </c>
      <c r="M113" s="128">
        <f t="shared" si="42"/>
        <v>401.47197605668759</v>
      </c>
      <c r="N113" s="128">
        <f t="shared" si="42"/>
        <v>401.54110444018301</v>
      </c>
    </row>
    <row r="114" spans="1:14" x14ac:dyDescent="0.35">
      <c r="A114" s="76">
        <v>8</v>
      </c>
      <c r="B114" s="76">
        <f t="shared" si="34"/>
        <v>4</v>
      </c>
      <c r="C114" s="121">
        <f t="shared" si="35"/>
        <v>450</v>
      </c>
      <c r="D114" s="121">
        <f t="shared" ref="D114:N114" si="43">$C114/(1+D102/2)^($A114)</f>
        <v>396.1170020742714</v>
      </c>
      <c r="E114" s="128">
        <f t="shared" si="37"/>
        <v>396.1170020742714</v>
      </c>
      <c r="F114" s="128">
        <f t="shared" si="37"/>
        <v>396.1170020742714</v>
      </c>
      <c r="G114" s="128">
        <f t="shared" si="43"/>
        <v>396.1170020742714</v>
      </c>
      <c r="H114" s="128">
        <f t="shared" si="43"/>
        <v>396.1170020742714</v>
      </c>
      <c r="I114" s="128">
        <f t="shared" si="43"/>
        <v>396.1170020742714</v>
      </c>
      <c r="J114" s="128">
        <f t="shared" si="43"/>
        <v>396.1170020742714</v>
      </c>
      <c r="K114" s="128">
        <f t="shared" si="43"/>
        <v>396.03904029067149</v>
      </c>
      <c r="L114" s="128">
        <f t="shared" si="43"/>
        <v>396.19498112375186</v>
      </c>
      <c r="M114" s="128">
        <f t="shared" si="43"/>
        <v>396.03904029067149</v>
      </c>
      <c r="N114" s="128">
        <f t="shared" si="43"/>
        <v>396.19498112375186</v>
      </c>
    </row>
    <row r="115" spans="1:14" x14ac:dyDescent="0.35">
      <c r="A115" s="76">
        <v>9</v>
      </c>
      <c r="B115" s="76">
        <f t="shared" si="34"/>
        <v>4.5</v>
      </c>
      <c r="C115" s="121">
        <f t="shared" si="35"/>
        <v>400</v>
      </c>
      <c r="D115" s="121">
        <f t="shared" ref="D115:N115" si="44">$C115/(1+D103/2)^($A115)</f>
        <v>347.61905592325058</v>
      </c>
      <c r="E115" s="128">
        <f t="shared" si="37"/>
        <v>347.61905592325058</v>
      </c>
      <c r="F115" s="128">
        <f t="shared" si="37"/>
        <v>347.61905592325058</v>
      </c>
      <c r="G115" s="128">
        <f t="shared" si="44"/>
        <v>347.61905592325058</v>
      </c>
      <c r="H115" s="128">
        <f t="shared" si="44"/>
        <v>347.61905592325058</v>
      </c>
      <c r="I115" s="128">
        <f t="shared" si="44"/>
        <v>347.61905592325058</v>
      </c>
      <c r="J115" s="128">
        <f t="shared" si="44"/>
        <v>347.61905592325058</v>
      </c>
      <c r="K115" s="128">
        <f t="shared" si="44"/>
        <v>347.5805563034985</v>
      </c>
      <c r="L115" s="128">
        <f t="shared" si="44"/>
        <v>347.65756028127754</v>
      </c>
      <c r="M115" s="128">
        <f t="shared" si="44"/>
        <v>347.50357127625313</v>
      </c>
      <c r="N115" s="128">
        <f t="shared" si="44"/>
        <v>347.73458321472236</v>
      </c>
    </row>
    <row r="116" spans="1:14" x14ac:dyDescent="0.35">
      <c r="A116" s="76">
        <v>10</v>
      </c>
      <c r="B116" s="76">
        <f t="shared" si="34"/>
        <v>5</v>
      </c>
      <c r="C116" s="121">
        <f t="shared" si="35"/>
        <v>400</v>
      </c>
      <c r="D116" s="121">
        <f t="shared" ref="D116:N116" si="45">$C116/(1+D104/2)^($A116)</f>
        <v>343.4298980560319</v>
      </c>
      <c r="E116" s="128">
        <f t="shared" si="37"/>
        <v>343.4298980560319</v>
      </c>
      <c r="F116" s="128">
        <f t="shared" si="37"/>
        <v>343.4298980560319</v>
      </c>
      <c r="G116" s="128">
        <f t="shared" si="45"/>
        <v>343.4298980560319</v>
      </c>
      <c r="H116" s="128">
        <f t="shared" si="45"/>
        <v>343.4298980560319</v>
      </c>
      <c r="I116" s="128">
        <f t="shared" si="45"/>
        <v>343.4298980560319</v>
      </c>
      <c r="J116" s="128">
        <f t="shared" si="45"/>
        <v>343.4298980560319</v>
      </c>
      <c r="K116" s="128">
        <f t="shared" si="45"/>
        <v>343.4298980560319</v>
      </c>
      <c r="L116" s="128">
        <f t="shared" si="45"/>
        <v>343.4298980560319</v>
      </c>
      <c r="M116" s="128">
        <f t="shared" si="45"/>
        <v>343.26082737587603</v>
      </c>
      <c r="N116" s="128">
        <f t="shared" si="45"/>
        <v>343.59906034271791</v>
      </c>
    </row>
    <row r="117" spans="1:14" x14ac:dyDescent="0.35">
      <c r="D117" s="131">
        <f t="shared" ref="D117:N117" si="46">SUM(D107:D116)</f>
        <v>4494.0647397867351</v>
      </c>
      <c r="E117" s="132">
        <f t="shared" si="46"/>
        <v>4494.0407261079663</v>
      </c>
      <c r="F117" s="132">
        <f t="shared" si="46"/>
        <v>4494.088755819198</v>
      </c>
      <c r="G117" s="132">
        <f t="shared" si="46"/>
        <v>4493.9744027104289</v>
      </c>
      <c r="H117" s="132">
        <f t="shared" si="46"/>
        <v>4494.1550880182003</v>
      </c>
      <c r="I117" s="132">
        <f t="shared" si="46"/>
        <v>4493.8538371945187</v>
      </c>
      <c r="J117" s="132">
        <f t="shared" si="46"/>
        <v>4494.2756825199913</v>
      </c>
      <c r="K117" s="132">
        <f t="shared" si="46"/>
        <v>4493.6643183605611</v>
      </c>
      <c r="L117" s="132">
        <f t="shared" si="46"/>
        <v>4494.4652653644598</v>
      </c>
      <c r="M117" s="132">
        <f t="shared" si="46"/>
        <v>4493.6676601845211</v>
      </c>
      <c r="N117" s="132">
        <f t="shared" si="46"/>
        <v>4494.4619743064086</v>
      </c>
    </row>
    <row r="118" spans="1:14" x14ac:dyDescent="0.35">
      <c r="D118" s="126" t="s">
        <v>138</v>
      </c>
      <c r="E118" s="212">
        <f>-(E117-F117)/(shock*2*$D$117)</f>
        <v>5.3436826139268659E-2</v>
      </c>
      <c r="F118" s="212"/>
      <c r="G118" s="212">
        <f>-(G117-H117)/(shock*2*$D$117)</f>
        <v>0.20102659644821821</v>
      </c>
      <c r="H118" s="212"/>
      <c r="I118" s="212">
        <f>-(I117-J117)/(shock*2*$D$117)</f>
        <v>0.46933605755371294</v>
      </c>
      <c r="J118" s="212"/>
      <c r="K118" s="212">
        <f>-(K117-L117)/(shock*2*$D$117)</f>
        <v>0.89111645055733679</v>
      </c>
      <c r="L118" s="212"/>
      <c r="M118" s="212">
        <f>-(M117-N117)/(shock*2*$D$117)</f>
        <v>0.88373684835390665</v>
      </c>
      <c r="N118" s="212"/>
    </row>
    <row r="122" spans="1:14" x14ac:dyDescent="0.35">
      <c r="B122" s="81"/>
    </row>
    <row r="124" spans="1:14" x14ac:dyDescent="0.35">
      <c r="A124" s="210" t="s">
        <v>181</v>
      </c>
      <c r="B124" s="210"/>
      <c r="C124" s="210"/>
    </row>
    <row r="125" spans="1:14" x14ac:dyDescent="0.35">
      <c r="A125" s="126" t="str" cm="1">
        <f t="array" ref="A125:A130">E17:E22</f>
        <v>Order</v>
      </c>
      <c r="B125" s="126" t="str" cm="1">
        <f t="array" ref="B125:B130">F17:F22</f>
        <v>Term (year)</v>
      </c>
      <c r="C125" s="126" t="s">
        <v>138</v>
      </c>
    </row>
    <row r="126" spans="1:14" x14ac:dyDescent="0.35">
      <c r="A126" s="133">
        <v>1</v>
      </c>
      <c r="B126" s="133">
        <v>0.5</v>
      </c>
      <c r="C126" s="134">
        <f>E118</f>
        <v>5.3436826139268659E-2</v>
      </c>
    </row>
    <row r="127" spans="1:14" x14ac:dyDescent="0.35">
      <c r="A127" s="133">
        <v>2</v>
      </c>
      <c r="B127" s="133">
        <v>1</v>
      </c>
      <c r="C127" s="134">
        <f>G118</f>
        <v>0.20102659644821821</v>
      </c>
    </row>
    <row r="128" spans="1:14" x14ac:dyDescent="0.35">
      <c r="A128" s="133">
        <v>3</v>
      </c>
      <c r="B128" s="133">
        <v>2</v>
      </c>
      <c r="C128" s="134">
        <f>I118</f>
        <v>0.46933605755371294</v>
      </c>
    </row>
    <row r="129" spans="1:13" x14ac:dyDescent="0.35">
      <c r="A129" s="133">
        <v>4</v>
      </c>
      <c r="B129" s="133">
        <v>3</v>
      </c>
      <c r="C129" s="134">
        <f>K118</f>
        <v>0.89111645055733679</v>
      </c>
    </row>
    <row r="130" spans="1:13" x14ac:dyDescent="0.35">
      <c r="A130" s="133">
        <v>5</v>
      </c>
      <c r="B130" s="133">
        <v>5</v>
      </c>
      <c r="C130" s="134">
        <f>M118</f>
        <v>0.88373684835390665</v>
      </c>
    </row>
    <row r="133" spans="1:13" x14ac:dyDescent="0.35">
      <c r="A133" s="209" t="s">
        <v>182</v>
      </c>
      <c r="B133" s="209"/>
      <c r="C133" s="209"/>
      <c r="D133" s="209"/>
      <c r="E133" s="209"/>
      <c r="F133" s="209"/>
      <c r="G133" s="209"/>
      <c r="H133" s="209"/>
      <c r="I133" s="209"/>
      <c r="J133" s="209"/>
      <c r="K133" s="209"/>
      <c r="L133" s="209"/>
      <c r="M133" s="209"/>
    </row>
    <row r="134" spans="1:13" x14ac:dyDescent="0.35">
      <c r="A134" s="209" t="s">
        <v>183</v>
      </c>
      <c r="B134" s="209"/>
      <c r="C134" s="209"/>
      <c r="D134" s="209"/>
      <c r="E134" s="209"/>
      <c r="F134" s="209"/>
      <c r="G134" s="209"/>
      <c r="H134" s="209"/>
      <c r="I134" s="209"/>
      <c r="J134" s="209"/>
      <c r="K134" s="209"/>
      <c r="L134" s="209"/>
      <c r="M134" s="209"/>
    </row>
    <row r="135" spans="1:13" x14ac:dyDescent="0.35">
      <c r="A135" s="112"/>
      <c r="B135" s="112"/>
      <c r="C135" s="112"/>
      <c r="D135" s="112"/>
      <c r="E135" s="112"/>
      <c r="F135" s="112"/>
      <c r="G135" s="112"/>
      <c r="H135" s="112"/>
      <c r="I135" s="112"/>
      <c r="J135" s="112"/>
      <c r="K135" s="112"/>
      <c r="L135" s="112"/>
      <c r="M135" s="112"/>
    </row>
    <row r="136" spans="1:13" x14ac:dyDescent="0.35">
      <c r="A136" s="76" t="s">
        <v>282</v>
      </c>
      <c r="B136" s="122">
        <v>0.1</v>
      </c>
    </row>
    <row r="137" spans="1:13" x14ac:dyDescent="0.35">
      <c r="B137" s="211" t="s">
        <v>169</v>
      </c>
      <c r="C137" s="211"/>
      <c r="D137" s="211"/>
      <c r="E137" s="211"/>
      <c r="F137" s="211"/>
    </row>
    <row r="138" spans="1:13" x14ac:dyDescent="0.35">
      <c r="A138" s="81" t="str" cm="1">
        <f t="array" ref="A138:F138">_xlfn.ANCHORARRAY(A69)</f>
        <v>Order</v>
      </c>
      <c r="B138" s="101">
        <v>1</v>
      </c>
      <c r="C138" s="101">
        <v>2</v>
      </c>
      <c r="D138" s="101">
        <v>3</v>
      </c>
      <c r="E138" s="101">
        <v>4</v>
      </c>
      <c r="F138" s="101">
        <v>5</v>
      </c>
    </row>
    <row r="139" spans="1:13" x14ac:dyDescent="0.35">
      <c r="A139" s="81" t="str" cm="1">
        <f t="array" ref="A139:F139">_xlfn.ANCHORARRAY(A70)</f>
        <v>Term (year)</v>
      </c>
      <c r="B139" s="96">
        <v>0.5</v>
      </c>
      <c r="C139" s="96">
        <v>1</v>
      </c>
      <c r="D139" s="96">
        <v>2</v>
      </c>
      <c r="E139" s="96">
        <v>3</v>
      </c>
      <c r="F139" s="96">
        <v>5</v>
      </c>
      <c r="G139" s="105" t="s">
        <v>184</v>
      </c>
    </row>
    <row r="140" spans="1:13" x14ac:dyDescent="0.35">
      <c r="A140" s="81" t="s">
        <v>116</v>
      </c>
    </row>
    <row r="141" spans="1:13" x14ac:dyDescent="0.35">
      <c r="A141" s="76">
        <v>1</v>
      </c>
      <c r="B141" s="76" cm="1">
        <f t="array" ref="B141:F146">B72:F77</f>
        <v>0.31299459721662798</v>
      </c>
      <c r="C141" s="76">
        <v>0.4577613170168347</v>
      </c>
      <c r="D141" s="76">
        <v>0</v>
      </c>
      <c r="E141" s="76">
        <v>0</v>
      </c>
      <c r="F141" s="76">
        <v>0</v>
      </c>
      <c r="G141" s="76">
        <v>1</v>
      </c>
    </row>
    <row r="142" spans="1:13" x14ac:dyDescent="0.35">
      <c r="A142" s="76">
        <f>A141+1</f>
        <v>2</v>
      </c>
      <c r="B142" s="76">
        <v>1.3059306180414445E-2</v>
      </c>
      <c r="C142" s="76">
        <v>0.49388322829886644</v>
      </c>
      <c r="D142" s="76">
        <v>1.0977078166143879</v>
      </c>
      <c r="E142" s="76">
        <v>0</v>
      </c>
      <c r="F142" s="76">
        <v>0</v>
      </c>
      <c r="G142" s="76">
        <v>1</v>
      </c>
    </row>
    <row r="143" spans="1:13" x14ac:dyDescent="0.35">
      <c r="A143" s="76">
        <f t="shared" ref="A143:A146" si="47">A142+1</f>
        <v>3</v>
      </c>
      <c r="B143" s="76">
        <v>1.5001477071290407E-2</v>
      </c>
      <c r="C143" s="76">
        <v>4.0877217192500911E-2</v>
      </c>
      <c r="D143" s="76">
        <v>1.5354067451632623</v>
      </c>
      <c r="E143" s="76">
        <v>0.49930465718717476</v>
      </c>
      <c r="F143" s="76">
        <v>0</v>
      </c>
      <c r="G143" s="76">
        <v>1</v>
      </c>
    </row>
    <row r="144" spans="1:13" x14ac:dyDescent="0.35">
      <c r="A144" s="76">
        <f t="shared" si="47"/>
        <v>4</v>
      </c>
      <c r="B144" s="76">
        <v>1.0892629059401381E-2</v>
      </c>
      <c r="C144" s="76">
        <v>3.7044262922415208E-2</v>
      </c>
      <c r="D144" s="76">
        <v>8.266341893412088E-2</v>
      </c>
      <c r="E144" s="76">
        <v>2.3387098792474634</v>
      </c>
      <c r="F144" s="76">
        <v>0.75087376655605309</v>
      </c>
      <c r="G144" s="76">
        <v>1</v>
      </c>
    </row>
    <row r="145" spans="1:13" x14ac:dyDescent="0.35">
      <c r="A145" s="76">
        <f t="shared" si="47"/>
        <v>5</v>
      </c>
      <c r="B145" s="76">
        <v>1.201460340832399E-2</v>
      </c>
      <c r="C145" s="76">
        <v>3.2738346406434429E-2</v>
      </c>
      <c r="D145" s="76">
        <v>7.3059110053892637E-2</v>
      </c>
      <c r="E145" s="76">
        <v>0.65306150283390441</v>
      </c>
      <c r="F145" s="76">
        <v>3.4856459295243392</v>
      </c>
      <c r="G145" s="76">
        <v>1</v>
      </c>
    </row>
    <row r="146" spans="1:13" x14ac:dyDescent="0.35">
      <c r="A146" s="76">
        <f t="shared" si="47"/>
        <v>6</v>
      </c>
      <c r="B146" s="76">
        <v>1.5082567766098053E-2</v>
      </c>
      <c r="C146" s="76">
        <v>4.10981795635647E-2</v>
      </c>
      <c r="D146" s="76">
        <v>9.1714968938434588E-2</v>
      </c>
      <c r="E146" s="76">
        <v>0.22136752063064041</v>
      </c>
      <c r="F146" s="76">
        <v>3.6623959329912146</v>
      </c>
      <c r="G146" s="76">
        <v>1</v>
      </c>
    </row>
    <row r="148" spans="1:13" x14ac:dyDescent="0.35">
      <c r="A148" s="76" t="str">
        <f>C125</f>
        <v>Key Rate Duration</v>
      </c>
      <c r="B148" s="103">
        <f t="array" ref="B148:F148">TRANSPOSE(C126:C130)</f>
        <v>5.3436826139268659E-2</v>
      </c>
      <c r="C148" s="103">
        <v>0.20102659644821821</v>
      </c>
      <c r="D148" s="103">
        <v>0.46933605755371294</v>
      </c>
      <c r="E148" s="103">
        <v>0.89111645055733679</v>
      </c>
      <c r="F148" s="103">
        <v>0.88373684835390665</v>
      </c>
    </row>
    <row r="150" spans="1:13" x14ac:dyDescent="0.35">
      <c r="A150" s="81" t="s">
        <v>185</v>
      </c>
      <c r="B150" s="204">
        <f>B148/(1+$B$136)</f>
        <v>4.8578932853880596E-2</v>
      </c>
      <c r="C150" s="204">
        <f>C148/(1+$B$136)</f>
        <v>0.18275145131656201</v>
      </c>
      <c r="D150" s="204">
        <f>D148/(1+$B$136)</f>
        <v>0.42666914323064808</v>
      </c>
      <c r="E150" s="204">
        <f>E148/(1+$B$136)</f>
        <v>0.81010586414303343</v>
      </c>
      <c r="F150" s="204">
        <f>F148/(1+$B$136)</f>
        <v>0.80339713486718778</v>
      </c>
      <c r="G150" s="76">
        <v>1</v>
      </c>
    </row>
    <row r="152" spans="1:13" x14ac:dyDescent="0.35">
      <c r="A152" s="209" t="s">
        <v>186</v>
      </c>
      <c r="B152" s="209"/>
      <c r="C152" s="209"/>
      <c r="D152" s="209"/>
      <c r="E152" s="209"/>
      <c r="F152" s="209"/>
      <c r="G152" s="209"/>
      <c r="H152" s="209"/>
      <c r="I152" s="209"/>
      <c r="J152" s="209"/>
      <c r="K152" s="209"/>
      <c r="L152" s="209"/>
      <c r="M152" s="209"/>
    </row>
    <row r="153" spans="1:13" x14ac:dyDescent="0.35">
      <c r="A153" s="215" t="s">
        <v>189</v>
      </c>
      <c r="B153" s="215"/>
      <c r="C153" s="124">
        <f>D117</f>
        <v>4494.0647397867351</v>
      </c>
    </row>
    <row r="154" spans="1:13" x14ac:dyDescent="0.35">
      <c r="A154" s="215" t="s">
        <v>283</v>
      </c>
      <c r="B154" s="215"/>
      <c r="C154" s="124">
        <f>C153*(1+B136)</f>
        <v>4943.4712137654087</v>
      </c>
    </row>
    <row r="156" spans="1:13" x14ac:dyDescent="0.35">
      <c r="A156" s="81" t="str" cm="1">
        <f t="array" ref="A156:A162">A27:A33</f>
        <v>Bond</v>
      </c>
      <c r="B156" s="81" t="s">
        <v>170</v>
      </c>
      <c r="C156" s="81" t="s">
        <v>187</v>
      </c>
      <c r="D156" s="81" t="s">
        <v>119</v>
      </c>
      <c r="E156" s="81" t="s">
        <v>188</v>
      </c>
    </row>
    <row r="157" spans="1:13" x14ac:dyDescent="0.35">
      <c r="A157" s="76">
        <v>1</v>
      </c>
      <c r="B157" s="203">
        <f t="array" ref="B157:B162">TRANSPOSE(MMULT(B150:G150,MINVERSE(B141:G146)))</f>
        <v>0.10805554107195925</v>
      </c>
      <c r="C157" s="121">
        <f t="shared" ref="C157:C162" si="48">B157*$C$154</f>
        <v>534.16945677707633</v>
      </c>
      <c r="D157" s="121">
        <f t="shared" ref="D157:D162" si="49">F28</f>
        <v>102.15455359263454</v>
      </c>
      <c r="E157" s="78">
        <f>C157/D157</f>
        <v>5.229032265240015</v>
      </c>
    </row>
    <row r="158" spans="1:13" x14ac:dyDescent="0.35">
      <c r="A158" s="76">
        <v>2</v>
      </c>
      <c r="B158" s="203">
        <v>0.19393147877966557</v>
      </c>
      <c r="C158" s="121">
        <f t="shared" si="48"/>
        <v>958.69468279023397</v>
      </c>
      <c r="D158" s="121">
        <f t="shared" si="49"/>
        <v>102.41417719440751</v>
      </c>
      <c r="E158" s="78">
        <f t="shared" ref="E158:E162" si="50">C158/D158</f>
        <v>9.3609567449865239</v>
      </c>
    </row>
    <row r="159" spans="1:13" x14ac:dyDescent="0.35">
      <c r="A159" s="76">
        <v>3</v>
      </c>
      <c r="B159" s="203">
        <v>9.0077117020666536E-2</v>
      </c>
      <c r="C159" s="121">
        <f t="shared" si="48"/>
        <v>445.29363501064319</v>
      </c>
      <c r="D159" s="121">
        <f t="shared" si="49"/>
        <v>104.79949091045589</v>
      </c>
      <c r="E159" s="78">
        <f t="shared" si="50"/>
        <v>4.249005707395245</v>
      </c>
    </row>
    <row r="160" spans="1:13" x14ac:dyDescent="0.35">
      <c r="A160" s="76">
        <v>4</v>
      </c>
      <c r="B160" s="203">
        <v>0.56975883565039576</v>
      </c>
      <c r="C160" s="121">
        <f t="shared" si="48"/>
        <v>2816.5864028262281</v>
      </c>
      <c r="D160" s="121">
        <f t="shared" si="49"/>
        <v>104.72271069826341</v>
      </c>
      <c r="E160" s="78">
        <f t="shared" si="50"/>
        <v>26.895659824368305</v>
      </c>
    </row>
    <row r="161" spans="1:5" x14ac:dyDescent="0.35">
      <c r="A161" s="76">
        <v>5</v>
      </c>
      <c r="B161" s="203">
        <v>-1.3338657828731701</v>
      </c>
      <c r="C161" s="121">
        <f t="shared" si="48"/>
        <v>-6593.9271006601775</v>
      </c>
      <c r="D161" s="121">
        <f t="shared" si="49"/>
        <v>105.92863658616533</v>
      </c>
      <c r="E161" s="78">
        <f t="shared" si="50"/>
        <v>-62.24876778524844</v>
      </c>
    </row>
    <row r="162" spans="1:5" x14ac:dyDescent="0.35">
      <c r="A162" s="76">
        <v>6</v>
      </c>
      <c r="B162" s="203">
        <v>1.3720428103504823</v>
      </c>
      <c r="C162" s="121">
        <f t="shared" si="48"/>
        <v>6782.6541370214009</v>
      </c>
      <c r="D162" s="121">
        <f t="shared" si="49"/>
        <v>114.16328357472554</v>
      </c>
      <c r="E162" s="78">
        <f t="shared" si="50"/>
        <v>59.411869776694161</v>
      </c>
    </row>
    <row r="163" spans="1:5" x14ac:dyDescent="0.35">
      <c r="A163" s="76" t="s">
        <v>159</v>
      </c>
      <c r="B163" s="76">
        <f>SUM(B157:B162)</f>
        <v>0.99999999999999922</v>
      </c>
      <c r="C163" s="121">
        <f>SUM(C157:C162)</f>
        <v>4943.4712137654051</v>
      </c>
    </row>
  </sheetData>
  <mergeCells count="69">
    <mergeCell ref="A153:B153"/>
    <mergeCell ref="A154:B154"/>
    <mergeCell ref="A71:F71"/>
    <mergeCell ref="M93:N93"/>
    <mergeCell ref="C105:N105"/>
    <mergeCell ref="E118:F118"/>
    <mergeCell ref="G118:H118"/>
    <mergeCell ref="I118:J118"/>
    <mergeCell ref="K118:L118"/>
    <mergeCell ref="M118:N118"/>
    <mergeCell ref="A89:M89"/>
    <mergeCell ref="A90:M90"/>
    <mergeCell ref="A92:M92"/>
    <mergeCell ref="E93:F93"/>
    <mergeCell ref="G93:H93"/>
    <mergeCell ref="I93:J93"/>
    <mergeCell ref="K58:L58"/>
    <mergeCell ref="K59:L59"/>
    <mergeCell ref="K60:L60"/>
    <mergeCell ref="K61:L61"/>
    <mergeCell ref="K62:L62"/>
    <mergeCell ref="I58:J58"/>
    <mergeCell ref="I59:J59"/>
    <mergeCell ref="I60:J60"/>
    <mergeCell ref="I61:J61"/>
    <mergeCell ref="I62:J62"/>
    <mergeCell ref="E59:F59"/>
    <mergeCell ref="E60:F60"/>
    <mergeCell ref="E61:F61"/>
    <mergeCell ref="E62:F62"/>
    <mergeCell ref="G57:H57"/>
    <mergeCell ref="G58:H58"/>
    <mergeCell ref="G59:H59"/>
    <mergeCell ref="G60:H60"/>
    <mergeCell ref="G61:H61"/>
    <mergeCell ref="G62:H62"/>
    <mergeCell ref="E57:F57"/>
    <mergeCell ref="I57:J57"/>
    <mergeCell ref="K57:L57"/>
    <mergeCell ref="C56:L56"/>
    <mergeCell ref="C40:D40"/>
    <mergeCell ref="A1:M1"/>
    <mergeCell ref="A2:M2"/>
    <mergeCell ref="A14:M14"/>
    <mergeCell ref="A15:M15"/>
    <mergeCell ref="C39:L39"/>
    <mergeCell ref="M40:N40"/>
    <mergeCell ref="B68:F68"/>
    <mergeCell ref="A80:M80"/>
    <mergeCell ref="A25:M25"/>
    <mergeCell ref="A36:M36"/>
    <mergeCell ref="E40:F40"/>
    <mergeCell ref="G40:H40"/>
    <mergeCell ref="I40:J40"/>
    <mergeCell ref="C58:D58"/>
    <mergeCell ref="C59:D59"/>
    <mergeCell ref="C60:D60"/>
    <mergeCell ref="C61:D61"/>
    <mergeCell ref="C62:D62"/>
    <mergeCell ref="E58:F58"/>
    <mergeCell ref="K40:L40"/>
    <mergeCell ref="C48:L48"/>
    <mergeCell ref="C57:D57"/>
    <mergeCell ref="A152:M152"/>
    <mergeCell ref="K93:L93"/>
    <mergeCell ref="A124:C124"/>
    <mergeCell ref="A133:M133"/>
    <mergeCell ref="A134:M134"/>
    <mergeCell ref="B137:F137"/>
  </mergeCells>
  <phoneticPr fontId="14"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CD871-F424-429D-AF5F-2F96CA70BD0C}">
  <sheetPr codeName="Sheet9"/>
  <dimension ref="A2:AZ382"/>
  <sheetViews>
    <sheetView topLeftCell="A4" zoomScaleNormal="100" workbookViewId="0">
      <selection activeCell="I15" sqref="I15"/>
    </sheetView>
  </sheetViews>
  <sheetFormatPr defaultColWidth="9.1796875" defaultRowHeight="13" outlineLevelRow="1" x14ac:dyDescent="0.3"/>
  <cols>
    <col min="1" max="1" width="32.1796875" style="146" customWidth="1"/>
    <col min="2" max="2" width="11.81640625" style="147" customWidth="1"/>
    <col min="3" max="3" width="8.54296875" style="147" bestFit="1" customWidth="1"/>
    <col min="4" max="4" width="12.26953125" style="147" bestFit="1" customWidth="1"/>
    <col min="5" max="5" width="10.26953125" style="147" bestFit="1" customWidth="1"/>
    <col min="6" max="6" width="12.26953125" style="147" bestFit="1" customWidth="1"/>
    <col min="7" max="7" width="10.7265625" style="147" customWidth="1"/>
    <col min="8" max="8" width="9.26953125" style="147" bestFit="1" customWidth="1"/>
    <col min="9" max="9" width="10.26953125" style="147" bestFit="1" customWidth="1"/>
    <col min="10" max="10" width="6.1796875" style="147" bestFit="1" customWidth="1"/>
    <col min="11" max="11" width="7.7265625" style="147" bestFit="1" customWidth="1"/>
    <col min="12" max="14" width="10.26953125" style="147" bestFit="1" customWidth="1"/>
    <col min="15" max="15" width="3" style="147" customWidth="1"/>
    <col min="16" max="16" width="12.26953125" style="147" bestFit="1" customWidth="1"/>
    <col min="17" max="17" width="10.7265625" style="147" bestFit="1" customWidth="1"/>
    <col min="18" max="18" width="10.26953125" style="147" bestFit="1" customWidth="1"/>
    <col min="19" max="19" width="10.26953125" style="113" bestFit="1" customWidth="1"/>
    <col min="20" max="20" width="12.26953125" style="113" bestFit="1" customWidth="1"/>
    <col min="21" max="21" width="11" style="113" bestFit="1" customWidth="1"/>
    <col min="22" max="22" width="8.81640625" style="113" bestFit="1" customWidth="1"/>
    <col min="23" max="23" width="11.26953125" style="113" bestFit="1" customWidth="1"/>
    <col min="24" max="24" width="2.81640625" style="113" customWidth="1"/>
    <col min="25" max="25" width="12.26953125" style="147" bestFit="1" customWidth="1"/>
    <col min="26" max="26" width="10.7265625" style="147" bestFit="1" customWidth="1"/>
    <col min="27" max="27" width="10.26953125" style="147" bestFit="1" customWidth="1"/>
    <col min="28" max="28" width="10.26953125" style="113" bestFit="1" customWidth="1"/>
    <col min="29" max="29" width="12.26953125" style="113" bestFit="1" customWidth="1"/>
    <col min="30" max="30" width="11" style="113" bestFit="1" customWidth="1"/>
    <col min="31" max="31" width="8.81640625" style="113" bestFit="1" customWidth="1"/>
    <col min="32" max="32" width="11.26953125" style="113" bestFit="1" customWidth="1"/>
    <col min="33" max="33" width="2.7265625" style="113" customWidth="1"/>
    <col min="34" max="34" width="12.26953125" style="147" bestFit="1" customWidth="1"/>
    <col min="35" max="35" width="10.7265625" style="147" bestFit="1" customWidth="1"/>
    <col min="36" max="36" width="10.26953125" style="147" bestFit="1" customWidth="1"/>
    <col min="37" max="37" width="10.26953125" style="113" bestFit="1" customWidth="1"/>
    <col min="38" max="38" width="12.26953125" style="113" bestFit="1" customWidth="1"/>
    <col min="39" max="39" width="11" style="113" bestFit="1" customWidth="1"/>
    <col min="40" max="40" width="8.81640625" style="113" bestFit="1" customWidth="1"/>
    <col min="41" max="41" width="11.26953125" style="113" bestFit="1" customWidth="1"/>
    <col min="42" max="52" width="9.1796875" style="4"/>
    <col min="53" max="16384" width="9.1796875" style="147"/>
  </cols>
  <sheetData>
    <row r="2" spans="1:41" x14ac:dyDescent="0.3">
      <c r="E2" s="146"/>
    </row>
    <row r="3" spans="1:41" x14ac:dyDescent="0.3">
      <c r="A3" s="146" t="s">
        <v>227</v>
      </c>
      <c r="B3" s="148">
        <v>500000000</v>
      </c>
      <c r="C3" s="149"/>
    </row>
    <row r="4" spans="1:41" x14ac:dyDescent="0.3">
      <c r="A4" s="146" t="s">
        <v>231</v>
      </c>
      <c r="B4" s="150">
        <v>285</v>
      </c>
      <c r="H4" s="151" t="s">
        <v>226</v>
      </c>
      <c r="I4" s="146"/>
      <c r="J4" s="146"/>
      <c r="K4" s="146"/>
      <c r="L4" s="146"/>
    </row>
    <row r="5" spans="1:41" x14ac:dyDescent="0.3">
      <c r="A5" s="146" t="s">
        <v>233</v>
      </c>
      <c r="B5" s="152">
        <v>0.06</v>
      </c>
      <c r="C5" s="147" t="s">
        <v>234</v>
      </c>
      <c r="E5" s="151" t="s">
        <v>228</v>
      </c>
      <c r="F5" s="151" t="s">
        <v>229</v>
      </c>
      <c r="G5" s="151" t="s">
        <v>122</v>
      </c>
      <c r="H5" s="151" t="s">
        <v>230</v>
      </c>
      <c r="I5" s="146"/>
      <c r="J5" s="146"/>
      <c r="K5" s="146"/>
      <c r="L5" s="146"/>
    </row>
    <row r="6" spans="1:41" x14ac:dyDescent="0.3">
      <c r="A6" s="146" t="s">
        <v>236</v>
      </c>
      <c r="B6" s="152">
        <v>5.8000000000000003E-2</v>
      </c>
      <c r="C6" s="147" t="s">
        <v>237</v>
      </c>
      <c r="E6" s="151" t="s">
        <v>232</v>
      </c>
      <c r="F6" s="148">
        <v>200000000</v>
      </c>
      <c r="G6" s="147">
        <f>$B$6</f>
        <v>5.8000000000000003E-2</v>
      </c>
      <c r="H6" s="153">
        <f>IF(B$7=1,(1+G6/B$8)^(B$8/12)-1,G6/12)</f>
        <v>4.8333333333333336E-3</v>
      </c>
      <c r="I6" s="146"/>
      <c r="J6" s="146"/>
      <c r="K6" s="146"/>
      <c r="L6" s="146"/>
    </row>
    <row r="7" spans="1:41" x14ac:dyDescent="0.3">
      <c r="A7" s="146" t="s">
        <v>239</v>
      </c>
      <c r="B7" s="150">
        <v>0</v>
      </c>
      <c r="E7" s="151" t="s">
        <v>235</v>
      </c>
      <c r="F7" s="148">
        <v>200000000</v>
      </c>
      <c r="G7" s="147">
        <f>$B$6</f>
        <v>5.8000000000000003E-2</v>
      </c>
      <c r="H7" s="153">
        <f>IF(B$7=1,(1+G7/B$8)^(B$8/12)-1,G7/12)</f>
        <v>4.8333333333333336E-3</v>
      </c>
      <c r="I7" s="146"/>
      <c r="J7" s="146"/>
      <c r="K7" s="146"/>
      <c r="L7" s="146"/>
    </row>
    <row r="8" spans="1:41" x14ac:dyDescent="0.3">
      <c r="A8" s="146" t="s">
        <v>240</v>
      </c>
      <c r="B8" s="150">
        <v>12</v>
      </c>
      <c r="E8" s="151" t="s">
        <v>238</v>
      </c>
      <c r="F8" s="148">
        <v>100000000</v>
      </c>
      <c r="G8" s="147">
        <f>$B$6</f>
        <v>5.8000000000000003E-2</v>
      </c>
      <c r="H8" s="153">
        <f>IF(B$7=1,(1+G8/B$8)^(B$8/12)-1,G8/12)</f>
        <v>4.8333333333333336E-3</v>
      </c>
    </row>
    <row r="9" spans="1:41" x14ac:dyDescent="0.3">
      <c r="A9" s="146" t="s">
        <v>241</v>
      </c>
      <c r="B9" s="150">
        <v>75</v>
      </c>
      <c r="E9" s="151" t="s">
        <v>212</v>
      </c>
      <c r="F9" s="149">
        <f>SUM(F6:F8)</f>
        <v>500000000</v>
      </c>
      <c r="G9" s="154">
        <f ca="1">SUMPRODUCT(F6:F9,G6:G9)/F9</f>
        <v>3.7999999999999999E-2</v>
      </c>
      <c r="H9" s="153"/>
    </row>
    <row r="10" spans="1:41" x14ac:dyDescent="0.3">
      <c r="A10" s="146" t="s">
        <v>242</v>
      </c>
      <c r="B10" s="152">
        <v>5.8500000000000003E-2</v>
      </c>
    </row>
    <row r="11" spans="1:41" x14ac:dyDescent="0.3">
      <c r="A11" s="146" t="s">
        <v>243</v>
      </c>
      <c r="B11" s="150">
        <v>12</v>
      </c>
    </row>
    <row r="13" spans="1:41" x14ac:dyDescent="0.3">
      <c r="A13" s="146" t="s">
        <v>244</v>
      </c>
      <c r="B13" s="155">
        <f>IF(B7=1,25,30)</f>
        <v>30</v>
      </c>
      <c r="V13" s="147"/>
      <c r="W13" s="114"/>
      <c r="X13" s="114"/>
      <c r="AB13" s="114"/>
      <c r="AK13" s="114"/>
    </row>
    <row r="14" spans="1:41" x14ac:dyDescent="0.3">
      <c r="A14" s="156" t="s">
        <v>293</v>
      </c>
      <c r="B14" s="155">
        <f>(1+B10/2)^(1/6)-1</f>
        <v>4.8166264420947957E-3</v>
      </c>
      <c r="U14" s="157"/>
      <c r="V14" s="158" t="s">
        <v>294</v>
      </c>
      <c r="W14" s="159"/>
      <c r="X14" s="114"/>
      <c r="AB14" s="114"/>
      <c r="AD14" s="157"/>
      <c r="AE14" s="158" t="s">
        <v>294</v>
      </c>
      <c r="AF14" s="159"/>
      <c r="AG14" s="114"/>
      <c r="AK14" s="114"/>
      <c r="AM14" s="157"/>
      <c r="AN14" s="158" t="s">
        <v>294</v>
      </c>
      <c r="AO14" s="159"/>
    </row>
    <row r="15" spans="1:41" x14ac:dyDescent="0.3">
      <c r="A15" s="146" t="s">
        <v>245</v>
      </c>
      <c r="B15" s="153">
        <f>IF(B$7=1,(1+B$5/B$8)^(B$8/12)-1,B$5/12)</f>
        <v>5.0000000000000001E-3</v>
      </c>
      <c r="C15" s="153"/>
      <c r="U15" s="160"/>
      <c r="V15" s="161" t="s">
        <v>295</v>
      </c>
      <c r="W15" s="160" t="s">
        <v>296</v>
      </c>
      <c r="X15" s="147"/>
      <c r="AB15" s="114"/>
      <c r="AD15" s="160"/>
      <c r="AE15" s="161" t="s">
        <v>295</v>
      </c>
      <c r="AF15" s="160" t="s">
        <v>296</v>
      </c>
      <c r="AG15" s="147"/>
      <c r="AK15" s="114"/>
      <c r="AM15" s="160"/>
      <c r="AN15" s="161" t="s">
        <v>295</v>
      </c>
      <c r="AO15" s="160" t="s">
        <v>296</v>
      </c>
    </row>
    <row r="16" spans="1:41" x14ac:dyDescent="0.3">
      <c r="A16" s="146" t="s">
        <v>246</v>
      </c>
      <c r="B16" s="153">
        <f>IF(B$7=1,(1+B$6/B$8)^(B$8/12)-1,B$6/12)</f>
        <v>4.8333333333333336E-3</v>
      </c>
      <c r="C16" s="153"/>
      <c r="U16" s="160" t="s">
        <v>297</v>
      </c>
      <c r="V16" s="162">
        <f>SUMPRODUCT(V$23:V$1048576,U$23:U$1048576)*6</f>
        <v>36.104471917910644</v>
      </c>
      <c r="W16" s="160"/>
      <c r="X16" s="147"/>
      <c r="AB16" s="115"/>
      <c r="AD16" s="160" t="s">
        <v>297</v>
      </c>
      <c r="AE16" s="162">
        <f>SUMPRODUCT(AE$23:AE$1048576,AD$23:AD$1048576)*6</f>
        <v>101.35359284101261</v>
      </c>
      <c r="AF16" s="160"/>
      <c r="AG16" s="147"/>
      <c r="AK16" s="115"/>
      <c r="AM16" s="160" t="s">
        <v>297</v>
      </c>
      <c r="AN16" s="162">
        <f>SUMPRODUCT(AN$23:AN$1048576,AM$23:AM$1048576)*6</f>
        <v>143.35521170842895</v>
      </c>
      <c r="AO16" s="160"/>
    </row>
    <row r="17" spans="1:41" x14ac:dyDescent="0.3">
      <c r="A17" s="146" t="s">
        <v>298</v>
      </c>
      <c r="B17" s="149">
        <f>B3/((1-1/(1+$B$15)^B4)/$B$15)</f>
        <v>3295387.8087847102</v>
      </c>
      <c r="C17" s="149"/>
      <c r="U17" s="160" t="s">
        <v>299</v>
      </c>
      <c r="V17" s="157"/>
      <c r="W17" s="162">
        <f>SUMPRODUCT(V$23:V$1000,W$23:W$1000)/((1+($B$10/2))^2)</f>
        <v>54.850959457685171</v>
      </c>
      <c r="X17" s="163"/>
      <c r="AB17" s="114"/>
      <c r="AD17" s="160" t="s">
        <v>299</v>
      </c>
      <c r="AE17" s="157"/>
      <c r="AF17" s="162">
        <f>SUMPRODUCT(AE$23:AE$1000,AF$23:AF$1000)/((1+(B10/2))^2)</f>
        <v>359.01516160121372</v>
      </c>
      <c r="AG17" s="163"/>
      <c r="AK17" s="114"/>
      <c r="AM17" s="160" t="s">
        <v>299</v>
      </c>
      <c r="AN17" s="157"/>
      <c r="AO17" s="162">
        <f>SUMPRODUCT(AN$23:AN$1000,AO$23:AO$1000)/((1+(B10/2))^2)</f>
        <v>764.33910405890435</v>
      </c>
    </row>
    <row r="18" spans="1:41" ht="15.5" x14ac:dyDescent="0.35">
      <c r="E18" s="221" t="s">
        <v>247</v>
      </c>
      <c r="F18" s="221"/>
      <c r="G18" s="221"/>
      <c r="H18" s="221"/>
      <c r="I18" s="221"/>
      <c r="J18" s="221"/>
      <c r="K18" s="221"/>
      <c r="L18" s="221"/>
      <c r="M18" s="221"/>
      <c r="N18" s="164"/>
      <c r="U18" s="160" t="s">
        <v>300</v>
      </c>
      <c r="V18" s="162">
        <f>SUMPRODUCT(V$23:V$1000,U$23:U$1000)/2</f>
        <v>3.0087059931592202</v>
      </c>
      <c r="W18" s="162">
        <f>W17/4</f>
        <v>13.712739864421293</v>
      </c>
      <c r="X18" s="115"/>
      <c r="AB18" s="115"/>
      <c r="AD18" s="160" t="s">
        <v>300</v>
      </c>
      <c r="AE18" s="162">
        <f>SUMPRODUCT(AE$23:AE$1000,AD$23:AD$1000)/2</f>
        <v>8.4461327367510517</v>
      </c>
      <c r="AF18" s="162">
        <f>AF17/4</f>
        <v>89.75379040030343</v>
      </c>
      <c r="AG18" s="115"/>
      <c r="AK18" s="115"/>
      <c r="AM18" s="160" t="s">
        <v>300</v>
      </c>
      <c r="AN18" s="162">
        <f>SUMPRODUCT(AN$23:AN$1000,AM$23:AM$1000)/2</f>
        <v>11.946267642369079</v>
      </c>
      <c r="AO18" s="162">
        <f>AO17/4</f>
        <v>191.08477601472609</v>
      </c>
    </row>
    <row r="19" spans="1:41" ht="15" customHeight="1" x14ac:dyDescent="0.3">
      <c r="B19" s="151" t="s">
        <v>248</v>
      </c>
      <c r="C19" s="151" t="s">
        <v>248</v>
      </c>
      <c r="E19" s="220" t="s">
        <v>249</v>
      </c>
      <c r="F19" s="220"/>
      <c r="G19" s="220"/>
      <c r="H19" s="220"/>
      <c r="I19" s="220"/>
      <c r="J19" s="222" t="s">
        <v>250</v>
      </c>
      <c r="K19" s="222"/>
      <c r="L19" s="222"/>
      <c r="M19" s="223" t="s">
        <v>212</v>
      </c>
      <c r="N19" s="223"/>
      <c r="P19" s="220" t="s">
        <v>251</v>
      </c>
      <c r="Q19" s="220"/>
      <c r="R19" s="220"/>
      <c r="S19" s="220"/>
      <c r="T19" s="220"/>
      <c r="U19" s="220"/>
      <c r="V19" s="220"/>
      <c r="W19" s="220"/>
      <c r="X19" s="151"/>
      <c r="Y19" s="224" t="s">
        <v>252</v>
      </c>
      <c r="Z19" s="224"/>
      <c r="AA19" s="224"/>
      <c r="AB19" s="224"/>
      <c r="AC19" s="224"/>
      <c r="AD19" s="224"/>
      <c r="AE19" s="224"/>
      <c r="AF19" s="224"/>
      <c r="AG19" s="151"/>
      <c r="AH19" s="220" t="s">
        <v>253</v>
      </c>
      <c r="AI19" s="220"/>
      <c r="AJ19" s="220"/>
      <c r="AK19" s="220"/>
      <c r="AL19" s="220"/>
      <c r="AM19" s="220"/>
      <c r="AN19" s="220"/>
      <c r="AO19" s="220"/>
    </row>
    <row r="20" spans="1:41" s="146" customFormat="1" x14ac:dyDescent="0.3">
      <c r="A20" s="146" t="s">
        <v>254</v>
      </c>
      <c r="B20" s="151" t="s">
        <v>255</v>
      </c>
      <c r="C20" s="151" t="s">
        <v>256</v>
      </c>
      <c r="D20" s="146" t="s">
        <v>257</v>
      </c>
      <c r="E20" s="165" t="s">
        <v>212</v>
      </c>
      <c r="F20" s="165" t="s">
        <v>258</v>
      </c>
      <c r="G20" s="165" t="s">
        <v>259</v>
      </c>
      <c r="H20" s="165" t="s">
        <v>260</v>
      </c>
      <c r="I20" s="165" t="s">
        <v>261</v>
      </c>
      <c r="J20" s="166" t="s">
        <v>262</v>
      </c>
      <c r="K20" s="166" t="s">
        <v>263</v>
      </c>
      <c r="L20" s="166" t="s">
        <v>264</v>
      </c>
      <c r="M20" s="167" t="s">
        <v>265</v>
      </c>
      <c r="N20" s="167" t="s">
        <v>266</v>
      </c>
      <c r="P20" s="169" t="s">
        <v>257</v>
      </c>
      <c r="Q20" s="165" t="s">
        <v>259</v>
      </c>
      <c r="R20" s="170" t="s">
        <v>267</v>
      </c>
      <c r="S20" s="118" t="s">
        <v>268</v>
      </c>
      <c r="T20" s="118" t="s">
        <v>65</v>
      </c>
      <c r="U20" s="118" t="s">
        <v>269</v>
      </c>
      <c r="V20" s="118" t="s">
        <v>270</v>
      </c>
      <c r="W20" s="118" t="s">
        <v>271</v>
      </c>
      <c r="X20" s="171"/>
      <c r="Y20" s="172" t="s">
        <v>257</v>
      </c>
      <c r="Z20" s="168" t="s">
        <v>259</v>
      </c>
      <c r="AA20" s="168" t="s">
        <v>267</v>
      </c>
      <c r="AB20" s="119" t="s">
        <v>268</v>
      </c>
      <c r="AC20" s="117" t="s">
        <v>65</v>
      </c>
      <c r="AD20" s="117" t="s">
        <v>269</v>
      </c>
      <c r="AE20" s="117" t="s">
        <v>270</v>
      </c>
      <c r="AF20" s="117" t="s">
        <v>271</v>
      </c>
      <c r="AG20" s="173"/>
      <c r="AH20" s="169" t="s">
        <v>257</v>
      </c>
      <c r="AI20" s="165" t="s">
        <v>259</v>
      </c>
      <c r="AJ20" s="165" t="s">
        <v>267</v>
      </c>
      <c r="AK20" s="118" t="s">
        <v>268</v>
      </c>
      <c r="AL20" s="116" t="s">
        <v>65</v>
      </c>
      <c r="AM20" s="116" t="s">
        <v>269</v>
      </c>
      <c r="AN20" s="116" t="s">
        <v>270</v>
      </c>
      <c r="AO20" s="116" t="s">
        <v>271</v>
      </c>
    </row>
    <row r="21" spans="1:41" x14ac:dyDescent="0.3">
      <c r="T21" s="174">
        <f>SUM(T23:T1000)</f>
        <v>200120079.64308003</v>
      </c>
      <c r="AC21" s="174">
        <f>SUM(AC23:AC1000)</f>
        <v>200337240.80290464</v>
      </c>
      <c r="AL21" s="174">
        <f>SUM(AL23:AL1000)</f>
        <v>100238529.00965479</v>
      </c>
    </row>
    <row r="22" spans="1:41" x14ac:dyDescent="0.3">
      <c r="A22" s="146">
        <v>0</v>
      </c>
      <c r="B22" s="147">
        <f>IF(A22&gt;$B$4,"",B$4-A22)</f>
        <v>285</v>
      </c>
      <c r="C22" s="147">
        <f t="shared" ref="C22:C85" si="0">IF($A22&gt;$B$4,"",$B$11*$B$13-B22)</f>
        <v>75</v>
      </c>
      <c r="D22" s="149">
        <f>B3</f>
        <v>500000000</v>
      </c>
      <c r="E22" s="149"/>
      <c r="G22" s="149"/>
      <c r="H22" s="149"/>
      <c r="I22" s="149"/>
      <c r="P22" s="149">
        <f>$F6</f>
        <v>200000000</v>
      </c>
      <c r="Y22" s="149">
        <f>$F7</f>
        <v>200000000</v>
      </c>
      <c r="AH22" s="149">
        <f>$F8</f>
        <v>100000000</v>
      </c>
    </row>
    <row r="23" spans="1:41" x14ac:dyDescent="0.3">
      <c r="A23" s="146">
        <f>A22+1</f>
        <v>1</v>
      </c>
      <c r="B23" s="147">
        <f t="shared" ref="B23:B86" si="1">IF(A23&gt;$B$4,"",B$4-A23)</f>
        <v>284</v>
      </c>
      <c r="C23" s="147">
        <f t="shared" si="0"/>
        <v>76</v>
      </c>
      <c r="D23" s="149">
        <f>IF(A23&gt;$B$4,"",D22-I23-L23)</f>
        <v>497292836.73443139</v>
      </c>
      <c r="E23" s="149">
        <f>IF(A23&gt;$B$4,"",$B$17)</f>
        <v>3295387.8087847102</v>
      </c>
      <c r="F23" s="149">
        <f t="shared" ref="F23:F86" si="2">IF(A23&gt;$B$4,"",D22*$B$15)</f>
        <v>2500000</v>
      </c>
      <c r="G23" s="149">
        <f>IF(A23&gt;$B$4,"",D22*$B$16)</f>
        <v>2416666.666666667</v>
      </c>
      <c r="H23" s="149">
        <f>IF(A23&gt;$B$4,"",F23-G23)</f>
        <v>83333.333333333023</v>
      </c>
      <c r="I23" s="149">
        <f>IF(A23&gt;$B$4,"",E23-F23)</f>
        <v>795387.80878471024</v>
      </c>
      <c r="J23" s="147">
        <f>IF(A23&gt;$B$4,"",$B$9/100*MIN(C23/30,1)*0.06)</f>
        <v>4.4999999999999998E-2</v>
      </c>
      <c r="K23" s="175">
        <f>IF(A23&gt;$B$4,"",1-(1-J23)^(1/$B$11))</f>
        <v>3.8296430163020645E-3</v>
      </c>
      <c r="L23" s="149">
        <f>IF(A23&gt;$B$4,"",(D22-I23)*K23)</f>
        <v>1911775.4567838681</v>
      </c>
      <c r="M23" s="149">
        <f>IF(A23&gt;$B$4,"",G23+I23+L23)</f>
        <v>5123829.9322352456</v>
      </c>
      <c r="N23" s="149">
        <f>IF($A23&gt;$B$4,"",I23+L23)</f>
        <v>2707163.2655685786</v>
      </c>
      <c r="P23" s="149">
        <f>IF($A23&gt;$B$4,"",MAX(0,P22-R23))</f>
        <v>197292836.73443142</v>
      </c>
      <c r="Q23" s="149">
        <f>IF($A23&gt;$B$4,"",IF(P22&gt;0,$H$6*P22,0))</f>
        <v>966666.66666666674</v>
      </c>
      <c r="R23" s="176">
        <f>IF($A23&gt;$B$4,"",MIN(P22,$N23))</f>
        <v>2707163.2655685786</v>
      </c>
      <c r="S23" s="113">
        <f>IF($A23&gt;$B$4,"",Q23+R23)</f>
        <v>3673829.9322352456</v>
      </c>
      <c r="T23" s="113">
        <f>IF(A23&gt;$B$4,"",S23/(1+$B$14)^(A23/$B$11*$B$8))</f>
        <v>3656219.2897262531</v>
      </c>
      <c r="U23" s="114">
        <f>IF($A23&gt;$B$4,"",A23/6)</f>
        <v>0.16666666666666666</v>
      </c>
      <c r="V23" s="114">
        <f>IF($A23&gt;$B$4,"",T23/$T$21)</f>
        <v>1.8270127096927137E-2</v>
      </c>
      <c r="W23" s="114">
        <f>IF($A23&gt;$B$4,"",U23*(U23+1))</f>
        <v>0.19444444444444445</v>
      </c>
      <c r="X23" s="114"/>
      <c r="Y23" s="149">
        <f>IF($A23&gt;$B$4,"",MAX(0,Y22-AA23))</f>
        <v>200000000</v>
      </c>
      <c r="Z23" s="149">
        <f>IF($A23&gt;$B$4,"",IF(Y22&gt;0,$H$7*Y22,0))</f>
        <v>966666.66666666674</v>
      </c>
      <c r="AA23" s="176">
        <f>IF($A23&gt;$B$4,"",IF(P23&gt;0,0,MIN(Y22,$N23-R23)))</f>
        <v>0</v>
      </c>
      <c r="AB23" s="113">
        <f>IF($A23&gt;$B$4,"",Z23+AA23)</f>
        <v>966666.66666666674</v>
      </c>
      <c r="AC23" s="113">
        <f t="shared" ref="AC23:AC86" si="3">IF(A23&gt;$B$4,"",AB23/(1+$B$14)^(A23/$B$11*$B$8))</f>
        <v>962032.91349734995</v>
      </c>
      <c r="AD23" s="114">
        <f>IF($A23&gt;$B$4,"",A23/6)</f>
        <v>0.16666666666666666</v>
      </c>
      <c r="AE23" s="114">
        <f>IF($A23&gt;$B$4,"",AC23/$AC$21)</f>
        <v>4.8020673023235613E-3</v>
      </c>
      <c r="AF23" s="114">
        <f>IF($A23&gt;$B$4,"",AD23*(AD23+1))</f>
        <v>0.19444444444444445</v>
      </c>
      <c r="AG23" s="114"/>
      <c r="AH23" s="176">
        <f>IF($A23&gt;$B$4,"",MAX(0,AH22-AJ23))</f>
        <v>100000000</v>
      </c>
      <c r="AI23" s="176">
        <f>IF($A23&gt;$B$4,"",IF(AH22&gt;0,$H$8*AH22,0))</f>
        <v>483333.33333333337</v>
      </c>
      <c r="AJ23" s="176">
        <f>IF($A23&gt;$B$4,"",IF(Y23&gt;0,0,MIN(AH22,$N23-AA23)))</f>
        <v>0</v>
      </c>
      <c r="AK23" s="113">
        <f>IF($A23&gt;$B$4,"",AI23+AJ23)</f>
        <v>483333.33333333337</v>
      </c>
      <c r="AL23" s="113">
        <f t="shared" ref="AL23:AL86" si="4">IF(A23&gt;$B$4,"",AK23/(1+$B$14)^(A23/$B$11*$B$8))</f>
        <v>481016.45674867497</v>
      </c>
      <c r="AM23" s="114">
        <f>IF($A23&gt;$B$4,"",A23/6)</f>
        <v>0.16666666666666666</v>
      </c>
      <c r="AN23" s="114">
        <f>IF($A23&gt;$B$4,"",AL23/$AL$21)</f>
        <v>4.7987182324108566E-3</v>
      </c>
      <c r="AO23" s="114">
        <f>IF($A23&gt;$B$4,"",AM23*(AM23+1))</f>
        <v>0.19444444444444445</v>
      </c>
    </row>
    <row r="24" spans="1:41" x14ac:dyDescent="0.3">
      <c r="A24" s="146">
        <f t="shared" ref="A24:A87" si="5">A23+1</f>
        <v>2</v>
      </c>
      <c r="B24" s="147">
        <f t="shared" si="1"/>
        <v>283</v>
      </c>
      <c r="C24" s="147">
        <f t="shared" si="0"/>
        <v>77</v>
      </c>
      <c r="D24" s="149">
        <f t="shared" ref="D24:D87" si="6">IF(A24&gt;$B$4,"",D23-I24-L24)</f>
        <v>494595128.78697789</v>
      </c>
      <c r="E24" s="149">
        <f t="shared" ref="E24:E87" si="7">IF(A24&gt;$B$4,"",MIN(E23*(1-K23),D23*(1+$B$15)))</f>
        <v>3282767.6498767911</v>
      </c>
      <c r="F24" s="149">
        <f t="shared" si="2"/>
        <v>2486464.1836721571</v>
      </c>
      <c r="G24" s="149">
        <f t="shared" ref="G24:G86" si="8">IF(A24&gt;$B$4,"",D23*$B$16)</f>
        <v>2403582.0442164186</v>
      </c>
      <c r="H24" s="149">
        <f t="shared" ref="H24:H87" si="9">IF(A24&gt;$B$4,"",F24-G24)</f>
        <v>82882.139455738477</v>
      </c>
      <c r="I24" s="149">
        <f t="shared" ref="I24:I87" si="10">IF(A24&gt;$B$4,"",E24-F24)</f>
        <v>796303.46620463394</v>
      </c>
      <c r="J24" s="147">
        <f t="shared" ref="J24:J87" si="11">IF(A24&gt;$B$4,"",$B$9/100*MIN(C24/30,1)*0.06)</f>
        <v>4.4999999999999998E-2</v>
      </c>
      <c r="K24" s="175">
        <f t="shared" ref="K24:K86" si="12">IF(A24&gt;$B$4,"",1-(1-J24)^(1/$B$11))</f>
        <v>3.8296430163020645E-3</v>
      </c>
      <c r="L24" s="149">
        <f t="shared" ref="L24:L87" si="13">IF(A24&gt;$B$4,"",(D23-I24)*K24)</f>
        <v>1901404.4812488502</v>
      </c>
      <c r="M24" s="149">
        <f t="shared" ref="M24:M87" si="14">IF(A24&gt;$B$4,"",G24+I24+L24)</f>
        <v>5101289.9916699026</v>
      </c>
      <c r="N24" s="149">
        <f t="shared" ref="N24:N87" si="15">IF($A24&gt;$B$4,"",I24+L24)</f>
        <v>2697707.9474534839</v>
      </c>
      <c r="P24" s="149">
        <f t="shared" ref="P24:P87" si="16">IF($A24&gt;$B$4,"",MAX(0,P23-R24))</f>
        <v>194595128.78697795</v>
      </c>
      <c r="Q24" s="149">
        <f t="shared" ref="Q24:Q87" si="17">IF($A24&gt;$B$4,"",IF(P23&gt;0,$H$6*P23,0))</f>
        <v>953582.04421641852</v>
      </c>
      <c r="R24" s="176">
        <f t="shared" ref="R24:R87" si="18">IF($A24&gt;$B$4,"",MIN(P23,$N24))</f>
        <v>2697707.9474534839</v>
      </c>
      <c r="S24" s="113">
        <f t="shared" ref="S24:S87" si="19">IF($A24&gt;$B$4,"",Q24+R24)</f>
        <v>3651289.9916699026</v>
      </c>
      <c r="T24" s="113">
        <f t="shared" ref="T24:T86" si="20">IF(A24&gt;$B$4,"",S24/(1+$B$14)^(A24/$B$11*$B$8))</f>
        <v>3616368.6981214136</v>
      </c>
      <c r="U24" s="114">
        <f t="shared" ref="U24:U87" si="21">IF($A24&gt;$B$4,"",A24/6)</f>
        <v>0.33333333333333331</v>
      </c>
      <c r="V24" s="114">
        <f t="shared" ref="V24:V87" si="22">IF($A24&gt;$B$4,"",T24/$T$21)</f>
        <v>1.8070993698240136E-2</v>
      </c>
      <c r="W24" s="114">
        <f t="shared" ref="W24:W87" si="23">IF($A24&gt;$B$4,"",U24*(U24+1))</f>
        <v>0.44444444444444442</v>
      </c>
      <c r="X24" s="114"/>
      <c r="Y24" s="149">
        <f t="shared" ref="Y24:Y87" si="24">IF($A24&gt;$B$4,"",MAX(0,Y23-AA24))</f>
        <v>200000000</v>
      </c>
      <c r="Z24" s="149">
        <f t="shared" ref="Z24:Z87" si="25">IF($A24&gt;$B$4,"",IF(Y23&gt;0,$H$7*Y23,0))</f>
        <v>966666.66666666674</v>
      </c>
      <c r="AA24" s="176">
        <f t="shared" ref="AA24:AA87" si="26">IF($A24&gt;$B$4,"",IF(P24&gt;0,0,MIN(Y23,$N24-R24)))</f>
        <v>0</v>
      </c>
      <c r="AB24" s="113">
        <f t="shared" ref="AB24:AB87" si="27">IF($A24&gt;$B$4,"",Z24+AA24)</f>
        <v>966666.66666666674</v>
      </c>
      <c r="AC24" s="113">
        <f t="shared" si="3"/>
        <v>957421.37239882711</v>
      </c>
      <c r="AD24" s="114">
        <f t="shared" ref="AD24:AD87" si="28">IF($A24&gt;$B$4,"",A24/6)</f>
        <v>0.33333333333333331</v>
      </c>
      <c r="AE24" s="114">
        <f t="shared" ref="AE24:AE87" si="29">IF($A24&gt;$B$4,"",AC24/$AC$21)</f>
        <v>4.7790484113772709E-3</v>
      </c>
      <c r="AF24" s="114">
        <f t="shared" ref="AF24:AF87" si="30">IF($A24&gt;$B$4,"",AD24*(AD24+1))</f>
        <v>0.44444444444444442</v>
      </c>
      <c r="AG24" s="114"/>
      <c r="AH24" s="176">
        <f t="shared" ref="AH24:AH87" si="31">IF($A24&gt;$B$4,"",MAX(0,AH23-AJ24))</f>
        <v>100000000</v>
      </c>
      <c r="AI24" s="176">
        <f t="shared" ref="AI24:AI87" si="32">IF($A24&gt;$B$4,"",IF(AH23&gt;0,$H$8*AH23,0))</f>
        <v>483333.33333333337</v>
      </c>
      <c r="AJ24" s="176">
        <f t="shared" ref="AJ24:AJ87" si="33">IF($A24&gt;$B$4,"",IF(Y24&gt;0,0,MIN(AH23,$N24-AA24)))</f>
        <v>0</v>
      </c>
      <c r="AK24" s="113">
        <f t="shared" ref="AK24:AK87" si="34">IF($A24&gt;$B$4,"",AI24+AJ24)</f>
        <v>483333.33333333337</v>
      </c>
      <c r="AL24" s="113">
        <f t="shared" si="4"/>
        <v>478710.68619941355</v>
      </c>
      <c r="AM24" s="114">
        <f t="shared" ref="AM24:AM87" si="35">IF($A24&gt;$B$4,"",A24/6)</f>
        <v>0.33333333333333331</v>
      </c>
      <c r="AN24" s="114">
        <f t="shared" ref="AN24:AN87" si="36">IF($A24&gt;$B$4,"",AL24/$AL$21)</f>
        <v>4.7757153953576579E-3</v>
      </c>
      <c r="AO24" s="114">
        <f t="shared" ref="AO24:AO87" si="37">IF($A24&gt;$B$4,"",AM24*(AM24+1))</f>
        <v>0.44444444444444442</v>
      </c>
    </row>
    <row r="25" spans="1:41" hidden="1" outlineLevel="1" x14ac:dyDescent="0.3">
      <c r="A25" s="146">
        <f t="shared" si="5"/>
        <v>3</v>
      </c>
      <c r="B25" s="147">
        <f t="shared" si="1"/>
        <v>282</v>
      </c>
      <c r="C25" s="147">
        <f t="shared" si="0"/>
        <v>78</v>
      </c>
      <c r="D25" s="149">
        <f t="shared" si="6"/>
        <v>491906838.89707053</v>
      </c>
      <c r="E25" s="149">
        <f t="shared" si="7"/>
        <v>3270195.821672298</v>
      </c>
      <c r="F25" s="149">
        <f t="shared" si="2"/>
        <v>2472975.6439348897</v>
      </c>
      <c r="G25" s="149">
        <f t="shared" si="8"/>
        <v>2390543.1224703933</v>
      </c>
      <c r="H25" s="149">
        <f t="shared" si="9"/>
        <v>82432.521464496385</v>
      </c>
      <c r="I25" s="149">
        <f t="shared" si="10"/>
        <v>797220.17773740832</v>
      </c>
      <c r="J25" s="147">
        <f t="shared" si="11"/>
        <v>4.4999999999999998E-2</v>
      </c>
      <c r="K25" s="175">
        <f t="shared" si="12"/>
        <v>3.8296430163020645E-3</v>
      </c>
      <c r="L25" s="149">
        <f t="shared" si="13"/>
        <v>1891069.7121699429</v>
      </c>
      <c r="M25" s="149">
        <f t="shared" si="14"/>
        <v>5078833.0123777445</v>
      </c>
      <c r="N25" s="149">
        <f t="shared" si="15"/>
        <v>2688289.8899073512</v>
      </c>
      <c r="P25" s="149">
        <f t="shared" si="16"/>
        <v>191906838.89707059</v>
      </c>
      <c r="Q25" s="149">
        <f t="shared" si="17"/>
        <v>940543.12247039343</v>
      </c>
      <c r="R25" s="176">
        <f t="shared" si="18"/>
        <v>2688289.8899073512</v>
      </c>
      <c r="S25" s="113">
        <f t="shared" si="19"/>
        <v>3628833.0123777445</v>
      </c>
      <c r="T25" s="113">
        <f t="shared" si="20"/>
        <v>3576897.9184743781</v>
      </c>
      <c r="U25" s="114">
        <f t="shared" si="21"/>
        <v>0.5</v>
      </c>
      <c r="V25" s="114">
        <f t="shared" si="22"/>
        <v>1.787375821983421E-2</v>
      </c>
      <c r="W25" s="114">
        <f t="shared" si="23"/>
        <v>0.75</v>
      </c>
      <c r="X25" s="114"/>
      <c r="Y25" s="149">
        <f t="shared" si="24"/>
        <v>200000000</v>
      </c>
      <c r="Z25" s="149">
        <f t="shared" si="25"/>
        <v>966666.66666666674</v>
      </c>
      <c r="AA25" s="176">
        <f t="shared" si="26"/>
        <v>0</v>
      </c>
      <c r="AB25" s="113">
        <f t="shared" si="27"/>
        <v>966666.66666666674</v>
      </c>
      <c r="AC25" s="113">
        <f t="shared" si="3"/>
        <v>952831.93689669797</v>
      </c>
      <c r="AD25" s="114">
        <f t="shared" si="28"/>
        <v>0.5</v>
      </c>
      <c r="AE25" s="114">
        <f t="shared" si="29"/>
        <v>4.7561398623539551E-3</v>
      </c>
      <c r="AF25" s="114">
        <f t="shared" si="30"/>
        <v>0.75</v>
      </c>
      <c r="AG25" s="114"/>
      <c r="AH25" s="176">
        <f t="shared" si="31"/>
        <v>100000000</v>
      </c>
      <c r="AI25" s="176">
        <f t="shared" si="32"/>
        <v>483333.33333333337</v>
      </c>
      <c r="AJ25" s="176">
        <f t="shared" si="33"/>
        <v>0</v>
      </c>
      <c r="AK25" s="113">
        <f t="shared" si="34"/>
        <v>483333.33333333337</v>
      </c>
      <c r="AL25" s="113">
        <f t="shared" si="4"/>
        <v>476415.96844834898</v>
      </c>
      <c r="AM25" s="114">
        <f t="shared" si="35"/>
        <v>0.5</v>
      </c>
      <c r="AN25" s="114">
        <f t="shared" si="36"/>
        <v>4.7528228232724913E-3</v>
      </c>
      <c r="AO25" s="114">
        <f t="shared" si="37"/>
        <v>0.75</v>
      </c>
    </row>
    <row r="26" spans="1:41" hidden="1" outlineLevel="1" x14ac:dyDescent="0.3">
      <c r="A26" s="146">
        <f t="shared" si="5"/>
        <v>4</v>
      </c>
      <c r="B26" s="147">
        <f t="shared" si="1"/>
        <v>281</v>
      </c>
      <c r="C26" s="147">
        <f t="shared" si="0"/>
        <v>79</v>
      </c>
      <c r="D26" s="149">
        <f t="shared" si="6"/>
        <v>489227929.9456262</v>
      </c>
      <c r="E26" s="149">
        <f t="shared" si="7"/>
        <v>3257672.1390818907</v>
      </c>
      <c r="F26" s="149">
        <f t="shared" si="2"/>
        <v>2459534.1944853528</v>
      </c>
      <c r="G26" s="149">
        <f t="shared" si="8"/>
        <v>2377549.7213358409</v>
      </c>
      <c r="H26" s="149">
        <f t="shared" si="9"/>
        <v>81984.473149511963</v>
      </c>
      <c r="I26" s="149">
        <f t="shared" si="10"/>
        <v>798137.94459653785</v>
      </c>
      <c r="J26" s="147">
        <f t="shared" si="11"/>
        <v>4.4999999999999998E-2</v>
      </c>
      <c r="K26" s="175">
        <f t="shared" si="12"/>
        <v>3.8296430163020645E-3</v>
      </c>
      <c r="L26" s="149">
        <f t="shared" si="13"/>
        <v>1880771.0068478212</v>
      </c>
      <c r="M26" s="149">
        <f t="shared" si="14"/>
        <v>5056458.6727801999</v>
      </c>
      <c r="N26" s="149">
        <f t="shared" si="15"/>
        <v>2678908.951444359</v>
      </c>
      <c r="P26" s="149">
        <f t="shared" si="16"/>
        <v>189227929.94562623</v>
      </c>
      <c r="Q26" s="149">
        <f t="shared" si="17"/>
        <v>927549.72133584123</v>
      </c>
      <c r="R26" s="176">
        <f t="shared" si="18"/>
        <v>2678908.951444359</v>
      </c>
      <c r="S26" s="113">
        <f t="shared" si="19"/>
        <v>3606458.6727802004</v>
      </c>
      <c r="T26" s="113">
        <f t="shared" si="20"/>
        <v>3537803.5177430063</v>
      </c>
      <c r="U26" s="114">
        <f t="shared" si="21"/>
        <v>0.66666666666666663</v>
      </c>
      <c r="V26" s="114">
        <f t="shared" si="22"/>
        <v>1.7678403506798425E-2</v>
      </c>
      <c r="W26" s="114">
        <f t="shared" si="23"/>
        <v>1.1111111111111109</v>
      </c>
      <c r="X26" s="114"/>
      <c r="Y26" s="149">
        <f t="shared" si="24"/>
        <v>200000000</v>
      </c>
      <c r="Z26" s="149">
        <f t="shared" si="25"/>
        <v>966666.66666666674</v>
      </c>
      <c r="AA26" s="176">
        <f t="shared" si="26"/>
        <v>0</v>
      </c>
      <c r="AB26" s="113">
        <f t="shared" si="27"/>
        <v>966666.66666666674</v>
      </c>
      <c r="AC26" s="113">
        <f t="shared" si="3"/>
        <v>948264.50102695182</v>
      </c>
      <c r="AD26" s="114">
        <f t="shared" si="28"/>
        <v>0.66666666666666663</v>
      </c>
      <c r="AE26" s="114">
        <f t="shared" si="29"/>
        <v>4.7333411263254417E-3</v>
      </c>
      <c r="AF26" s="114">
        <f t="shared" si="30"/>
        <v>1.1111111111111109</v>
      </c>
      <c r="AG26" s="114"/>
      <c r="AH26" s="176">
        <f t="shared" si="31"/>
        <v>100000000</v>
      </c>
      <c r="AI26" s="176">
        <f t="shared" si="32"/>
        <v>483333.33333333337</v>
      </c>
      <c r="AJ26" s="176">
        <f t="shared" si="33"/>
        <v>0</v>
      </c>
      <c r="AK26" s="113">
        <f t="shared" si="34"/>
        <v>483333.33333333337</v>
      </c>
      <c r="AL26" s="113">
        <f t="shared" si="4"/>
        <v>474132.25051347591</v>
      </c>
      <c r="AM26" s="114">
        <f t="shared" si="35"/>
        <v>0.66666666666666663</v>
      </c>
      <c r="AN26" s="114">
        <f t="shared" si="36"/>
        <v>4.730039987596071E-3</v>
      </c>
      <c r="AO26" s="114">
        <f t="shared" si="37"/>
        <v>1.1111111111111109</v>
      </c>
    </row>
    <row r="27" spans="1:41" hidden="1" outlineLevel="1" x14ac:dyDescent="0.3">
      <c r="A27" s="146">
        <f t="shared" si="5"/>
        <v>5</v>
      </c>
      <c r="B27" s="147">
        <f t="shared" si="1"/>
        <v>280</v>
      </c>
      <c r="C27" s="147">
        <f t="shared" si="0"/>
        <v>80</v>
      </c>
      <c r="D27" s="149">
        <f t="shared" si="6"/>
        <v>486558364.95450431</v>
      </c>
      <c r="E27" s="149">
        <f t="shared" si="7"/>
        <v>3245196.4177250541</v>
      </c>
      <c r="F27" s="149">
        <f t="shared" si="2"/>
        <v>2446139.649728131</v>
      </c>
      <c r="G27" s="149">
        <f t="shared" si="8"/>
        <v>2364601.66140386</v>
      </c>
      <c r="H27" s="149">
        <f t="shared" si="9"/>
        <v>81537.988324271049</v>
      </c>
      <c r="I27" s="149">
        <f t="shared" si="10"/>
        <v>799056.76799692307</v>
      </c>
      <c r="J27" s="147">
        <f t="shared" si="11"/>
        <v>4.4999999999999998E-2</v>
      </c>
      <c r="K27" s="175">
        <f t="shared" si="12"/>
        <v>3.8296430163020645E-3</v>
      </c>
      <c r="L27" s="149">
        <f t="shared" si="13"/>
        <v>1870508.2231249947</v>
      </c>
      <c r="M27" s="149">
        <f t="shared" si="14"/>
        <v>5034166.6525257779</v>
      </c>
      <c r="N27" s="149">
        <f t="shared" si="15"/>
        <v>2669564.991121918</v>
      </c>
      <c r="P27" s="149">
        <f t="shared" si="16"/>
        <v>186558364.95450431</v>
      </c>
      <c r="Q27" s="149">
        <f t="shared" si="17"/>
        <v>914601.6614038602</v>
      </c>
      <c r="R27" s="176">
        <f t="shared" si="18"/>
        <v>2669564.991121918</v>
      </c>
      <c r="S27" s="113">
        <f t="shared" si="19"/>
        <v>3584166.6525257779</v>
      </c>
      <c r="T27" s="113">
        <f t="shared" si="20"/>
        <v>3499082.0931719304</v>
      </c>
      <c r="U27" s="114">
        <f t="shared" si="21"/>
        <v>0.83333333333333337</v>
      </c>
      <c r="V27" s="114">
        <f t="shared" si="22"/>
        <v>1.7484912555564863E-2</v>
      </c>
      <c r="W27" s="114">
        <f t="shared" si="23"/>
        <v>1.5277777777777779</v>
      </c>
      <c r="X27" s="114"/>
      <c r="Y27" s="149">
        <f t="shared" si="24"/>
        <v>200000000</v>
      </c>
      <c r="Z27" s="149">
        <f t="shared" si="25"/>
        <v>966666.66666666674</v>
      </c>
      <c r="AA27" s="176">
        <f t="shared" si="26"/>
        <v>0</v>
      </c>
      <c r="AB27" s="113">
        <f t="shared" si="27"/>
        <v>966666.66666666674</v>
      </c>
      <c r="AC27" s="113">
        <f t="shared" si="3"/>
        <v>943718.95933351992</v>
      </c>
      <c r="AD27" s="114">
        <f t="shared" si="28"/>
        <v>0.83333333333333337</v>
      </c>
      <c r="AE27" s="114">
        <f t="shared" si="29"/>
        <v>4.7106516768989923E-3</v>
      </c>
      <c r="AF27" s="114">
        <f t="shared" si="30"/>
        <v>1.5277777777777779</v>
      </c>
      <c r="AG27" s="114"/>
      <c r="AH27" s="176">
        <f t="shared" si="31"/>
        <v>100000000</v>
      </c>
      <c r="AI27" s="176">
        <f t="shared" si="32"/>
        <v>483333.33333333337</v>
      </c>
      <c r="AJ27" s="176">
        <f t="shared" si="33"/>
        <v>0</v>
      </c>
      <c r="AK27" s="113">
        <f t="shared" si="34"/>
        <v>483333.33333333337</v>
      </c>
      <c r="AL27" s="113">
        <f t="shared" si="4"/>
        <v>471859.47966675996</v>
      </c>
      <c r="AM27" s="114">
        <f t="shared" si="35"/>
        <v>0.83333333333333337</v>
      </c>
      <c r="AN27" s="114">
        <f t="shared" si="36"/>
        <v>4.7073663623027765E-3</v>
      </c>
      <c r="AO27" s="114">
        <f t="shared" si="37"/>
        <v>1.5277777777777779</v>
      </c>
    </row>
    <row r="28" spans="1:41" hidden="1" outlineLevel="1" x14ac:dyDescent="0.3">
      <c r="A28" s="146">
        <f t="shared" si="5"/>
        <v>6</v>
      </c>
      <c r="B28" s="147">
        <f t="shared" si="1"/>
        <v>279</v>
      </c>
      <c r="C28" s="147">
        <f t="shared" si="0"/>
        <v>81</v>
      </c>
      <c r="D28" s="149">
        <f t="shared" si="6"/>
        <v>483898107.08596575</v>
      </c>
      <c r="E28" s="149">
        <f t="shared" si="7"/>
        <v>3232768.4739273847</v>
      </c>
      <c r="F28" s="149">
        <f t="shared" si="2"/>
        <v>2432791.8247725214</v>
      </c>
      <c r="G28" s="149">
        <f t="shared" si="8"/>
        <v>2351698.7639467712</v>
      </c>
      <c r="H28" s="149">
        <f t="shared" si="9"/>
        <v>81093.060825750232</v>
      </c>
      <c r="I28" s="149">
        <f t="shared" si="10"/>
        <v>799976.64915486332</v>
      </c>
      <c r="J28" s="147">
        <f t="shared" si="11"/>
        <v>4.4999999999999998E-2</v>
      </c>
      <c r="K28" s="175">
        <f t="shared" si="12"/>
        <v>3.8296430163020645E-3</v>
      </c>
      <c r="L28" s="149">
        <f t="shared" si="13"/>
        <v>1860281.219383728</v>
      </c>
      <c r="M28" s="149">
        <f t="shared" si="14"/>
        <v>5011956.6324853627</v>
      </c>
      <c r="N28" s="149">
        <f t="shared" si="15"/>
        <v>2660257.8685385911</v>
      </c>
      <c r="P28" s="149">
        <f t="shared" si="16"/>
        <v>183898107.08596572</v>
      </c>
      <c r="Q28" s="149">
        <f t="shared" si="17"/>
        <v>901698.76394677092</v>
      </c>
      <c r="R28" s="176">
        <f t="shared" si="18"/>
        <v>2660257.8685385911</v>
      </c>
      <c r="S28" s="113">
        <f t="shared" si="19"/>
        <v>3561956.6324853618</v>
      </c>
      <c r="T28" s="113">
        <f t="shared" si="20"/>
        <v>3460730.2720285282</v>
      </c>
      <c r="U28" s="114">
        <f t="shared" si="21"/>
        <v>1</v>
      </c>
      <c r="V28" s="114">
        <f t="shared" si="22"/>
        <v>1.7293268512589246E-2</v>
      </c>
      <c r="W28" s="114">
        <f t="shared" si="23"/>
        <v>2</v>
      </c>
      <c r="X28" s="114"/>
      <c r="Y28" s="149">
        <f t="shared" si="24"/>
        <v>200000000</v>
      </c>
      <c r="Z28" s="149">
        <f t="shared" si="25"/>
        <v>966666.66666666674</v>
      </c>
      <c r="AA28" s="176">
        <f t="shared" si="26"/>
        <v>0</v>
      </c>
      <c r="AB28" s="113">
        <f t="shared" si="27"/>
        <v>966666.66666666674</v>
      </c>
      <c r="AC28" s="113">
        <f t="shared" si="3"/>
        <v>939195.20686584106</v>
      </c>
      <c r="AD28" s="114">
        <f t="shared" si="28"/>
        <v>1</v>
      </c>
      <c r="AE28" s="114">
        <f t="shared" si="29"/>
        <v>4.6880709902051513E-3</v>
      </c>
      <c r="AF28" s="114">
        <f t="shared" si="30"/>
        <v>2</v>
      </c>
      <c r="AG28" s="114"/>
      <c r="AH28" s="176">
        <f t="shared" si="31"/>
        <v>100000000</v>
      </c>
      <c r="AI28" s="176">
        <f t="shared" si="32"/>
        <v>483333.33333333337</v>
      </c>
      <c r="AJ28" s="176">
        <f t="shared" si="33"/>
        <v>0</v>
      </c>
      <c r="AK28" s="113">
        <f t="shared" si="34"/>
        <v>483333.33333333337</v>
      </c>
      <c r="AL28" s="113">
        <f t="shared" si="4"/>
        <v>469597.60343292053</v>
      </c>
      <c r="AM28" s="114">
        <f t="shared" si="35"/>
        <v>1</v>
      </c>
      <c r="AN28" s="114">
        <f t="shared" si="36"/>
        <v>4.6848014238885108E-3</v>
      </c>
      <c r="AO28" s="114">
        <f t="shared" si="37"/>
        <v>2</v>
      </c>
    </row>
    <row r="29" spans="1:41" hidden="1" outlineLevel="1" x14ac:dyDescent="0.3">
      <c r="A29" s="146">
        <f t="shared" si="5"/>
        <v>7</v>
      </c>
      <c r="B29" s="147">
        <f t="shared" si="1"/>
        <v>278</v>
      </c>
      <c r="C29" s="147">
        <f t="shared" si="0"/>
        <v>82</v>
      </c>
      <c r="D29" s="149">
        <f t="shared" si="6"/>
        <v>481247119.64213371</v>
      </c>
      <c r="E29" s="149">
        <f t="shared" si="7"/>
        <v>3220388.124717887</v>
      </c>
      <c r="F29" s="149">
        <f t="shared" si="2"/>
        <v>2419490.5354298288</v>
      </c>
      <c r="G29" s="149">
        <f t="shared" si="8"/>
        <v>2338840.8509155014</v>
      </c>
      <c r="H29" s="149">
        <f t="shared" si="9"/>
        <v>80649.68451432744</v>
      </c>
      <c r="I29" s="149">
        <f t="shared" si="10"/>
        <v>800897.58928805823</v>
      </c>
      <c r="J29" s="147">
        <f t="shared" si="11"/>
        <v>4.4999999999999998E-2</v>
      </c>
      <c r="K29" s="175">
        <f t="shared" si="12"/>
        <v>3.8296430163020645E-3</v>
      </c>
      <c r="L29" s="149">
        <f t="shared" si="13"/>
        <v>1850089.8545439672</v>
      </c>
      <c r="M29" s="149">
        <f t="shared" si="14"/>
        <v>4989828.2947475268</v>
      </c>
      <c r="N29" s="149">
        <f t="shared" si="15"/>
        <v>2650987.4438320254</v>
      </c>
      <c r="P29" s="149">
        <f t="shared" si="16"/>
        <v>181247119.64213368</v>
      </c>
      <c r="Q29" s="149">
        <f t="shared" si="17"/>
        <v>888840.85091550101</v>
      </c>
      <c r="R29" s="176">
        <f t="shared" si="18"/>
        <v>2650987.4438320254</v>
      </c>
      <c r="S29" s="113">
        <f t="shared" si="19"/>
        <v>3539828.2947475263</v>
      </c>
      <c r="T29" s="113">
        <f t="shared" si="20"/>
        <v>3422744.7113411869</v>
      </c>
      <c r="U29" s="114">
        <f t="shared" si="21"/>
        <v>1.1666666666666667</v>
      </c>
      <c r="V29" s="114">
        <f t="shared" si="22"/>
        <v>1.7103454673043063E-2</v>
      </c>
      <c r="W29" s="114">
        <f t="shared" si="23"/>
        <v>2.5277777777777781</v>
      </c>
      <c r="X29" s="114"/>
      <c r="Y29" s="149">
        <f t="shared" si="24"/>
        <v>200000000</v>
      </c>
      <c r="Z29" s="149">
        <f t="shared" si="25"/>
        <v>966666.66666666674</v>
      </c>
      <c r="AA29" s="176">
        <f t="shared" si="26"/>
        <v>0</v>
      </c>
      <c r="AB29" s="113">
        <f t="shared" si="27"/>
        <v>966666.66666666674</v>
      </c>
      <c r="AC29" s="113">
        <f t="shared" si="3"/>
        <v>934693.13917643938</v>
      </c>
      <c r="AD29" s="114">
        <f t="shared" si="28"/>
        <v>1.1666666666666667</v>
      </c>
      <c r="AE29" s="114">
        <f t="shared" si="29"/>
        <v>4.6655985448856574E-3</v>
      </c>
      <c r="AF29" s="114">
        <f t="shared" si="30"/>
        <v>2.5277777777777781</v>
      </c>
      <c r="AG29" s="114"/>
      <c r="AH29" s="176">
        <f t="shared" si="31"/>
        <v>100000000</v>
      </c>
      <c r="AI29" s="176">
        <f t="shared" si="32"/>
        <v>483333.33333333337</v>
      </c>
      <c r="AJ29" s="176">
        <f t="shared" si="33"/>
        <v>0</v>
      </c>
      <c r="AK29" s="113">
        <f t="shared" si="34"/>
        <v>483333.33333333337</v>
      </c>
      <c r="AL29" s="113">
        <f t="shared" si="4"/>
        <v>467346.56958821969</v>
      </c>
      <c r="AM29" s="114">
        <f t="shared" si="35"/>
        <v>1.1666666666666667</v>
      </c>
      <c r="AN29" s="114">
        <f t="shared" si="36"/>
        <v>4.6623446513586178E-3</v>
      </c>
      <c r="AO29" s="114">
        <f t="shared" si="37"/>
        <v>2.5277777777777781</v>
      </c>
    </row>
    <row r="30" spans="1:41" hidden="1" outlineLevel="1" x14ac:dyDescent="0.3">
      <c r="A30" s="146">
        <f t="shared" si="5"/>
        <v>8</v>
      </c>
      <c r="B30" s="147">
        <f t="shared" si="1"/>
        <v>277</v>
      </c>
      <c r="C30" s="147">
        <f t="shared" si="0"/>
        <v>83</v>
      </c>
      <c r="D30" s="149">
        <f t="shared" si="6"/>
        <v>478605366.06445688</v>
      </c>
      <c r="E30" s="149">
        <f t="shared" si="7"/>
        <v>3208055.1878262791</v>
      </c>
      <c r="F30" s="149">
        <f t="shared" si="2"/>
        <v>2406235.5982106687</v>
      </c>
      <c r="G30" s="149">
        <f t="shared" si="8"/>
        <v>2326027.7449369798</v>
      </c>
      <c r="H30" s="149">
        <f t="shared" si="9"/>
        <v>80207.853273688816</v>
      </c>
      <c r="I30" s="149">
        <f t="shared" si="10"/>
        <v>801819.58961561043</v>
      </c>
      <c r="J30" s="147">
        <f t="shared" si="11"/>
        <v>4.4999999999999998E-2</v>
      </c>
      <c r="K30" s="175">
        <f t="shared" si="12"/>
        <v>3.8296430163020645E-3</v>
      </c>
      <c r="L30" s="149">
        <f t="shared" si="13"/>
        <v>1839933.988061276</v>
      </c>
      <c r="M30" s="149">
        <f t="shared" si="14"/>
        <v>4967781.3226138661</v>
      </c>
      <c r="N30" s="149">
        <f t="shared" si="15"/>
        <v>2641753.5776768867</v>
      </c>
      <c r="P30" s="149">
        <f t="shared" si="16"/>
        <v>178605366.06445679</v>
      </c>
      <c r="Q30" s="149">
        <f t="shared" si="17"/>
        <v>876027.74493697949</v>
      </c>
      <c r="R30" s="176">
        <f t="shared" si="18"/>
        <v>2641753.5776768867</v>
      </c>
      <c r="S30" s="113">
        <f t="shared" si="19"/>
        <v>3517781.3226138661</v>
      </c>
      <c r="T30" s="113">
        <f t="shared" si="20"/>
        <v>3385122.0976398243</v>
      </c>
      <c r="U30" s="114">
        <f t="shared" si="21"/>
        <v>1.3333333333333333</v>
      </c>
      <c r="V30" s="114">
        <f t="shared" si="22"/>
        <v>1.6915454479516936E-2</v>
      </c>
      <c r="W30" s="114">
        <f t="shared" si="23"/>
        <v>3.1111111111111107</v>
      </c>
      <c r="X30" s="114"/>
      <c r="Y30" s="149">
        <f t="shared" si="24"/>
        <v>200000000</v>
      </c>
      <c r="Z30" s="149">
        <f t="shared" si="25"/>
        <v>966666.66666666674</v>
      </c>
      <c r="AA30" s="176">
        <f t="shared" si="26"/>
        <v>0</v>
      </c>
      <c r="AB30" s="113">
        <f t="shared" si="27"/>
        <v>966666.66666666674</v>
      </c>
      <c r="AC30" s="113">
        <f t="shared" si="3"/>
        <v>930212.65231851093</v>
      </c>
      <c r="AD30" s="114">
        <f t="shared" si="28"/>
        <v>1.3333333333333333</v>
      </c>
      <c r="AE30" s="114">
        <f t="shared" si="29"/>
        <v>4.6432338220813909E-3</v>
      </c>
      <c r="AF30" s="114">
        <f t="shared" si="30"/>
        <v>3.1111111111111107</v>
      </c>
      <c r="AG30" s="114"/>
      <c r="AH30" s="176">
        <f t="shared" si="31"/>
        <v>100000000</v>
      </c>
      <c r="AI30" s="176">
        <f t="shared" si="32"/>
        <v>483333.33333333337</v>
      </c>
      <c r="AJ30" s="176">
        <f t="shared" si="33"/>
        <v>0</v>
      </c>
      <c r="AK30" s="113">
        <f t="shared" si="34"/>
        <v>483333.33333333337</v>
      </c>
      <c r="AL30" s="113">
        <f t="shared" si="4"/>
        <v>465106.32615925546</v>
      </c>
      <c r="AM30" s="114">
        <f t="shared" si="35"/>
        <v>1.3333333333333333</v>
      </c>
      <c r="AN30" s="114">
        <f t="shared" si="36"/>
        <v>4.6399955262158453E-3</v>
      </c>
      <c r="AO30" s="114">
        <f t="shared" si="37"/>
        <v>3.1111111111111107</v>
      </c>
    </row>
    <row r="31" spans="1:41" hidden="1" outlineLevel="1" x14ac:dyDescent="0.3">
      <c r="A31" s="146">
        <f t="shared" si="5"/>
        <v>9</v>
      </c>
      <c r="B31" s="147">
        <f t="shared" si="1"/>
        <v>276</v>
      </c>
      <c r="C31" s="147">
        <f t="shared" si="0"/>
        <v>84</v>
      </c>
      <c r="D31" s="149">
        <f t="shared" si="6"/>
        <v>475972809.93317407</v>
      </c>
      <c r="E31" s="149">
        <f t="shared" si="7"/>
        <v>3195769.4816803085</v>
      </c>
      <c r="F31" s="149">
        <f t="shared" si="2"/>
        <v>2393026.8303222843</v>
      </c>
      <c r="G31" s="149">
        <f t="shared" si="8"/>
        <v>2313259.2693115417</v>
      </c>
      <c r="H31" s="149">
        <f t="shared" si="9"/>
        <v>79767.56101074256</v>
      </c>
      <c r="I31" s="149">
        <f t="shared" si="10"/>
        <v>802742.65135802422</v>
      </c>
      <c r="J31" s="147">
        <f t="shared" si="11"/>
        <v>4.4999999999999998E-2</v>
      </c>
      <c r="K31" s="175">
        <f t="shared" si="12"/>
        <v>3.8296430163020645E-3</v>
      </c>
      <c r="L31" s="149">
        <f t="shared" si="13"/>
        <v>1829813.4799247794</v>
      </c>
      <c r="M31" s="149">
        <f t="shared" si="14"/>
        <v>4945815.4005943453</v>
      </c>
      <c r="N31" s="149">
        <f t="shared" si="15"/>
        <v>2632556.1312828036</v>
      </c>
      <c r="P31" s="149">
        <f t="shared" si="16"/>
        <v>175972809.93317398</v>
      </c>
      <c r="Q31" s="149">
        <f t="shared" si="17"/>
        <v>863259.26931154123</v>
      </c>
      <c r="R31" s="176">
        <f t="shared" si="18"/>
        <v>2632556.1312828036</v>
      </c>
      <c r="S31" s="113">
        <f t="shared" si="19"/>
        <v>3495815.4005943448</v>
      </c>
      <c r="T31" s="113">
        <f t="shared" si="20"/>
        <v>3347859.1466986672</v>
      </c>
      <c r="U31" s="114">
        <f t="shared" si="21"/>
        <v>1.5</v>
      </c>
      <c r="V31" s="114">
        <f t="shared" si="22"/>
        <v>1.6729251520735306E-2</v>
      </c>
      <c r="W31" s="114">
        <f t="shared" si="23"/>
        <v>3.75</v>
      </c>
      <c r="X31" s="114"/>
      <c r="Y31" s="149">
        <f t="shared" si="24"/>
        <v>200000000</v>
      </c>
      <c r="Z31" s="149">
        <f t="shared" si="25"/>
        <v>966666.66666666674</v>
      </c>
      <c r="AA31" s="176">
        <f t="shared" si="26"/>
        <v>0</v>
      </c>
      <c r="AB31" s="113">
        <f t="shared" si="27"/>
        <v>966666.66666666674</v>
      </c>
      <c r="AC31" s="113">
        <f t="shared" si="3"/>
        <v>925753.64284352516</v>
      </c>
      <c r="AD31" s="114">
        <f t="shared" si="28"/>
        <v>1.5</v>
      </c>
      <c r="AE31" s="114">
        <f t="shared" si="29"/>
        <v>4.6209763054204092E-3</v>
      </c>
      <c r="AF31" s="114">
        <f t="shared" si="30"/>
        <v>3.75</v>
      </c>
      <c r="AG31" s="114"/>
      <c r="AH31" s="176">
        <f t="shared" si="31"/>
        <v>100000000</v>
      </c>
      <c r="AI31" s="176">
        <f t="shared" si="32"/>
        <v>483333.33333333337</v>
      </c>
      <c r="AJ31" s="176">
        <f t="shared" si="33"/>
        <v>0</v>
      </c>
      <c r="AK31" s="113">
        <f t="shared" si="34"/>
        <v>483333.33333333337</v>
      </c>
      <c r="AL31" s="113">
        <f t="shared" si="4"/>
        <v>462876.82142176258</v>
      </c>
      <c r="AM31" s="114">
        <f t="shared" si="35"/>
        <v>1.5</v>
      </c>
      <c r="AN31" s="114">
        <f t="shared" si="36"/>
        <v>4.6177535324483775E-3</v>
      </c>
      <c r="AO31" s="114">
        <f t="shared" si="37"/>
        <v>3.75</v>
      </c>
    </row>
    <row r="32" spans="1:41" hidden="1" outlineLevel="1" x14ac:dyDescent="0.3">
      <c r="A32" s="146">
        <f t="shared" si="5"/>
        <v>10</v>
      </c>
      <c r="B32" s="147">
        <f t="shared" si="1"/>
        <v>275</v>
      </c>
      <c r="C32" s="147">
        <f t="shared" si="0"/>
        <v>85</v>
      </c>
      <c r="D32" s="149">
        <f t="shared" si="6"/>
        <v>473349414.96678174</v>
      </c>
      <c r="E32" s="149">
        <f t="shared" si="7"/>
        <v>3183530.8254030803</v>
      </c>
      <c r="F32" s="149">
        <f t="shared" si="2"/>
        <v>2379864.0496658706</v>
      </c>
      <c r="G32" s="149">
        <f t="shared" si="8"/>
        <v>2300535.2480103415</v>
      </c>
      <c r="H32" s="149">
        <f t="shared" si="9"/>
        <v>79328.801655529067</v>
      </c>
      <c r="I32" s="149">
        <f t="shared" si="10"/>
        <v>803666.77573720971</v>
      </c>
      <c r="J32" s="147">
        <f t="shared" si="11"/>
        <v>4.4999999999999998E-2</v>
      </c>
      <c r="K32" s="175">
        <f t="shared" si="12"/>
        <v>3.8296430163020645E-3</v>
      </c>
      <c r="L32" s="149">
        <f t="shared" si="13"/>
        <v>1819728.1906551139</v>
      </c>
      <c r="M32" s="149">
        <f t="shared" si="14"/>
        <v>4923930.2144026654</v>
      </c>
      <c r="N32" s="149">
        <f t="shared" si="15"/>
        <v>2623394.9663923234</v>
      </c>
      <c r="P32" s="149">
        <f t="shared" si="16"/>
        <v>173349414.96678168</v>
      </c>
      <c r="Q32" s="149">
        <f t="shared" si="17"/>
        <v>850535.24801034096</v>
      </c>
      <c r="R32" s="176">
        <f t="shared" si="18"/>
        <v>2623394.9663923234</v>
      </c>
      <c r="S32" s="113">
        <f t="shared" si="19"/>
        <v>3473930.2144026645</v>
      </c>
      <c r="T32" s="113">
        <f t="shared" si="20"/>
        <v>3310952.6032812595</v>
      </c>
      <c r="U32" s="114">
        <f t="shared" si="21"/>
        <v>1.6666666666666667</v>
      </c>
      <c r="V32" s="114">
        <f t="shared" si="22"/>
        <v>1.6544829530282218E-2</v>
      </c>
      <c r="W32" s="114">
        <f t="shared" si="23"/>
        <v>4.4444444444444455</v>
      </c>
      <c r="X32" s="114"/>
      <c r="Y32" s="149">
        <f t="shared" si="24"/>
        <v>200000000</v>
      </c>
      <c r="Z32" s="149">
        <f t="shared" si="25"/>
        <v>966666.66666666674</v>
      </c>
      <c r="AA32" s="176">
        <f t="shared" si="26"/>
        <v>0</v>
      </c>
      <c r="AB32" s="113">
        <f t="shared" si="27"/>
        <v>966666.66666666674</v>
      </c>
      <c r="AC32" s="113">
        <f t="shared" si="3"/>
        <v>921316.00779883622</v>
      </c>
      <c r="AD32" s="114">
        <f t="shared" si="28"/>
        <v>1.6666666666666667</v>
      </c>
      <c r="AE32" s="114">
        <f t="shared" si="29"/>
        <v>4.5988254810060171E-3</v>
      </c>
      <c r="AF32" s="114">
        <f t="shared" si="30"/>
        <v>4.4444444444444455</v>
      </c>
      <c r="AG32" s="114"/>
      <c r="AH32" s="176">
        <f t="shared" si="31"/>
        <v>100000000</v>
      </c>
      <c r="AI32" s="176">
        <f t="shared" si="32"/>
        <v>483333.33333333337</v>
      </c>
      <c r="AJ32" s="176">
        <f t="shared" si="33"/>
        <v>0</v>
      </c>
      <c r="AK32" s="113">
        <f t="shared" si="34"/>
        <v>483333.33333333337</v>
      </c>
      <c r="AL32" s="113">
        <f t="shared" si="4"/>
        <v>460658.00389941811</v>
      </c>
      <c r="AM32" s="114">
        <f t="shared" si="35"/>
        <v>1.6666666666666667</v>
      </c>
      <c r="AN32" s="114">
        <f t="shared" si="36"/>
        <v>4.5956181565179229E-3</v>
      </c>
      <c r="AO32" s="114">
        <f t="shared" si="37"/>
        <v>4.4444444444444455</v>
      </c>
    </row>
    <row r="33" spans="1:41" hidden="1" outlineLevel="1" x14ac:dyDescent="0.3">
      <c r="A33" s="146">
        <f t="shared" si="5"/>
        <v>11</v>
      </c>
      <c r="B33" s="147">
        <f t="shared" si="1"/>
        <v>274</v>
      </c>
      <c r="C33" s="147">
        <f t="shared" si="0"/>
        <v>86</v>
      </c>
      <c r="D33" s="149">
        <f t="shared" si="6"/>
        <v>470735145.02150285</v>
      </c>
      <c r="E33" s="149">
        <f t="shared" si="7"/>
        <v>3171339.0388103928</v>
      </c>
      <c r="F33" s="149">
        <f t="shared" si="2"/>
        <v>2366747.0748339086</v>
      </c>
      <c r="G33" s="149">
        <f t="shared" si="8"/>
        <v>2287855.5056727785</v>
      </c>
      <c r="H33" s="149">
        <f t="shared" si="9"/>
        <v>78891.569161130115</v>
      </c>
      <c r="I33" s="149">
        <f t="shared" si="10"/>
        <v>804591.96397648426</v>
      </c>
      <c r="J33" s="147">
        <f t="shared" si="11"/>
        <v>4.4999999999999998E-2</v>
      </c>
      <c r="K33" s="175">
        <f t="shared" si="12"/>
        <v>3.8296430163020645E-3</v>
      </c>
      <c r="L33" s="149">
        <f t="shared" si="13"/>
        <v>1809677.9813023882</v>
      </c>
      <c r="M33" s="149">
        <f t="shared" si="14"/>
        <v>4902125.4509516507</v>
      </c>
      <c r="N33" s="149">
        <f t="shared" si="15"/>
        <v>2614269.9452788727</v>
      </c>
      <c r="P33" s="149">
        <f t="shared" si="16"/>
        <v>170735145.02150279</v>
      </c>
      <c r="Q33" s="149">
        <f t="shared" si="17"/>
        <v>837855.50567277812</v>
      </c>
      <c r="R33" s="176">
        <f t="shared" si="18"/>
        <v>2614269.9452788727</v>
      </c>
      <c r="S33" s="113">
        <f t="shared" si="19"/>
        <v>3452125.4509516507</v>
      </c>
      <c r="T33" s="113">
        <f t="shared" si="20"/>
        <v>3274399.2408876736</v>
      </c>
      <c r="U33" s="114">
        <f t="shared" si="21"/>
        <v>1.8333333333333333</v>
      </c>
      <c r="V33" s="114">
        <f t="shared" si="22"/>
        <v>1.6362172385338141E-2</v>
      </c>
      <c r="W33" s="114">
        <f t="shared" si="23"/>
        <v>5.1944444444444438</v>
      </c>
      <c r="X33" s="114"/>
      <c r="Y33" s="149">
        <f t="shared" si="24"/>
        <v>200000000</v>
      </c>
      <c r="Z33" s="149">
        <f t="shared" si="25"/>
        <v>966666.66666666674</v>
      </c>
      <c r="AA33" s="176">
        <f t="shared" si="26"/>
        <v>0</v>
      </c>
      <c r="AB33" s="113">
        <f t="shared" si="27"/>
        <v>966666.66666666674</v>
      </c>
      <c r="AC33" s="113">
        <f t="shared" si="3"/>
        <v>916899.6447253048</v>
      </c>
      <c r="AD33" s="114">
        <f t="shared" si="28"/>
        <v>1.8333333333333333</v>
      </c>
      <c r="AE33" s="114">
        <f t="shared" si="29"/>
        <v>4.5767808374048988E-3</v>
      </c>
      <c r="AF33" s="114">
        <f t="shared" si="30"/>
        <v>5.1944444444444438</v>
      </c>
      <c r="AG33" s="114"/>
      <c r="AH33" s="176">
        <f t="shared" si="31"/>
        <v>100000000</v>
      </c>
      <c r="AI33" s="176">
        <f t="shared" si="32"/>
        <v>483333.33333333337</v>
      </c>
      <c r="AJ33" s="176">
        <f t="shared" si="33"/>
        <v>0</v>
      </c>
      <c r="AK33" s="113">
        <f t="shared" si="34"/>
        <v>483333.33333333337</v>
      </c>
      <c r="AL33" s="113">
        <f t="shared" si="4"/>
        <v>458449.8223626524</v>
      </c>
      <c r="AM33" s="114">
        <f t="shared" si="35"/>
        <v>1.8333333333333333</v>
      </c>
      <c r="AN33" s="114">
        <f t="shared" si="36"/>
        <v>4.5735888873478514E-3</v>
      </c>
      <c r="AO33" s="114">
        <f t="shared" si="37"/>
        <v>5.1944444444444438</v>
      </c>
    </row>
    <row r="34" spans="1:41" hidden="1" outlineLevel="1" x14ac:dyDescent="0.3">
      <c r="A34" s="146">
        <f t="shared" si="5"/>
        <v>12</v>
      </c>
      <c r="B34" s="147">
        <f t="shared" si="1"/>
        <v>273</v>
      </c>
      <c r="C34" s="147">
        <f t="shared" si="0"/>
        <v>87</v>
      </c>
      <c r="D34" s="149">
        <f t="shared" si="6"/>
        <v>468129964.09075809</v>
      </c>
      <c r="E34" s="149">
        <f t="shared" si="7"/>
        <v>3159193.9424080867</v>
      </c>
      <c r="F34" s="149">
        <f t="shared" si="2"/>
        <v>2353675.7251075143</v>
      </c>
      <c r="G34" s="149">
        <f t="shared" si="8"/>
        <v>2275219.8676039306</v>
      </c>
      <c r="H34" s="149">
        <f t="shared" si="9"/>
        <v>78455.857503583655</v>
      </c>
      <c r="I34" s="149">
        <f t="shared" si="10"/>
        <v>805518.21730057243</v>
      </c>
      <c r="J34" s="147">
        <f t="shared" si="11"/>
        <v>4.4999999999999998E-2</v>
      </c>
      <c r="K34" s="175">
        <f t="shared" si="12"/>
        <v>3.8296430163020645E-3</v>
      </c>
      <c r="L34" s="149">
        <f t="shared" si="13"/>
        <v>1799662.7134441487</v>
      </c>
      <c r="M34" s="149">
        <f t="shared" si="14"/>
        <v>4880400.7983486522</v>
      </c>
      <c r="N34" s="149">
        <f t="shared" si="15"/>
        <v>2605180.9307447211</v>
      </c>
      <c r="P34" s="149">
        <f t="shared" si="16"/>
        <v>168129964.09075809</v>
      </c>
      <c r="Q34" s="149">
        <f t="shared" si="17"/>
        <v>825219.86760393018</v>
      </c>
      <c r="R34" s="176">
        <f t="shared" si="18"/>
        <v>2605180.9307447211</v>
      </c>
      <c r="S34" s="113">
        <f t="shared" si="19"/>
        <v>3430400.7983486513</v>
      </c>
      <c r="T34" s="113">
        <f t="shared" si="20"/>
        <v>3238195.8615039163</v>
      </c>
      <c r="U34" s="114">
        <f t="shared" si="21"/>
        <v>2</v>
      </c>
      <c r="V34" s="114">
        <f t="shared" si="22"/>
        <v>1.6181264105427764E-2</v>
      </c>
      <c r="W34" s="114">
        <f t="shared" si="23"/>
        <v>6</v>
      </c>
      <c r="X34" s="114"/>
      <c r="Y34" s="149">
        <f t="shared" si="24"/>
        <v>200000000</v>
      </c>
      <c r="Z34" s="149">
        <f t="shared" si="25"/>
        <v>966666.66666666674</v>
      </c>
      <c r="AA34" s="176">
        <f t="shared" si="26"/>
        <v>0</v>
      </c>
      <c r="AB34" s="113">
        <f t="shared" si="27"/>
        <v>966666.66666666674</v>
      </c>
      <c r="AC34" s="113">
        <f t="shared" si="3"/>
        <v>912504.45165493467</v>
      </c>
      <c r="AD34" s="114">
        <f t="shared" si="28"/>
        <v>2</v>
      </c>
      <c r="AE34" s="114">
        <f t="shared" si="29"/>
        <v>4.5548418656353208E-3</v>
      </c>
      <c r="AF34" s="114">
        <f t="shared" si="30"/>
        <v>6</v>
      </c>
      <c r="AG34" s="114"/>
      <c r="AH34" s="176">
        <f t="shared" si="31"/>
        <v>100000000</v>
      </c>
      <c r="AI34" s="176">
        <f t="shared" si="32"/>
        <v>483333.33333333337</v>
      </c>
      <c r="AJ34" s="176">
        <f t="shared" si="33"/>
        <v>0</v>
      </c>
      <c r="AK34" s="113">
        <f t="shared" si="34"/>
        <v>483333.33333333337</v>
      </c>
      <c r="AL34" s="113">
        <f t="shared" si="4"/>
        <v>456252.22582746734</v>
      </c>
      <c r="AM34" s="114">
        <f t="shared" si="35"/>
        <v>2</v>
      </c>
      <c r="AN34" s="114">
        <f t="shared" si="36"/>
        <v>4.5516652163114044E-3</v>
      </c>
      <c r="AO34" s="114">
        <f t="shared" si="37"/>
        <v>6</v>
      </c>
    </row>
    <row r="35" spans="1:41" hidden="1" outlineLevel="1" x14ac:dyDescent="0.3">
      <c r="A35" s="146">
        <f t="shared" si="5"/>
        <v>13</v>
      </c>
      <c r="B35" s="147">
        <f t="shared" si="1"/>
        <v>272</v>
      </c>
      <c r="C35" s="147">
        <f t="shared" si="0"/>
        <v>88</v>
      </c>
      <c r="D35" s="149">
        <f t="shared" si="6"/>
        <v>465533836.3046391</v>
      </c>
      <c r="E35" s="149">
        <f t="shared" si="7"/>
        <v>3147095.3573893998</v>
      </c>
      <c r="F35" s="149">
        <f t="shared" si="2"/>
        <v>2340649.8204537905</v>
      </c>
      <c r="G35" s="149">
        <f t="shared" si="8"/>
        <v>2262628.1597719975</v>
      </c>
      <c r="H35" s="149">
        <f t="shared" si="9"/>
        <v>78021.660681793001</v>
      </c>
      <c r="I35" s="149">
        <f t="shared" si="10"/>
        <v>806445.5369356093</v>
      </c>
      <c r="J35" s="147">
        <f t="shared" si="11"/>
        <v>4.4999999999999998E-2</v>
      </c>
      <c r="K35" s="175">
        <f t="shared" si="12"/>
        <v>3.8296430163020645E-3</v>
      </c>
      <c r="L35" s="149">
        <f t="shared" si="13"/>
        <v>1789682.2491833544</v>
      </c>
      <c r="M35" s="149">
        <f t="shared" si="14"/>
        <v>4858755.9458909612</v>
      </c>
      <c r="N35" s="149">
        <f t="shared" si="15"/>
        <v>2596127.7861189637</v>
      </c>
      <c r="P35" s="149">
        <f t="shared" si="16"/>
        <v>165533836.30463913</v>
      </c>
      <c r="Q35" s="149">
        <f t="shared" si="17"/>
        <v>812628.15977199748</v>
      </c>
      <c r="R35" s="176">
        <f t="shared" si="18"/>
        <v>2596127.7861189637</v>
      </c>
      <c r="S35" s="113">
        <f t="shared" si="19"/>
        <v>3408755.9458909612</v>
      </c>
      <c r="T35" s="113">
        <f t="shared" si="20"/>
        <v>3202339.2953535062</v>
      </c>
      <c r="U35" s="114">
        <f t="shared" si="21"/>
        <v>2.1666666666666665</v>
      </c>
      <c r="V35" s="114">
        <f t="shared" si="22"/>
        <v>1.6002088851178608E-2</v>
      </c>
      <c r="W35" s="114">
        <f t="shared" si="23"/>
        <v>6.8611111111111107</v>
      </c>
      <c r="X35" s="114"/>
      <c r="Y35" s="149">
        <f t="shared" si="24"/>
        <v>200000000</v>
      </c>
      <c r="Z35" s="149">
        <f t="shared" si="25"/>
        <v>966666.66666666674</v>
      </c>
      <c r="AA35" s="176">
        <f t="shared" si="26"/>
        <v>0</v>
      </c>
      <c r="AB35" s="113">
        <f t="shared" si="27"/>
        <v>966666.66666666674</v>
      </c>
      <c r="AC35" s="113">
        <f t="shared" si="3"/>
        <v>908130.32710851566</v>
      </c>
      <c r="AD35" s="114">
        <f t="shared" si="28"/>
        <v>2.1666666666666665</v>
      </c>
      <c r="AE35" s="114">
        <f t="shared" si="29"/>
        <v>4.5330080591553645E-3</v>
      </c>
      <c r="AF35" s="114">
        <f t="shared" si="30"/>
        <v>6.8611111111111107</v>
      </c>
      <c r="AG35" s="114"/>
      <c r="AH35" s="176">
        <f t="shared" si="31"/>
        <v>100000000</v>
      </c>
      <c r="AI35" s="176">
        <f t="shared" si="32"/>
        <v>483333.33333333337</v>
      </c>
      <c r="AJ35" s="176">
        <f t="shared" si="33"/>
        <v>0</v>
      </c>
      <c r="AK35" s="113">
        <f t="shared" si="34"/>
        <v>483333.33333333337</v>
      </c>
      <c r="AL35" s="113">
        <f t="shared" si="4"/>
        <v>454065.16355425783</v>
      </c>
      <c r="AM35" s="114">
        <f t="shared" si="35"/>
        <v>2.1666666666666665</v>
      </c>
      <c r="AN35" s="114">
        <f t="shared" si="36"/>
        <v>4.5298466372199371E-3</v>
      </c>
      <c r="AO35" s="114">
        <f t="shared" si="37"/>
        <v>6.8611111111111107</v>
      </c>
    </row>
    <row r="36" spans="1:41" hidden="1" outlineLevel="1" x14ac:dyDescent="0.3">
      <c r="A36" s="146">
        <f t="shared" si="5"/>
        <v>14</v>
      </c>
      <c r="B36" s="147">
        <f t="shared" si="1"/>
        <v>271</v>
      </c>
      <c r="C36" s="147">
        <f t="shared" si="0"/>
        <v>89</v>
      </c>
      <c r="D36" s="149">
        <f t="shared" si="6"/>
        <v>462946725.92938358</v>
      </c>
      <c r="E36" s="149">
        <f t="shared" si="7"/>
        <v>3135043.1056323368</v>
      </c>
      <c r="F36" s="149">
        <f t="shared" si="2"/>
        <v>2327669.1815231955</v>
      </c>
      <c r="G36" s="149">
        <f t="shared" si="8"/>
        <v>2250080.2088057557</v>
      </c>
      <c r="H36" s="149">
        <f t="shared" si="9"/>
        <v>77588.972717439756</v>
      </c>
      <c r="I36" s="149">
        <f t="shared" si="10"/>
        <v>807373.92410914134</v>
      </c>
      <c r="J36" s="147">
        <f t="shared" si="11"/>
        <v>4.4999999999999998E-2</v>
      </c>
      <c r="K36" s="175">
        <f t="shared" si="12"/>
        <v>3.8296430163020645E-3</v>
      </c>
      <c r="L36" s="149">
        <f t="shared" si="13"/>
        <v>1779736.4511463605</v>
      </c>
      <c r="M36" s="149">
        <f t="shared" si="14"/>
        <v>4837190.5840612575</v>
      </c>
      <c r="N36" s="149">
        <f t="shared" si="15"/>
        <v>2587110.3752555018</v>
      </c>
      <c r="P36" s="149">
        <f t="shared" si="16"/>
        <v>162946725.92938364</v>
      </c>
      <c r="Q36" s="149">
        <f t="shared" si="17"/>
        <v>800080.20880575583</v>
      </c>
      <c r="R36" s="176">
        <f t="shared" si="18"/>
        <v>2587110.3752555018</v>
      </c>
      <c r="S36" s="113">
        <f t="shared" si="19"/>
        <v>3387190.5840612575</v>
      </c>
      <c r="T36" s="113">
        <f t="shared" si="20"/>
        <v>3166826.4006512025</v>
      </c>
      <c r="U36" s="114">
        <f t="shared" si="21"/>
        <v>2.3333333333333335</v>
      </c>
      <c r="V36" s="114">
        <f t="shared" si="22"/>
        <v>1.5824630923090423E-2</v>
      </c>
      <c r="W36" s="114">
        <f t="shared" si="23"/>
        <v>7.7777777777777786</v>
      </c>
      <c r="X36" s="114"/>
      <c r="Y36" s="149">
        <f t="shared" si="24"/>
        <v>200000000</v>
      </c>
      <c r="Z36" s="149">
        <f t="shared" si="25"/>
        <v>966666.66666666674</v>
      </c>
      <c r="AA36" s="176">
        <f t="shared" si="26"/>
        <v>0</v>
      </c>
      <c r="AB36" s="113">
        <f t="shared" si="27"/>
        <v>966666.66666666674</v>
      </c>
      <c r="AC36" s="113">
        <f t="shared" si="3"/>
        <v>903777.17009328259</v>
      </c>
      <c r="AD36" s="114">
        <f t="shared" si="28"/>
        <v>2.3333333333333335</v>
      </c>
      <c r="AE36" s="114">
        <f t="shared" si="29"/>
        <v>4.5112789138512435E-3</v>
      </c>
      <c r="AF36" s="114">
        <f t="shared" si="30"/>
        <v>7.7777777777777786</v>
      </c>
      <c r="AG36" s="114"/>
      <c r="AH36" s="176">
        <f t="shared" si="31"/>
        <v>100000000</v>
      </c>
      <c r="AI36" s="176">
        <f t="shared" si="32"/>
        <v>483333.33333333337</v>
      </c>
      <c r="AJ36" s="176">
        <f t="shared" si="33"/>
        <v>0</v>
      </c>
      <c r="AK36" s="113">
        <f t="shared" si="34"/>
        <v>483333.33333333337</v>
      </c>
      <c r="AL36" s="113">
        <f t="shared" si="4"/>
        <v>451888.5850466413</v>
      </c>
      <c r="AM36" s="114">
        <f t="shared" si="35"/>
        <v>2.3333333333333335</v>
      </c>
      <c r="AN36" s="114">
        <f t="shared" si="36"/>
        <v>4.5081326463112421E-3</v>
      </c>
      <c r="AO36" s="114">
        <f t="shared" si="37"/>
        <v>7.7777777777777786</v>
      </c>
    </row>
    <row r="37" spans="1:41" hidden="1" outlineLevel="1" x14ac:dyDescent="0.3">
      <c r="A37" s="146">
        <f t="shared" si="5"/>
        <v>15</v>
      </c>
      <c r="B37" s="147">
        <f t="shared" si="1"/>
        <v>270</v>
      </c>
      <c r="C37" s="147">
        <f t="shared" si="0"/>
        <v>90</v>
      </c>
      <c r="D37" s="149">
        <f t="shared" si="6"/>
        <v>460368597.36685252</v>
      </c>
      <c r="E37" s="149">
        <f t="shared" si="7"/>
        <v>3123037.0096970461</v>
      </c>
      <c r="F37" s="149">
        <f t="shared" si="2"/>
        <v>2314733.6296469178</v>
      </c>
      <c r="G37" s="149">
        <f t="shared" si="8"/>
        <v>2237575.8419920206</v>
      </c>
      <c r="H37" s="149">
        <f t="shared" si="9"/>
        <v>77157.787654897198</v>
      </c>
      <c r="I37" s="149">
        <f t="shared" si="10"/>
        <v>808303.38005012833</v>
      </c>
      <c r="J37" s="147">
        <f t="shared" si="11"/>
        <v>4.4999999999999998E-2</v>
      </c>
      <c r="K37" s="175">
        <f t="shared" si="12"/>
        <v>3.8296430163020645E-3</v>
      </c>
      <c r="L37" s="149">
        <f t="shared" si="13"/>
        <v>1769825.1824809073</v>
      </c>
      <c r="M37" s="149">
        <f t="shared" si="14"/>
        <v>4815704.404523056</v>
      </c>
      <c r="N37" s="149">
        <f t="shared" si="15"/>
        <v>2578128.5625310354</v>
      </c>
      <c r="P37" s="149">
        <f t="shared" si="16"/>
        <v>160368597.36685261</v>
      </c>
      <c r="Q37" s="149">
        <f t="shared" si="17"/>
        <v>787575.84199202096</v>
      </c>
      <c r="R37" s="176">
        <f t="shared" si="18"/>
        <v>2578128.5625310354</v>
      </c>
      <c r="S37" s="113">
        <f t="shared" si="19"/>
        <v>3365704.4045230565</v>
      </c>
      <c r="T37" s="113">
        <f t="shared" si="20"/>
        <v>3131654.0633588755</v>
      </c>
      <c r="U37" s="114">
        <f t="shared" si="21"/>
        <v>2.5</v>
      </c>
      <c r="V37" s="114">
        <f t="shared" si="22"/>
        <v>1.5648874760315262E-2</v>
      </c>
      <c r="W37" s="114">
        <f t="shared" si="23"/>
        <v>8.75</v>
      </c>
      <c r="X37" s="114"/>
      <c r="Y37" s="149">
        <f t="shared" si="24"/>
        <v>200000000</v>
      </c>
      <c r="Z37" s="149">
        <f t="shared" si="25"/>
        <v>966666.66666666674</v>
      </c>
      <c r="AA37" s="176">
        <f t="shared" si="26"/>
        <v>0</v>
      </c>
      <c r="AB37" s="113">
        <f t="shared" si="27"/>
        <v>966666.66666666674</v>
      </c>
      <c r="AC37" s="113">
        <f t="shared" si="3"/>
        <v>899444.88010058354</v>
      </c>
      <c r="AD37" s="114">
        <f t="shared" si="28"/>
        <v>2.5</v>
      </c>
      <c r="AE37" s="114">
        <f t="shared" si="29"/>
        <v>4.4896539280256612E-3</v>
      </c>
      <c r="AF37" s="114">
        <f t="shared" si="30"/>
        <v>8.75</v>
      </c>
      <c r="AG37" s="114"/>
      <c r="AH37" s="176">
        <f t="shared" si="31"/>
        <v>100000000</v>
      </c>
      <c r="AI37" s="176">
        <f t="shared" si="32"/>
        <v>483333.33333333337</v>
      </c>
      <c r="AJ37" s="176">
        <f t="shared" si="33"/>
        <v>0</v>
      </c>
      <c r="AK37" s="113">
        <f t="shared" si="34"/>
        <v>483333.33333333337</v>
      </c>
      <c r="AL37" s="113">
        <f t="shared" si="4"/>
        <v>449722.44005029177</v>
      </c>
      <c r="AM37" s="114">
        <f t="shared" si="35"/>
        <v>2.5</v>
      </c>
      <c r="AN37" s="114">
        <f t="shared" si="36"/>
        <v>4.486522742237921E-3</v>
      </c>
      <c r="AO37" s="114">
        <f t="shared" si="37"/>
        <v>8.75</v>
      </c>
    </row>
    <row r="38" spans="1:41" hidden="1" outlineLevel="1" x14ac:dyDescent="0.3">
      <c r="A38" s="146">
        <f t="shared" si="5"/>
        <v>16</v>
      </c>
      <c r="B38" s="147">
        <f t="shared" si="1"/>
        <v>269</v>
      </c>
      <c r="C38" s="147">
        <f t="shared" si="0"/>
        <v>91</v>
      </c>
      <c r="D38" s="149">
        <f t="shared" si="6"/>
        <v>457799415.15400946</v>
      </c>
      <c r="E38" s="149">
        <f t="shared" si="7"/>
        <v>3111076.8928232067</v>
      </c>
      <c r="F38" s="149">
        <f t="shared" si="2"/>
        <v>2301842.9868342625</v>
      </c>
      <c r="G38" s="149">
        <f t="shared" si="8"/>
        <v>2225114.8872731207</v>
      </c>
      <c r="H38" s="149">
        <f t="shared" si="9"/>
        <v>76728.099561141804</v>
      </c>
      <c r="I38" s="149">
        <f t="shared" si="10"/>
        <v>809233.90598894423</v>
      </c>
      <c r="J38" s="147">
        <f t="shared" si="11"/>
        <v>4.4999999999999998E-2</v>
      </c>
      <c r="K38" s="175">
        <f t="shared" si="12"/>
        <v>3.8296430163020645E-3</v>
      </c>
      <c r="L38" s="149">
        <f t="shared" si="13"/>
        <v>1759948.3068541184</v>
      </c>
      <c r="M38" s="149">
        <f t="shared" si="14"/>
        <v>4794297.100116183</v>
      </c>
      <c r="N38" s="149">
        <f t="shared" si="15"/>
        <v>2569182.2128430624</v>
      </c>
      <c r="P38" s="149">
        <f t="shared" si="16"/>
        <v>157799415.15400955</v>
      </c>
      <c r="Q38" s="149">
        <f t="shared" si="17"/>
        <v>775114.88727312104</v>
      </c>
      <c r="R38" s="176">
        <f t="shared" si="18"/>
        <v>2569182.2128430624</v>
      </c>
      <c r="S38" s="113">
        <f t="shared" si="19"/>
        <v>3344297.1001161835</v>
      </c>
      <c r="T38" s="113">
        <f t="shared" si="20"/>
        <v>3096819.1969434735</v>
      </c>
      <c r="U38" s="114">
        <f t="shared" si="21"/>
        <v>2.6666666666666665</v>
      </c>
      <c r="V38" s="114">
        <f t="shared" si="22"/>
        <v>1.5474804939448058E-2</v>
      </c>
      <c r="W38" s="114">
        <f t="shared" si="23"/>
        <v>9.7777777777777768</v>
      </c>
      <c r="X38" s="114"/>
      <c r="Y38" s="149">
        <f t="shared" si="24"/>
        <v>200000000</v>
      </c>
      <c r="Z38" s="149">
        <f t="shared" si="25"/>
        <v>966666.66666666674</v>
      </c>
      <c r="AA38" s="176">
        <f t="shared" si="26"/>
        <v>0</v>
      </c>
      <c r="AB38" s="113">
        <f t="shared" si="27"/>
        <v>966666.66666666674</v>
      </c>
      <c r="AC38" s="113">
        <f t="shared" si="3"/>
        <v>895133.35710355744</v>
      </c>
      <c r="AD38" s="114">
        <f t="shared" si="28"/>
        <v>2.6666666666666665</v>
      </c>
      <c r="AE38" s="114">
        <f t="shared" si="29"/>
        <v>4.4681326023862213E-3</v>
      </c>
      <c r="AF38" s="114">
        <f t="shared" si="30"/>
        <v>9.7777777777777768</v>
      </c>
      <c r="AG38" s="114"/>
      <c r="AH38" s="176">
        <f t="shared" si="31"/>
        <v>100000000</v>
      </c>
      <c r="AI38" s="176">
        <f t="shared" si="32"/>
        <v>483333.33333333337</v>
      </c>
      <c r="AJ38" s="176">
        <f t="shared" si="33"/>
        <v>0</v>
      </c>
      <c r="AK38" s="113">
        <f t="shared" si="34"/>
        <v>483333.33333333337</v>
      </c>
      <c r="AL38" s="113">
        <f t="shared" si="4"/>
        <v>447566.67855177872</v>
      </c>
      <c r="AM38" s="114">
        <f t="shared" si="35"/>
        <v>2.6666666666666665</v>
      </c>
      <c r="AN38" s="114">
        <f t="shared" si="36"/>
        <v>4.4650164260557927E-3</v>
      </c>
      <c r="AO38" s="114">
        <f t="shared" si="37"/>
        <v>9.7777777777777768</v>
      </c>
    </row>
    <row r="39" spans="1:41" hidden="1" outlineLevel="1" x14ac:dyDescent="0.3">
      <c r="A39" s="146">
        <f t="shared" si="5"/>
        <v>17</v>
      </c>
      <c r="B39" s="147">
        <f t="shared" si="1"/>
        <v>268</v>
      </c>
      <c r="C39" s="147">
        <f t="shared" si="0"/>
        <v>92</v>
      </c>
      <c r="D39" s="149">
        <f t="shared" si="6"/>
        <v>455239143.96240157</v>
      </c>
      <c r="E39" s="149">
        <f t="shared" si="7"/>
        <v>3099162.5789274275</v>
      </c>
      <c r="F39" s="149">
        <f t="shared" si="2"/>
        <v>2288997.0757700475</v>
      </c>
      <c r="G39" s="149">
        <f t="shared" si="8"/>
        <v>2212697.173244379</v>
      </c>
      <c r="H39" s="149">
        <f t="shared" si="9"/>
        <v>76299.902525668498</v>
      </c>
      <c r="I39" s="149">
        <f t="shared" si="10"/>
        <v>810165.50315738004</v>
      </c>
      <c r="J39" s="147">
        <f t="shared" si="11"/>
        <v>4.4999999999999998E-2</v>
      </c>
      <c r="K39" s="175">
        <f t="shared" si="12"/>
        <v>3.8296430163020645E-3</v>
      </c>
      <c r="L39" s="149">
        <f t="shared" si="13"/>
        <v>1750105.6884505064</v>
      </c>
      <c r="M39" s="149">
        <f t="shared" si="14"/>
        <v>4772968.3648522655</v>
      </c>
      <c r="N39" s="149">
        <f t="shared" si="15"/>
        <v>2560271.1916078865</v>
      </c>
      <c r="P39" s="149">
        <f t="shared" si="16"/>
        <v>155239143.96240166</v>
      </c>
      <c r="Q39" s="149">
        <f t="shared" si="17"/>
        <v>762697.17324437958</v>
      </c>
      <c r="R39" s="176">
        <f t="shared" si="18"/>
        <v>2560271.1916078865</v>
      </c>
      <c r="S39" s="113">
        <f t="shared" si="19"/>
        <v>3322968.3648522659</v>
      </c>
      <c r="T39" s="113">
        <f t="shared" si="20"/>
        <v>3062318.7421371145</v>
      </c>
      <c r="U39" s="114">
        <f t="shared" si="21"/>
        <v>2.8333333333333335</v>
      </c>
      <c r="V39" s="114">
        <f t="shared" si="22"/>
        <v>1.5302406173327779E-2</v>
      </c>
      <c r="W39" s="114">
        <f t="shared" si="23"/>
        <v>10.861111111111112</v>
      </c>
      <c r="X39" s="114"/>
      <c r="Y39" s="149">
        <f t="shared" si="24"/>
        <v>200000000</v>
      </c>
      <c r="Z39" s="149">
        <f t="shared" si="25"/>
        <v>966666.66666666674</v>
      </c>
      <c r="AA39" s="176">
        <f t="shared" si="26"/>
        <v>0</v>
      </c>
      <c r="AB39" s="113">
        <f t="shared" si="27"/>
        <v>966666.66666666674</v>
      </c>
      <c r="AC39" s="113">
        <f t="shared" si="3"/>
        <v>890842.50155482651</v>
      </c>
      <c r="AD39" s="114">
        <f t="shared" si="28"/>
        <v>2.8333333333333335</v>
      </c>
      <c r="AE39" s="114">
        <f t="shared" si="29"/>
        <v>4.4467144400339095E-3</v>
      </c>
      <c r="AF39" s="114">
        <f t="shared" si="30"/>
        <v>10.861111111111112</v>
      </c>
      <c r="AG39" s="114"/>
      <c r="AH39" s="176">
        <f t="shared" si="31"/>
        <v>100000000</v>
      </c>
      <c r="AI39" s="176">
        <f t="shared" si="32"/>
        <v>483333.33333333337</v>
      </c>
      <c r="AJ39" s="176">
        <f t="shared" si="33"/>
        <v>0</v>
      </c>
      <c r="AK39" s="113">
        <f t="shared" si="34"/>
        <v>483333.33333333337</v>
      </c>
      <c r="AL39" s="113">
        <f t="shared" si="4"/>
        <v>445421.25077741325</v>
      </c>
      <c r="AM39" s="114">
        <f t="shared" si="35"/>
        <v>2.8333333333333335</v>
      </c>
      <c r="AN39" s="114">
        <f t="shared" si="36"/>
        <v>4.4436132012123913E-3</v>
      </c>
      <c r="AO39" s="114">
        <f t="shared" si="37"/>
        <v>10.861111111111112</v>
      </c>
    </row>
    <row r="40" spans="1:41" hidden="1" outlineLevel="1" x14ac:dyDescent="0.3">
      <c r="A40" s="146">
        <f t="shared" si="5"/>
        <v>18</v>
      </c>
      <c r="B40" s="147">
        <f t="shared" si="1"/>
        <v>267</v>
      </c>
      <c r="C40" s="147">
        <f t="shared" si="0"/>
        <v>93</v>
      </c>
      <c r="D40" s="149">
        <f t="shared" si="6"/>
        <v>452687748.59764296</v>
      </c>
      <c r="E40" s="149">
        <f t="shared" si="7"/>
        <v>3087293.8926006532</v>
      </c>
      <c r="F40" s="149">
        <f t="shared" si="2"/>
        <v>2276195.7198120081</v>
      </c>
      <c r="G40" s="149">
        <f t="shared" si="8"/>
        <v>2200322.5291516078</v>
      </c>
      <c r="H40" s="149">
        <f t="shared" si="9"/>
        <v>75873.190660400316</v>
      </c>
      <c r="I40" s="149">
        <f t="shared" si="10"/>
        <v>811098.17278864514</v>
      </c>
      <c r="J40" s="147">
        <f t="shared" si="11"/>
        <v>4.4999999999999998E-2</v>
      </c>
      <c r="K40" s="175">
        <f t="shared" si="12"/>
        <v>3.8296430163020645E-3</v>
      </c>
      <c r="L40" s="149">
        <f t="shared" si="13"/>
        <v>1740297.1919699861</v>
      </c>
      <c r="M40" s="149">
        <f t="shared" si="14"/>
        <v>4751717.8939102385</v>
      </c>
      <c r="N40" s="149">
        <f t="shared" si="15"/>
        <v>2551395.3647586312</v>
      </c>
      <c r="P40" s="149">
        <f t="shared" si="16"/>
        <v>152687748.59764302</v>
      </c>
      <c r="Q40" s="149">
        <f t="shared" si="17"/>
        <v>750322.529151608</v>
      </c>
      <c r="R40" s="176">
        <f t="shared" si="18"/>
        <v>2551395.3647586312</v>
      </c>
      <c r="S40" s="113">
        <f t="shared" si="19"/>
        <v>3301717.8939102395</v>
      </c>
      <c r="T40" s="113">
        <f t="shared" si="20"/>
        <v>3028149.6666992363</v>
      </c>
      <c r="U40" s="114">
        <f t="shared" si="21"/>
        <v>3</v>
      </c>
      <c r="V40" s="114">
        <f t="shared" si="22"/>
        <v>1.5131663309848912E-2</v>
      </c>
      <c r="W40" s="114">
        <f t="shared" si="23"/>
        <v>12</v>
      </c>
      <c r="X40" s="114"/>
      <c r="Y40" s="149">
        <f t="shared" si="24"/>
        <v>200000000</v>
      </c>
      <c r="Z40" s="149">
        <f t="shared" si="25"/>
        <v>966666.66666666674</v>
      </c>
      <c r="AA40" s="176">
        <f t="shared" si="26"/>
        <v>0</v>
      </c>
      <c r="AB40" s="113">
        <f t="shared" si="27"/>
        <v>966666.66666666674</v>
      </c>
      <c r="AC40" s="113">
        <f t="shared" si="3"/>
        <v>886572.21438419714</v>
      </c>
      <c r="AD40" s="114">
        <f t="shared" si="28"/>
        <v>3</v>
      </c>
      <c r="AE40" s="114">
        <f t="shared" si="29"/>
        <v>4.4253989464516121E-3</v>
      </c>
      <c r="AF40" s="114">
        <f t="shared" si="30"/>
        <v>12</v>
      </c>
      <c r="AG40" s="114"/>
      <c r="AH40" s="176">
        <f t="shared" si="31"/>
        <v>100000000</v>
      </c>
      <c r="AI40" s="176">
        <f t="shared" si="32"/>
        <v>483333.33333333337</v>
      </c>
      <c r="AJ40" s="176">
        <f t="shared" si="33"/>
        <v>0</v>
      </c>
      <c r="AK40" s="113">
        <f t="shared" si="34"/>
        <v>483333.33333333337</v>
      </c>
      <c r="AL40" s="113">
        <f t="shared" si="4"/>
        <v>443286.10719209857</v>
      </c>
      <c r="AM40" s="114">
        <f t="shared" si="35"/>
        <v>3</v>
      </c>
      <c r="AN40" s="114">
        <f t="shared" si="36"/>
        <v>4.422312573535492E-3</v>
      </c>
      <c r="AO40" s="114">
        <f t="shared" si="37"/>
        <v>12</v>
      </c>
    </row>
    <row r="41" spans="1:41" hidden="1" outlineLevel="1" x14ac:dyDescent="0.3">
      <c r="A41" s="146">
        <f t="shared" si="5"/>
        <v>19</v>
      </c>
      <c r="B41" s="147">
        <f t="shared" si="1"/>
        <v>266</v>
      </c>
      <c r="C41" s="147">
        <f t="shared" si="0"/>
        <v>94</v>
      </c>
      <c r="D41" s="149">
        <f t="shared" si="6"/>
        <v>450145193.9988997</v>
      </c>
      <c r="E41" s="149">
        <f t="shared" si="7"/>
        <v>3075470.6591055831</v>
      </c>
      <c r="F41" s="149">
        <f t="shared" si="2"/>
        <v>2263438.7429882148</v>
      </c>
      <c r="G41" s="149">
        <f t="shared" si="8"/>
        <v>2187990.7848886079</v>
      </c>
      <c r="H41" s="149">
        <f t="shared" si="9"/>
        <v>75447.958099606913</v>
      </c>
      <c r="I41" s="149">
        <f t="shared" si="10"/>
        <v>812031.91611736827</v>
      </c>
      <c r="J41" s="147">
        <f t="shared" si="11"/>
        <v>4.4999999999999998E-2</v>
      </c>
      <c r="K41" s="175">
        <f t="shared" si="12"/>
        <v>3.8296430163020645E-3</v>
      </c>
      <c r="L41" s="149">
        <f t="shared" si="13"/>
        <v>1730522.6826258947</v>
      </c>
      <c r="M41" s="149">
        <f t="shared" si="14"/>
        <v>4730545.3836318711</v>
      </c>
      <c r="N41" s="149">
        <f t="shared" si="15"/>
        <v>2542554.5987432627</v>
      </c>
      <c r="P41" s="149">
        <f t="shared" si="16"/>
        <v>150145193.99889976</v>
      </c>
      <c r="Q41" s="149">
        <f t="shared" si="17"/>
        <v>737990.78488860792</v>
      </c>
      <c r="R41" s="176">
        <f t="shared" si="18"/>
        <v>2542554.5987432627</v>
      </c>
      <c r="S41" s="113">
        <f t="shared" si="19"/>
        <v>3280545.3836318706</v>
      </c>
      <c r="T41" s="113">
        <f t="shared" si="20"/>
        <v>2994308.9651808147</v>
      </c>
      <c r="U41" s="114">
        <f t="shared" si="21"/>
        <v>3.1666666666666665</v>
      </c>
      <c r="V41" s="114">
        <f t="shared" si="22"/>
        <v>1.4962561330783256E-2</v>
      </c>
      <c r="W41" s="114">
        <f t="shared" si="23"/>
        <v>13.194444444444441</v>
      </c>
      <c r="X41" s="114"/>
      <c r="Y41" s="149">
        <f t="shared" si="24"/>
        <v>200000000</v>
      </c>
      <c r="Z41" s="149">
        <f t="shared" si="25"/>
        <v>966666.66666666674</v>
      </c>
      <c r="AA41" s="176">
        <f t="shared" si="26"/>
        <v>0</v>
      </c>
      <c r="AB41" s="113">
        <f t="shared" si="27"/>
        <v>966666.66666666674</v>
      </c>
      <c r="AC41" s="113">
        <f t="shared" si="3"/>
        <v>882322.39699637191</v>
      </c>
      <c r="AD41" s="114">
        <f t="shared" si="28"/>
        <v>3.1666666666666665</v>
      </c>
      <c r="AE41" s="114">
        <f t="shared" si="29"/>
        <v>4.4041856294927033E-3</v>
      </c>
      <c r="AF41" s="114">
        <f t="shared" si="30"/>
        <v>13.194444444444441</v>
      </c>
      <c r="AG41" s="114"/>
      <c r="AH41" s="176">
        <f t="shared" si="31"/>
        <v>100000000</v>
      </c>
      <c r="AI41" s="176">
        <f t="shared" si="32"/>
        <v>483333.33333333337</v>
      </c>
      <c r="AJ41" s="176">
        <f t="shared" si="33"/>
        <v>0</v>
      </c>
      <c r="AK41" s="113">
        <f t="shared" si="34"/>
        <v>483333.33333333337</v>
      </c>
      <c r="AL41" s="113">
        <f t="shared" si="4"/>
        <v>441161.19849818596</v>
      </c>
      <c r="AM41" s="114">
        <f t="shared" si="35"/>
        <v>3.1666666666666665</v>
      </c>
      <c r="AN41" s="114">
        <f t="shared" si="36"/>
        <v>4.4011140512217025E-3</v>
      </c>
      <c r="AO41" s="114">
        <f t="shared" si="37"/>
        <v>13.194444444444441</v>
      </c>
    </row>
    <row r="42" spans="1:41" hidden="1" outlineLevel="1" x14ac:dyDescent="0.3">
      <c r="A42" s="146">
        <f t="shared" si="5"/>
        <v>20</v>
      </c>
      <c r="B42" s="147">
        <f t="shared" si="1"/>
        <v>265</v>
      </c>
      <c r="C42" s="147">
        <f t="shared" si="0"/>
        <v>95</v>
      </c>
      <c r="D42" s="149">
        <f t="shared" si="6"/>
        <v>447611445.23837709</v>
      </c>
      <c r="E42" s="149">
        <f t="shared" si="7"/>
        <v>3063692.7043740973</v>
      </c>
      <c r="F42" s="149">
        <f t="shared" si="2"/>
        <v>2250725.9699944984</v>
      </c>
      <c r="G42" s="149">
        <f t="shared" si="8"/>
        <v>2175701.7709946819</v>
      </c>
      <c r="H42" s="149">
        <f t="shared" si="9"/>
        <v>75024.198999816552</v>
      </c>
      <c r="I42" s="149">
        <f t="shared" si="10"/>
        <v>812966.73437959887</v>
      </c>
      <c r="J42" s="147">
        <f t="shared" si="11"/>
        <v>4.4999999999999998E-2</v>
      </c>
      <c r="K42" s="175">
        <f t="shared" si="12"/>
        <v>3.8296430163020645E-3</v>
      </c>
      <c r="L42" s="149">
        <f t="shared" si="13"/>
        <v>1720782.0261430214</v>
      </c>
      <c r="M42" s="149">
        <f t="shared" si="14"/>
        <v>4709450.5315173026</v>
      </c>
      <c r="N42" s="149">
        <f t="shared" si="15"/>
        <v>2533748.7605226203</v>
      </c>
      <c r="P42" s="149">
        <f t="shared" si="16"/>
        <v>147611445.23837712</v>
      </c>
      <c r="Q42" s="149">
        <f t="shared" si="17"/>
        <v>725701.77099468221</v>
      </c>
      <c r="R42" s="176">
        <f t="shared" si="18"/>
        <v>2533748.7605226203</v>
      </c>
      <c r="S42" s="113">
        <f t="shared" si="19"/>
        <v>3259450.5315173026</v>
      </c>
      <c r="T42" s="113">
        <f t="shared" si="20"/>
        <v>2960793.6586906314</v>
      </c>
      <c r="U42" s="114">
        <f t="shared" si="21"/>
        <v>3.3333333333333335</v>
      </c>
      <c r="V42" s="114">
        <f t="shared" si="22"/>
        <v>1.4795085350611957E-2</v>
      </c>
      <c r="W42" s="114">
        <f t="shared" si="23"/>
        <v>14.444444444444446</v>
      </c>
      <c r="X42" s="114"/>
      <c r="Y42" s="149">
        <f t="shared" si="24"/>
        <v>200000000</v>
      </c>
      <c r="Z42" s="149">
        <f t="shared" si="25"/>
        <v>966666.66666666674</v>
      </c>
      <c r="AA42" s="176">
        <f t="shared" si="26"/>
        <v>0</v>
      </c>
      <c r="AB42" s="113">
        <f t="shared" si="27"/>
        <v>966666.66666666674</v>
      </c>
      <c r="AC42" s="113">
        <f t="shared" si="3"/>
        <v>878092.95126867422</v>
      </c>
      <c r="AD42" s="114">
        <f t="shared" si="28"/>
        <v>3.3333333333333335</v>
      </c>
      <c r="AE42" s="114">
        <f t="shared" si="29"/>
        <v>4.383073999369682E-3</v>
      </c>
      <c r="AF42" s="114">
        <f t="shared" si="30"/>
        <v>14.444444444444446</v>
      </c>
      <c r="AG42" s="114"/>
      <c r="AH42" s="176">
        <f t="shared" si="31"/>
        <v>100000000</v>
      </c>
      <c r="AI42" s="176">
        <f t="shared" si="32"/>
        <v>483333.33333333337</v>
      </c>
      <c r="AJ42" s="176">
        <f t="shared" si="33"/>
        <v>0</v>
      </c>
      <c r="AK42" s="113">
        <f t="shared" si="34"/>
        <v>483333.33333333337</v>
      </c>
      <c r="AL42" s="113">
        <f t="shared" si="4"/>
        <v>439046.47563433711</v>
      </c>
      <c r="AM42" s="114">
        <f t="shared" si="35"/>
        <v>3.3333333333333335</v>
      </c>
      <c r="AN42" s="114">
        <f t="shared" si="36"/>
        <v>4.3800171448251102E-3</v>
      </c>
      <c r="AO42" s="114">
        <f t="shared" si="37"/>
        <v>14.444444444444446</v>
      </c>
    </row>
    <row r="43" spans="1:41" hidden="1" outlineLevel="1" x14ac:dyDescent="0.3">
      <c r="A43" s="146">
        <f t="shared" si="5"/>
        <v>21</v>
      </c>
      <c r="B43" s="147">
        <f t="shared" si="1"/>
        <v>264</v>
      </c>
      <c r="C43" s="147">
        <f t="shared" si="0"/>
        <v>96</v>
      </c>
      <c r="D43" s="149">
        <f t="shared" si="6"/>
        <v>445086467.52080864</v>
      </c>
      <c r="E43" s="149">
        <f t="shared" si="7"/>
        <v>3051959.8550046952</v>
      </c>
      <c r="F43" s="149">
        <f t="shared" si="2"/>
        <v>2238057.2261918853</v>
      </c>
      <c r="G43" s="149">
        <f t="shared" si="8"/>
        <v>2163455.3186521563</v>
      </c>
      <c r="H43" s="149">
        <f t="shared" si="9"/>
        <v>74601.907539729029</v>
      </c>
      <c r="I43" s="149">
        <f t="shared" si="10"/>
        <v>813902.62881280994</v>
      </c>
      <c r="J43" s="147">
        <f t="shared" si="11"/>
        <v>4.4999999999999998E-2</v>
      </c>
      <c r="K43" s="175">
        <f t="shared" si="12"/>
        <v>3.8296430163020645E-3</v>
      </c>
      <c r="L43" s="149">
        <f t="shared" si="13"/>
        <v>1711075.0887556421</v>
      </c>
      <c r="M43" s="149">
        <f t="shared" si="14"/>
        <v>4688433.0362206083</v>
      </c>
      <c r="N43" s="149">
        <f t="shared" si="15"/>
        <v>2524977.717568452</v>
      </c>
      <c r="P43" s="149">
        <f t="shared" si="16"/>
        <v>145086467.52080867</v>
      </c>
      <c r="Q43" s="149">
        <f t="shared" si="17"/>
        <v>713455.31865215616</v>
      </c>
      <c r="R43" s="176">
        <f t="shared" si="18"/>
        <v>2524977.717568452</v>
      </c>
      <c r="S43" s="113">
        <f t="shared" si="19"/>
        <v>3238433.0362206083</v>
      </c>
      <c r="T43" s="113">
        <f t="shared" si="20"/>
        <v>2927600.7946635545</v>
      </c>
      <c r="U43" s="114">
        <f t="shared" si="21"/>
        <v>3.5</v>
      </c>
      <c r="V43" s="114">
        <f t="shared" si="22"/>
        <v>1.4629220615367611E-2</v>
      </c>
      <c r="W43" s="114">
        <f t="shared" si="23"/>
        <v>15.75</v>
      </c>
      <c r="X43" s="114"/>
      <c r="Y43" s="149">
        <f t="shared" si="24"/>
        <v>200000000</v>
      </c>
      <c r="Z43" s="149">
        <f t="shared" si="25"/>
        <v>966666.66666666674</v>
      </c>
      <c r="AA43" s="176">
        <f t="shared" si="26"/>
        <v>0</v>
      </c>
      <c r="AB43" s="113">
        <f t="shared" si="27"/>
        <v>966666.66666666674</v>
      </c>
      <c r="AC43" s="113">
        <f t="shared" si="3"/>
        <v>873883.77954878204</v>
      </c>
      <c r="AD43" s="114">
        <f t="shared" si="28"/>
        <v>3.5</v>
      </c>
      <c r="AE43" s="114">
        <f t="shared" si="29"/>
        <v>4.3620635686428596E-3</v>
      </c>
      <c r="AF43" s="114">
        <f t="shared" si="30"/>
        <v>15.75</v>
      </c>
      <c r="AG43" s="114"/>
      <c r="AH43" s="176">
        <f t="shared" si="31"/>
        <v>100000000</v>
      </c>
      <c r="AI43" s="176">
        <f t="shared" si="32"/>
        <v>483333.33333333337</v>
      </c>
      <c r="AJ43" s="176">
        <f t="shared" si="33"/>
        <v>0</v>
      </c>
      <c r="AK43" s="113">
        <f t="shared" si="34"/>
        <v>483333.33333333337</v>
      </c>
      <c r="AL43" s="113">
        <f t="shared" si="4"/>
        <v>436941.88977439102</v>
      </c>
      <c r="AM43" s="114">
        <f t="shared" si="35"/>
        <v>3.5</v>
      </c>
      <c r="AN43" s="114">
        <f t="shared" si="36"/>
        <v>4.3590213672459778E-3</v>
      </c>
      <c r="AO43" s="114">
        <f t="shared" si="37"/>
        <v>15.75</v>
      </c>
    </row>
    <row r="44" spans="1:41" hidden="1" outlineLevel="1" x14ac:dyDescent="0.3">
      <c r="A44" s="146">
        <f t="shared" si="5"/>
        <v>22</v>
      </c>
      <c r="B44" s="147">
        <f t="shared" si="1"/>
        <v>263</v>
      </c>
      <c r="C44" s="147">
        <f t="shared" si="0"/>
        <v>97</v>
      </c>
      <c r="D44" s="149">
        <f t="shared" si="6"/>
        <v>442570226.18294716</v>
      </c>
      <c r="E44" s="149">
        <f t="shared" si="7"/>
        <v>3040271.9382599425</v>
      </c>
      <c r="F44" s="149">
        <f t="shared" si="2"/>
        <v>2225432.3376040431</v>
      </c>
      <c r="G44" s="149">
        <f t="shared" si="8"/>
        <v>2151251.2596839084</v>
      </c>
      <c r="H44" s="149">
        <f t="shared" si="9"/>
        <v>74181.077920134645</v>
      </c>
      <c r="I44" s="149">
        <f t="shared" si="10"/>
        <v>814839.60065589938</v>
      </c>
      <c r="J44" s="147">
        <f t="shared" si="11"/>
        <v>4.4999999999999998E-2</v>
      </c>
      <c r="K44" s="175">
        <f t="shared" si="12"/>
        <v>3.8296430163020645E-3</v>
      </c>
      <c r="L44" s="149">
        <f t="shared" si="13"/>
        <v>1701401.7372055622</v>
      </c>
      <c r="M44" s="149">
        <f t="shared" si="14"/>
        <v>4667492.5975453705</v>
      </c>
      <c r="N44" s="149">
        <f t="shared" si="15"/>
        <v>2516241.3378614616</v>
      </c>
      <c r="P44" s="149">
        <f t="shared" si="16"/>
        <v>142570226.18294722</v>
      </c>
      <c r="Q44" s="149">
        <f t="shared" si="17"/>
        <v>701251.25968390855</v>
      </c>
      <c r="R44" s="176">
        <f t="shared" si="18"/>
        <v>2516241.3378614616</v>
      </c>
      <c r="S44" s="113">
        <f t="shared" si="19"/>
        <v>3217492.59754537</v>
      </c>
      <c r="T44" s="113">
        <f t="shared" si="20"/>
        <v>2894727.4466308402</v>
      </c>
      <c r="U44" s="114">
        <f t="shared" si="21"/>
        <v>3.6666666666666665</v>
      </c>
      <c r="V44" s="114">
        <f t="shared" si="22"/>
        <v>1.4464952501486461E-2</v>
      </c>
      <c r="W44" s="114">
        <f t="shared" si="23"/>
        <v>17.111111111111107</v>
      </c>
      <c r="X44" s="114"/>
      <c r="Y44" s="149">
        <f t="shared" si="24"/>
        <v>200000000</v>
      </c>
      <c r="Z44" s="149">
        <f t="shared" si="25"/>
        <v>966666.66666666674</v>
      </c>
      <c r="AA44" s="176">
        <f t="shared" si="26"/>
        <v>0</v>
      </c>
      <c r="AB44" s="113">
        <f t="shared" si="27"/>
        <v>966666.66666666674</v>
      </c>
      <c r="AC44" s="113">
        <f t="shared" si="3"/>
        <v>869694.78465247271</v>
      </c>
      <c r="AD44" s="114">
        <f t="shared" si="28"/>
        <v>3.6666666666666665</v>
      </c>
      <c r="AE44" s="114">
        <f t="shared" si="29"/>
        <v>4.3411538522091057E-3</v>
      </c>
      <c r="AF44" s="114">
        <f t="shared" si="30"/>
        <v>17.111111111111107</v>
      </c>
      <c r="AG44" s="114"/>
      <c r="AH44" s="176">
        <f t="shared" si="31"/>
        <v>100000000</v>
      </c>
      <c r="AI44" s="176">
        <f t="shared" si="32"/>
        <v>483333.33333333337</v>
      </c>
      <c r="AJ44" s="176">
        <f t="shared" si="33"/>
        <v>0</v>
      </c>
      <c r="AK44" s="113">
        <f t="shared" si="34"/>
        <v>483333.33333333337</v>
      </c>
      <c r="AL44" s="113">
        <f t="shared" si="4"/>
        <v>434847.39232623635</v>
      </c>
      <c r="AM44" s="114">
        <f t="shared" si="35"/>
        <v>3.6666666666666665</v>
      </c>
      <c r="AN44" s="114">
        <f t="shared" si="36"/>
        <v>4.3381262337194981E-3</v>
      </c>
      <c r="AO44" s="114">
        <f t="shared" si="37"/>
        <v>17.111111111111107</v>
      </c>
    </row>
    <row r="45" spans="1:41" hidden="1" outlineLevel="1" x14ac:dyDescent="0.3">
      <c r="A45" s="146">
        <f t="shared" si="5"/>
        <v>23</v>
      </c>
      <c r="B45" s="147">
        <f t="shared" si="1"/>
        <v>262</v>
      </c>
      <c r="C45" s="147">
        <f t="shared" si="0"/>
        <v>98</v>
      </c>
      <c r="D45" s="149">
        <f t="shared" si="6"/>
        <v>440062686.69305778</v>
      </c>
      <c r="E45" s="149">
        <f t="shared" si="7"/>
        <v>3028628.7820639261</v>
      </c>
      <c r="F45" s="149">
        <f t="shared" si="2"/>
        <v>2212851.1309147356</v>
      </c>
      <c r="G45" s="149">
        <f t="shared" si="8"/>
        <v>2139089.4265509113</v>
      </c>
      <c r="H45" s="149">
        <f t="shared" si="9"/>
        <v>73761.704363824334</v>
      </c>
      <c r="I45" s="149">
        <f t="shared" si="10"/>
        <v>815777.6511491905</v>
      </c>
      <c r="J45" s="147">
        <f t="shared" si="11"/>
        <v>4.4999999999999998E-2</v>
      </c>
      <c r="K45" s="175">
        <f t="shared" si="12"/>
        <v>3.8296430163020645E-3</v>
      </c>
      <c r="L45" s="149">
        <f t="shared" si="13"/>
        <v>1691761.8387401698</v>
      </c>
      <c r="M45" s="149">
        <f t="shared" si="14"/>
        <v>4646628.9164402718</v>
      </c>
      <c r="N45" s="149">
        <f t="shared" si="15"/>
        <v>2507539.48988936</v>
      </c>
      <c r="P45" s="149">
        <f t="shared" si="16"/>
        <v>140062686.69305786</v>
      </c>
      <c r="Q45" s="149">
        <f t="shared" si="17"/>
        <v>689089.42655091162</v>
      </c>
      <c r="R45" s="176">
        <f t="shared" si="18"/>
        <v>2507539.48988936</v>
      </c>
      <c r="S45" s="113">
        <f t="shared" si="19"/>
        <v>3196628.9164402718</v>
      </c>
      <c r="T45" s="113">
        <f t="shared" si="20"/>
        <v>2862170.7139924252</v>
      </c>
      <c r="U45" s="114">
        <f t="shared" si="21"/>
        <v>3.8333333333333335</v>
      </c>
      <c r="V45" s="114">
        <f t="shared" si="22"/>
        <v>1.4302266514670542E-2</v>
      </c>
      <c r="W45" s="114">
        <f t="shared" si="23"/>
        <v>18.527777777777782</v>
      </c>
      <c r="X45" s="114"/>
      <c r="Y45" s="149">
        <f t="shared" si="24"/>
        <v>200000000</v>
      </c>
      <c r="Z45" s="149">
        <f t="shared" si="25"/>
        <v>966666.66666666674</v>
      </c>
      <c r="AA45" s="176">
        <f t="shared" si="26"/>
        <v>0</v>
      </c>
      <c r="AB45" s="113">
        <f t="shared" si="27"/>
        <v>966666.66666666674</v>
      </c>
      <c r="AC45" s="113">
        <f t="shared" si="3"/>
        <v>865525.86986138148</v>
      </c>
      <c r="AD45" s="114">
        <f t="shared" si="28"/>
        <v>3.8333333333333335</v>
      </c>
      <c r="AE45" s="114">
        <f t="shared" si="29"/>
        <v>4.3203443672906591E-3</v>
      </c>
      <c r="AF45" s="114">
        <f t="shared" si="30"/>
        <v>18.527777777777782</v>
      </c>
      <c r="AG45" s="114"/>
      <c r="AH45" s="176">
        <f t="shared" si="31"/>
        <v>100000000</v>
      </c>
      <c r="AI45" s="176">
        <f t="shared" si="32"/>
        <v>483333.33333333337</v>
      </c>
      <c r="AJ45" s="176">
        <f t="shared" si="33"/>
        <v>0</v>
      </c>
      <c r="AK45" s="113">
        <f t="shared" si="34"/>
        <v>483333.33333333337</v>
      </c>
      <c r="AL45" s="113">
        <f t="shared" si="4"/>
        <v>432762.93493069074</v>
      </c>
      <c r="AM45" s="114">
        <f t="shared" si="35"/>
        <v>3.8333333333333335</v>
      </c>
      <c r="AN45" s="114">
        <f t="shared" si="36"/>
        <v>4.3173312618046081E-3</v>
      </c>
      <c r="AO45" s="114">
        <f t="shared" si="37"/>
        <v>18.527777777777782</v>
      </c>
    </row>
    <row r="46" spans="1:41" hidden="1" outlineLevel="1" x14ac:dyDescent="0.3">
      <c r="A46" s="146">
        <f t="shared" si="5"/>
        <v>24</v>
      </c>
      <c r="B46" s="147">
        <f t="shared" si="1"/>
        <v>261</v>
      </c>
      <c r="C46" s="147">
        <f t="shared" si="0"/>
        <v>99</v>
      </c>
      <c r="D46" s="149">
        <f t="shared" si="6"/>
        <v>437563814.65041286</v>
      </c>
      <c r="E46" s="149">
        <f t="shared" si="7"/>
        <v>3017030.2149997237</v>
      </c>
      <c r="F46" s="149">
        <f t="shared" si="2"/>
        <v>2200313.433465289</v>
      </c>
      <c r="G46" s="149">
        <f t="shared" si="8"/>
        <v>2126969.6523497794</v>
      </c>
      <c r="H46" s="149">
        <f t="shared" si="9"/>
        <v>73343.78111550957</v>
      </c>
      <c r="I46" s="149">
        <f t="shared" si="10"/>
        <v>816716.78153443476</v>
      </c>
      <c r="J46" s="147">
        <f t="shared" si="11"/>
        <v>4.4999999999999998E-2</v>
      </c>
      <c r="K46" s="175">
        <f t="shared" si="12"/>
        <v>3.8296430163020645E-3</v>
      </c>
      <c r="L46" s="149">
        <f t="shared" si="13"/>
        <v>1682155.2611104921</v>
      </c>
      <c r="M46" s="149">
        <f t="shared" si="14"/>
        <v>4625841.6949947067</v>
      </c>
      <c r="N46" s="149">
        <f t="shared" si="15"/>
        <v>2498872.0426449268</v>
      </c>
      <c r="P46" s="149">
        <f t="shared" si="16"/>
        <v>137563814.65041295</v>
      </c>
      <c r="Q46" s="149">
        <f t="shared" si="17"/>
        <v>676969.65234977973</v>
      </c>
      <c r="R46" s="176">
        <f t="shared" si="18"/>
        <v>2498872.0426449268</v>
      </c>
      <c r="S46" s="113">
        <f t="shared" si="19"/>
        <v>3175841.6949947067</v>
      </c>
      <c r="T46" s="113">
        <f t="shared" si="20"/>
        <v>2829927.7217911799</v>
      </c>
      <c r="U46" s="114">
        <f t="shared" si="21"/>
        <v>4</v>
      </c>
      <c r="V46" s="114">
        <f t="shared" si="22"/>
        <v>1.414114828875962E-2</v>
      </c>
      <c r="W46" s="114">
        <f t="shared" si="23"/>
        <v>20</v>
      </c>
      <c r="X46" s="114"/>
      <c r="Y46" s="149">
        <f t="shared" si="24"/>
        <v>200000000</v>
      </c>
      <c r="Z46" s="149">
        <f t="shared" si="25"/>
        <v>966666.66666666674</v>
      </c>
      <c r="AA46" s="176">
        <f t="shared" si="26"/>
        <v>0</v>
      </c>
      <c r="AB46" s="113">
        <f t="shared" si="27"/>
        <v>966666.66666666674</v>
      </c>
      <c r="AC46" s="113">
        <f t="shared" si="3"/>
        <v>861376.93892076495</v>
      </c>
      <c r="AD46" s="114">
        <f t="shared" si="28"/>
        <v>4</v>
      </c>
      <c r="AE46" s="114">
        <f t="shared" si="29"/>
        <v>4.2996346334239627E-3</v>
      </c>
      <c r="AF46" s="114">
        <f t="shared" si="30"/>
        <v>20</v>
      </c>
      <c r="AG46" s="114"/>
      <c r="AH46" s="176">
        <f t="shared" si="31"/>
        <v>100000000</v>
      </c>
      <c r="AI46" s="176">
        <f t="shared" si="32"/>
        <v>483333.33333333337</v>
      </c>
      <c r="AJ46" s="176">
        <f t="shared" si="33"/>
        <v>0</v>
      </c>
      <c r="AK46" s="113">
        <f t="shared" si="34"/>
        <v>483333.33333333337</v>
      </c>
      <c r="AL46" s="113">
        <f t="shared" si="4"/>
        <v>430688.46946038248</v>
      </c>
      <c r="AM46" s="114">
        <f t="shared" si="35"/>
        <v>4</v>
      </c>
      <c r="AN46" s="114">
        <f t="shared" si="36"/>
        <v>4.2966359713728372E-3</v>
      </c>
      <c r="AO46" s="114">
        <f t="shared" si="37"/>
        <v>20</v>
      </c>
    </row>
    <row r="47" spans="1:41" hidden="1" outlineLevel="1" x14ac:dyDescent="0.3">
      <c r="A47" s="146">
        <f t="shared" si="5"/>
        <v>25</v>
      </c>
      <c r="B47" s="147">
        <f t="shared" si="1"/>
        <v>260</v>
      </c>
      <c r="C47" s="147">
        <f t="shared" si="0"/>
        <v>100</v>
      </c>
      <c r="D47" s="149">
        <f t="shared" si="6"/>
        <v>435073575.78478879</v>
      </c>
      <c r="E47" s="149">
        <f t="shared" si="7"/>
        <v>3005476.0663068779</v>
      </c>
      <c r="F47" s="149">
        <f t="shared" si="2"/>
        <v>2187819.0732520642</v>
      </c>
      <c r="G47" s="149">
        <f t="shared" si="8"/>
        <v>2114891.7708103289</v>
      </c>
      <c r="H47" s="149">
        <f t="shared" si="9"/>
        <v>72927.302441735286</v>
      </c>
      <c r="I47" s="149">
        <f t="shared" si="10"/>
        <v>817656.99305481371</v>
      </c>
      <c r="J47" s="147">
        <f t="shared" si="11"/>
        <v>4.4999999999999998E-2</v>
      </c>
      <c r="K47" s="175">
        <f t="shared" si="12"/>
        <v>3.8296430163020645E-3</v>
      </c>
      <c r="L47" s="149">
        <f t="shared" si="13"/>
        <v>1672581.8725692616</v>
      </c>
      <c r="M47" s="149">
        <f t="shared" si="14"/>
        <v>4605130.6364344042</v>
      </c>
      <c r="N47" s="149">
        <f t="shared" si="15"/>
        <v>2490238.8656240753</v>
      </c>
      <c r="P47" s="149">
        <f t="shared" si="16"/>
        <v>135073575.78478888</v>
      </c>
      <c r="Q47" s="149">
        <f t="shared" si="17"/>
        <v>664891.77081032924</v>
      </c>
      <c r="R47" s="176">
        <f t="shared" si="18"/>
        <v>2490238.8656240753</v>
      </c>
      <c r="S47" s="113">
        <f t="shared" si="19"/>
        <v>3155130.6364344046</v>
      </c>
      <c r="T47" s="113">
        <f t="shared" si="20"/>
        <v>2797995.620489134</v>
      </c>
      <c r="U47" s="114">
        <f t="shared" si="21"/>
        <v>4.166666666666667</v>
      </c>
      <c r="V47" s="114">
        <f t="shared" si="22"/>
        <v>1.3981583584613001E-2</v>
      </c>
      <c r="W47" s="114">
        <f t="shared" si="23"/>
        <v>21.527777777777782</v>
      </c>
      <c r="X47" s="114"/>
      <c r="Y47" s="149">
        <f t="shared" si="24"/>
        <v>200000000</v>
      </c>
      <c r="Z47" s="149">
        <f t="shared" si="25"/>
        <v>966666.66666666674</v>
      </c>
      <c r="AA47" s="176">
        <f t="shared" si="26"/>
        <v>0</v>
      </c>
      <c r="AB47" s="113">
        <f t="shared" si="27"/>
        <v>966666.66666666674</v>
      </c>
      <c r="AC47" s="113">
        <f t="shared" si="3"/>
        <v>857247.89603728172</v>
      </c>
      <c r="AD47" s="114">
        <f t="shared" si="28"/>
        <v>4.166666666666667</v>
      </c>
      <c r="AE47" s="114">
        <f t="shared" si="29"/>
        <v>4.2790241724485843E-3</v>
      </c>
      <c r="AF47" s="114">
        <f t="shared" si="30"/>
        <v>21.527777777777782</v>
      </c>
      <c r="AG47" s="114"/>
      <c r="AH47" s="176">
        <f t="shared" si="31"/>
        <v>100000000</v>
      </c>
      <c r="AI47" s="176">
        <f t="shared" si="32"/>
        <v>483333.33333333337</v>
      </c>
      <c r="AJ47" s="176">
        <f t="shared" si="33"/>
        <v>0</v>
      </c>
      <c r="AK47" s="113">
        <f t="shared" si="34"/>
        <v>483333.33333333337</v>
      </c>
      <c r="AL47" s="113">
        <f t="shared" si="4"/>
        <v>428623.94801864086</v>
      </c>
      <c r="AM47" s="114">
        <f t="shared" si="35"/>
        <v>4.166666666666667</v>
      </c>
      <c r="AN47" s="114">
        <f t="shared" si="36"/>
        <v>4.2760398845972346E-3</v>
      </c>
      <c r="AO47" s="114">
        <f t="shared" si="37"/>
        <v>21.527777777777782</v>
      </c>
    </row>
    <row r="48" spans="1:41" hidden="1" outlineLevel="1" x14ac:dyDescent="0.3">
      <c r="A48" s="146">
        <f t="shared" si="5"/>
        <v>26</v>
      </c>
      <c r="B48" s="147">
        <f t="shared" si="1"/>
        <v>259</v>
      </c>
      <c r="C48" s="147">
        <f t="shared" si="0"/>
        <v>101</v>
      </c>
      <c r="D48" s="149">
        <f t="shared" si="6"/>
        <v>432591935.95596486</v>
      </c>
      <c r="E48" s="149">
        <f t="shared" si="7"/>
        <v>2993966.1658788826</v>
      </c>
      <c r="F48" s="149">
        <f t="shared" si="2"/>
        <v>2175367.8789239442</v>
      </c>
      <c r="G48" s="149">
        <f t="shared" si="8"/>
        <v>2102855.6162931458</v>
      </c>
      <c r="H48" s="149">
        <f t="shared" si="9"/>
        <v>72512.262630798388</v>
      </c>
      <c r="I48" s="149">
        <f t="shared" si="10"/>
        <v>818598.28695493843</v>
      </c>
      <c r="J48" s="147">
        <f t="shared" si="11"/>
        <v>4.4999999999999998E-2</v>
      </c>
      <c r="K48" s="175">
        <f t="shared" si="12"/>
        <v>3.8296430163020645E-3</v>
      </c>
      <c r="L48" s="149">
        <f t="shared" si="13"/>
        <v>1663041.5418689896</v>
      </c>
      <c r="M48" s="149">
        <f t="shared" si="14"/>
        <v>4584495.4451170741</v>
      </c>
      <c r="N48" s="149">
        <f t="shared" si="15"/>
        <v>2481639.8288239278</v>
      </c>
      <c r="P48" s="149">
        <f t="shared" si="16"/>
        <v>132591935.95596495</v>
      </c>
      <c r="Q48" s="149">
        <f t="shared" si="17"/>
        <v>652855.61629314627</v>
      </c>
      <c r="R48" s="176">
        <f t="shared" si="18"/>
        <v>2481639.8288239278</v>
      </c>
      <c r="S48" s="113">
        <f t="shared" si="19"/>
        <v>3134495.4451170741</v>
      </c>
      <c r="T48" s="113">
        <f t="shared" si="20"/>
        <v>2766371.5857456326</v>
      </c>
      <c r="U48" s="114">
        <f t="shared" si="21"/>
        <v>4.333333333333333</v>
      </c>
      <c r="V48" s="114">
        <f t="shared" si="22"/>
        <v>1.3823558289000967E-2</v>
      </c>
      <c r="W48" s="114">
        <f t="shared" si="23"/>
        <v>23.111111111111107</v>
      </c>
      <c r="X48" s="114"/>
      <c r="Y48" s="149">
        <f t="shared" si="24"/>
        <v>200000000</v>
      </c>
      <c r="Z48" s="149">
        <f t="shared" si="25"/>
        <v>966666.66666666674</v>
      </c>
      <c r="AA48" s="176">
        <f t="shared" si="26"/>
        <v>0</v>
      </c>
      <c r="AB48" s="113">
        <f t="shared" si="27"/>
        <v>966666.66666666674</v>
      </c>
      <c r="AC48" s="113">
        <f t="shared" si="3"/>
        <v>853138.64587677876</v>
      </c>
      <c r="AD48" s="114">
        <f t="shared" si="28"/>
        <v>4.333333333333333</v>
      </c>
      <c r="AE48" s="114">
        <f t="shared" si="29"/>
        <v>4.2585125084961704E-3</v>
      </c>
      <c r="AF48" s="114">
        <f t="shared" si="30"/>
        <v>23.111111111111107</v>
      </c>
      <c r="AG48" s="114"/>
      <c r="AH48" s="176">
        <f t="shared" si="31"/>
        <v>100000000</v>
      </c>
      <c r="AI48" s="176">
        <f t="shared" si="32"/>
        <v>483333.33333333337</v>
      </c>
      <c r="AJ48" s="176">
        <f t="shared" si="33"/>
        <v>0</v>
      </c>
      <c r="AK48" s="113">
        <f t="shared" si="34"/>
        <v>483333.33333333337</v>
      </c>
      <c r="AL48" s="113">
        <f t="shared" si="4"/>
        <v>426569.32293838938</v>
      </c>
      <c r="AM48" s="114">
        <f t="shared" si="35"/>
        <v>4.333333333333333</v>
      </c>
      <c r="AN48" s="114">
        <f t="shared" si="36"/>
        <v>4.2555425259413271E-3</v>
      </c>
      <c r="AO48" s="114">
        <f t="shared" si="37"/>
        <v>23.111111111111107</v>
      </c>
    </row>
    <row r="49" spans="1:41" hidden="1" outlineLevel="1" x14ac:dyDescent="0.3">
      <c r="A49" s="146">
        <f t="shared" si="5"/>
        <v>27</v>
      </c>
      <c r="B49" s="147">
        <f t="shared" si="1"/>
        <v>258</v>
      </c>
      <c r="C49" s="147">
        <f t="shared" si="0"/>
        <v>102</v>
      </c>
      <c r="D49" s="149">
        <f t="shared" si="6"/>
        <v>430118861.15322393</v>
      </c>
      <c r="E49" s="149">
        <f t="shared" si="7"/>
        <v>2982500.34426068</v>
      </c>
      <c r="F49" s="149">
        <f t="shared" si="2"/>
        <v>2162959.6797798243</v>
      </c>
      <c r="G49" s="149">
        <f t="shared" si="8"/>
        <v>2090861.0237871637</v>
      </c>
      <c r="H49" s="149">
        <f t="shared" si="9"/>
        <v>72098.655992660671</v>
      </c>
      <c r="I49" s="149">
        <f t="shared" si="10"/>
        <v>819540.66448085569</v>
      </c>
      <c r="J49" s="147">
        <f t="shared" si="11"/>
        <v>4.4999999999999998E-2</v>
      </c>
      <c r="K49" s="175">
        <f t="shared" si="12"/>
        <v>3.8296430163020645E-3</v>
      </c>
      <c r="L49" s="149">
        <f t="shared" si="13"/>
        <v>1653534.138260046</v>
      </c>
      <c r="M49" s="149">
        <f t="shared" si="14"/>
        <v>4563935.8265280649</v>
      </c>
      <c r="N49" s="149">
        <f t="shared" si="15"/>
        <v>2473074.8027409017</v>
      </c>
      <c r="P49" s="149">
        <f t="shared" si="16"/>
        <v>130118861.15322405</v>
      </c>
      <c r="Q49" s="149">
        <f t="shared" si="17"/>
        <v>640861.02378716401</v>
      </c>
      <c r="R49" s="176">
        <f t="shared" si="18"/>
        <v>2473074.8027409017</v>
      </c>
      <c r="S49" s="113">
        <f t="shared" si="19"/>
        <v>3113935.8265280658</v>
      </c>
      <c r="T49" s="113">
        <f t="shared" si="20"/>
        <v>2735052.8181974217</v>
      </c>
      <c r="U49" s="114">
        <f t="shared" si="21"/>
        <v>4.5</v>
      </c>
      <c r="V49" s="114">
        <f t="shared" si="22"/>
        <v>1.3667058413505871E-2</v>
      </c>
      <c r="W49" s="114">
        <f t="shared" si="23"/>
        <v>24.75</v>
      </c>
      <c r="X49" s="114"/>
      <c r="Y49" s="149">
        <f t="shared" si="24"/>
        <v>200000000</v>
      </c>
      <c r="Z49" s="149">
        <f t="shared" si="25"/>
        <v>966666.66666666674</v>
      </c>
      <c r="AA49" s="176">
        <f t="shared" si="26"/>
        <v>0</v>
      </c>
      <c r="AB49" s="113">
        <f t="shared" si="27"/>
        <v>966666.66666666674</v>
      </c>
      <c r="AC49" s="113">
        <f t="shared" si="3"/>
        <v>849049.09356209089</v>
      </c>
      <c r="AD49" s="114">
        <f t="shared" si="28"/>
        <v>4.5</v>
      </c>
      <c r="AE49" s="114">
        <f t="shared" si="29"/>
        <v>4.2380991679794597E-3</v>
      </c>
      <c r="AF49" s="114">
        <f t="shared" si="30"/>
        <v>24.75</v>
      </c>
      <c r="AG49" s="114"/>
      <c r="AH49" s="176">
        <f t="shared" si="31"/>
        <v>100000000</v>
      </c>
      <c r="AI49" s="176">
        <f t="shared" si="32"/>
        <v>483333.33333333337</v>
      </c>
      <c r="AJ49" s="176">
        <f t="shared" si="33"/>
        <v>0</v>
      </c>
      <c r="AK49" s="113">
        <f t="shared" si="34"/>
        <v>483333.33333333337</v>
      </c>
      <c r="AL49" s="113">
        <f t="shared" si="4"/>
        <v>424524.54678104544</v>
      </c>
      <c r="AM49" s="114">
        <f t="shared" si="35"/>
        <v>4.5</v>
      </c>
      <c r="AN49" s="114">
        <f t="shared" si="36"/>
        <v>4.2351434221481448E-3</v>
      </c>
      <c r="AO49" s="114">
        <f t="shared" si="37"/>
        <v>24.75</v>
      </c>
    </row>
    <row r="50" spans="1:41" hidden="1" outlineLevel="1" x14ac:dyDescent="0.3">
      <c r="A50" s="146">
        <f t="shared" si="5"/>
        <v>28</v>
      </c>
      <c r="B50" s="147">
        <f t="shared" si="1"/>
        <v>257</v>
      </c>
      <c r="C50" s="147">
        <f t="shared" si="0"/>
        <v>103</v>
      </c>
      <c r="D50" s="149">
        <f t="shared" si="6"/>
        <v>427654317.49485511</v>
      </c>
      <c r="E50" s="149">
        <f t="shared" si="7"/>
        <v>2971078.4326461637</v>
      </c>
      <c r="F50" s="149">
        <f t="shared" si="2"/>
        <v>2150594.3057661196</v>
      </c>
      <c r="G50" s="149">
        <f t="shared" si="8"/>
        <v>2078907.828907249</v>
      </c>
      <c r="H50" s="149">
        <f t="shared" si="9"/>
        <v>71686.476858870592</v>
      </c>
      <c r="I50" s="149">
        <f t="shared" si="10"/>
        <v>820484.12688004412</v>
      </c>
      <c r="J50" s="147">
        <f t="shared" si="11"/>
        <v>4.4999999999999998E-2</v>
      </c>
      <c r="K50" s="175">
        <f t="shared" si="12"/>
        <v>3.8296430163020645E-3</v>
      </c>
      <c r="L50" s="149">
        <f t="shared" si="13"/>
        <v>1644059.5314887485</v>
      </c>
      <c r="M50" s="149">
        <f t="shared" si="14"/>
        <v>4543451.4872760419</v>
      </c>
      <c r="N50" s="149">
        <f t="shared" si="15"/>
        <v>2464543.6583687924</v>
      </c>
      <c r="P50" s="149">
        <f t="shared" si="16"/>
        <v>127654317.49485525</v>
      </c>
      <c r="Q50" s="149">
        <f t="shared" si="17"/>
        <v>628907.82890724961</v>
      </c>
      <c r="R50" s="176">
        <f t="shared" si="18"/>
        <v>2464543.6583687924</v>
      </c>
      <c r="S50" s="113">
        <f t="shared" si="19"/>
        <v>3093451.4872760419</v>
      </c>
      <c r="T50" s="113">
        <f t="shared" si="20"/>
        <v>2704036.5432406352</v>
      </c>
      <c r="U50" s="114">
        <f t="shared" si="21"/>
        <v>4.666666666666667</v>
      </c>
      <c r="V50" s="114">
        <f t="shared" si="22"/>
        <v>1.3512070093432717E-2</v>
      </c>
      <c r="W50" s="114">
        <f t="shared" si="23"/>
        <v>26.444444444444446</v>
      </c>
      <c r="X50" s="114"/>
      <c r="Y50" s="149">
        <f t="shared" si="24"/>
        <v>200000000</v>
      </c>
      <c r="Z50" s="149">
        <f t="shared" si="25"/>
        <v>966666.66666666674</v>
      </c>
      <c r="AA50" s="176">
        <f t="shared" si="26"/>
        <v>0</v>
      </c>
      <c r="AB50" s="113">
        <f t="shared" si="27"/>
        <v>966666.66666666674</v>
      </c>
      <c r="AC50" s="113">
        <f t="shared" si="3"/>
        <v>844979.14467085083</v>
      </c>
      <c r="AD50" s="114">
        <f t="shared" si="28"/>
        <v>4.666666666666667</v>
      </c>
      <c r="AE50" s="114">
        <f t="shared" si="29"/>
        <v>4.217783679581354E-3</v>
      </c>
      <c r="AF50" s="114">
        <f t="shared" si="30"/>
        <v>26.444444444444446</v>
      </c>
      <c r="AG50" s="114"/>
      <c r="AH50" s="176">
        <f t="shared" si="31"/>
        <v>100000000</v>
      </c>
      <c r="AI50" s="176">
        <f t="shared" si="32"/>
        <v>483333.33333333337</v>
      </c>
      <c r="AJ50" s="176">
        <f t="shared" si="33"/>
        <v>0</v>
      </c>
      <c r="AK50" s="113">
        <f t="shared" si="34"/>
        <v>483333.33333333337</v>
      </c>
      <c r="AL50" s="113">
        <f t="shared" si="4"/>
        <v>422489.57233542542</v>
      </c>
      <c r="AM50" s="114">
        <f t="shared" si="35"/>
        <v>4.666666666666667</v>
      </c>
      <c r="AN50" s="114">
        <f t="shared" si="36"/>
        <v>4.2148421022292935E-3</v>
      </c>
      <c r="AO50" s="114">
        <f t="shared" si="37"/>
        <v>26.444444444444446</v>
      </c>
    </row>
    <row r="51" spans="1:41" hidden="1" outlineLevel="1" x14ac:dyDescent="0.3">
      <c r="A51" s="146">
        <f t="shared" si="5"/>
        <v>29</v>
      </c>
      <c r="B51" s="147">
        <f t="shared" si="1"/>
        <v>256</v>
      </c>
      <c r="C51" s="147">
        <f t="shared" si="0"/>
        <v>104</v>
      </c>
      <c r="D51" s="149">
        <f t="shared" si="6"/>
        <v>425198271.22765827</v>
      </c>
      <c r="E51" s="149">
        <f t="shared" si="7"/>
        <v>2959700.2628756948</v>
      </c>
      <c r="F51" s="149">
        <f t="shared" si="2"/>
        <v>2138271.5874742754</v>
      </c>
      <c r="G51" s="149">
        <f t="shared" si="8"/>
        <v>2066995.8678917999</v>
      </c>
      <c r="H51" s="149">
        <f t="shared" si="9"/>
        <v>71275.719582475489</v>
      </c>
      <c r="I51" s="149">
        <f t="shared" si="10"/>
        <v>821428.6754014194</v>
      </c>
      <c r="J51" s="147">
        <f t="shared" si="11"/>
        <v>4.4999999999999998E-2</v>
      </c>
      <c r="K51" s="175">
        <f t="shared" si="12"/>
        <v>3.8296430163020645E-3</v>
      </c>
      <c r="L51" s="149">
        <f t="shared" si="13"/>
        <v>1634617.5917954564</v>
      </c>
      <c r="M51" s="149">
        <f t="shared" si="14"/>
        <v>4523042.1350886757</v>
      </c>
      <c r="N51" s="149">
        <f t="shared" si="15"/>
        <v>2456046.267196876</v>
      </c>
      <c r="P51" s="149">
        <f t="shared" si="16"/>
        <v>125198271.22765838</v>
      </c>
      <c r="Q51" s="149">
        <f t="shared" si="17"/>
        <v>616995.86789180047</v>
      </c>
      <c r="R51" s="176">
        <f t="shared" si="18"/>
        <v>2456046.267196876</v>
      </c>
      <c r="S51" s="113">
        <f t="shared" si="19"/>
        <v>3073042.1350886766</v>
      </c>
      <c r="T51" s="113">
        <f t="shared" si="20"/>
        <v>2673320.0108146756</v>
      </c>
      <c r="U51" s="114">
        <f t="shared" si="21"/>
        <v>4.833333333333333</v>
      </c>
      <c r="V51" s="114">
        <f t="shared" si="22"/>
        <v>1.3358579586729225E-2</v>
      </c>
      <c r="W51" s="114">
        <f t="shared" si="23"/>
        <v>28.194444444444443</v>
      </c>
      <c r="X51" s="114"/>
      <c r="Y51" s="149">
        <f t="shared" si="24"/>
        <v>200000000</v>
      </c>
      <c r="Z51" s="149">
        <f t="shared" si="25"/>
        <v>966666.66666666674</v>
      </c>
      <c r="AA51" s="176">
        <f t="shared" si="26"/>
        <v>0</v>
      </c>
      <c r="AB51" s="113">
        <f t="shared" si="27"/>
        <v>966666.66666666674</v>
      </c>
      <c r="AC51" s="113">
        <f t="shared" si="3"/>
        <v>840928.70523330756</v>
      </c>
      <c r="AD51" s="114">
        <f t="shared" si="28"/>
        <v>4.833333333333333</v>
      </c>
      <c r="AE51" s="114">
        <f t="shared" si="29"/>
        <v>4.1975655742440233E-3</v>
      </c>
      <c r="AF51" s="114">
        <f t="shared" si="30"/>
        <v>28.194444444444443</v>
      </c>
      <c r="AG51" s="114"/>
      <c r="AH51" s="176">
        <f t="shared" si="31"/>
        <v>100000000</v>
      </c>
      <c r="AI51" s="176">
        <f t="shared" si="32"/>
        <v>483333.33333333337</v>
      </c>
      <c r="AJ51" s="176">
        <f t="shared" si="33"/>
        <v>0</v>
      </c>
      <c r="AK51" s="113">
        <f t="shared" si="34"/>
        <v>483333.33333333337</v>
      </c>
      <c r="AL51" s="113">
        <f t="shared" si="4"/>
        <v>420464.35261665378</v>
      </c>
      <c r="AM51" s="114">
        <f t="shared" si="35"/>
        <v>4.833333333333333</v>
      </c>
      <c r="AN51" s="114">
        <f t="shared" si="36"/>
        <v>4.1946380974540783E-3</v>
      </c>
      <c r="AO51" s="114">
        <f t="shared" si="37"/>
        <v>28.194444444444443</v>
      </c>
    </row>
    <row r="52" spans="1:41" hidden="1" outlineLevel="1" x14ac:dyDescent="0.3">
      <c r="A52" s="146">
        <f t="shared" si="5"/>
        <v>30</v>
      </c>
      <c r="B52" s="147">
        <f t="shared" si="1"/>
        <v>255</v>
      </c>
      <c r="C52" s="147">
        <f t="shared" si="0"/>
        <v>105</v>
      </c>
      <c r="D52" s="149">
        <f t="shared" si="6"/>
        <v>422750688.72645026</v>
      </c>
      <c r="E52" s="149">
        <f t="shared" si="7"/>
        <v>2948365.6674336256</v>
      </c>
      <c r="F52" s="149">
        <f t="shared" si="2"/>
        <v>2125991.3561382913</v>
      </c>
      <c r="G52" s="149">
        <f t="shared" si="8"/>
        <v>2055124.9776003484</v>
      </c>
      <c r="H52" s="149">
        <f t="shared" si="9"/>
        <v>70866.378537942888</v>
      </c>
      <c r="I52" s="149">
        <f t="shared" si="10"/>
        <v>822374.31129533425</v>
      </c>
      <c r="J52" s="147">
        <f t="shared" si="11"/>
        <v>4.4999999999999998E-2</v>
      </c>
      <c r="K52" s="175">
        <f t="shared" si="12"/>
        <v>3.8296430163020645E-3</v>
      </c>
      <c r="L52" s="149">
        <f t="shared" si="13"/>
        <v>1625208.1899126743</v>
      </c>
      <c r="M52" s="149">
        <f t="shared" si="14"/>
        <v>4502707.4788083564</v>
      </c>
      <c r="N52" s="149">
        <f t="shared" si="15"/>
        <v>2447582.5012080083</v>
      </c>
      <c r="P52" s="149">
        <f t="shared" si="16"/>
        <v>122750688.72645037</v>
      </c>
      <c r="Q52" s="149">
        <f t="shared" si="17"/>
        <v>605124.97760034888</v>
      </c>
      <c r="R52" s="176">
        <f t="shared" si="18"/>
        <v>2447582.5012080083</v>
      </c>
      <c r="S52" s="113">
        <f t="shared" si="19"/>
        <v>3052707.4788083574</v>
      </c>
      <c r="T52" s="113">
        <f t="shared" si="20"/>
        <v>2642900.495187962</v>
      </c>
      <c r="U52" s="114">
        <f t="shared" si="21"/>
        <v>5</v>
      </c>
      <c r="V52" s="114">
        <f t="shared" si="22"/>
        <v>1.32065732729152E-2</v>
      </c>
      <c r="W52" s="114">
        <f t="shared" si="23"/>
        <v>30</v>
      </c>
      <c r="X52" s="114"/>
      <c r="Y52" s="149">
        <f t="shared" si="24"/>
        <v>200000000</v>
      </c>
      <c r="Z52" s="149">
        <f t="shared" si="25"/>
        <v>966666.66666666674</v>
      </c>
      <c r="AA52" s="176">
        <f t="shared" si="26"/>
        <v>0</v>
      </c>
      <c r="AB52" s="113">
        <f t="shared" si="27"/>
        <v>966666.66666666674</v>
      </c>
      <c r="AC52" s="113">
        <f t="shared" si="3"/>
        <v>836897.68173015816</v>
      </c>
      <c r="AD52" s="114">
        <f t="shared" si="28"/>
        <v>5</v>
      </c>
      <c r="AE52" s="114">
        <f t="shared" si="29"/>
        <v>4.1774443851580901E-3</v>
      </c>
      <c r="AF52" s="114">
        <f t="shared" si="30"/>
        <v>30</v>
      </c>
      <c r="AG52" s="114"/>
      <c r="AH52" s="176">
        <f t="shared" si="31"/>
        <v>100000000</v>
      </c>
      <c r="AI52" s="176">
        <f t="shared" si="32"/>
        <v>483333.33333333337</v>
      </c>
      <c r="AJ52" s="176">
        <f t="shared" si="33"/>
        <v>0</v>
      </c>
      <c r="AK52" s="113">
        <f t="shared" si="34"/>
        <v>483333.33333333337</v>
      </c>
      <c r="AL52" s="113">
        <f t="shared" si="4"/>
        <v>418448.84086507908</v>
      </c>
      <c r="AM52" s="114">
        <f t="shared" si="35"/>
        <v>5</v>
      </c>
      <c r="AN52" s="114">
        <f t="shared" si="36"/>
        <v>4.1745309413386824E-3</v>
      </c>
      <c r="AO52" s="114">
        <f t="shared" si="37"/>
        <v>30</v>
      </c>
    </row>
    <row r="53" spans="1:41" hidden="1" outlineLevel="1" x14ac:dyDescent="0.3">
      <c r="A53" s="146">
        <f t="shared" si="5"/>
        <v>31</v>
      </c>
      <c r="B53" s="147">
        <f t="shared" si="1"/>
        <v>254</v>
      </c>
      <c r="C53" s="147">
        <f t="shared" si="0"/>
        <v>106</v>
      </c>
      <c r="D53" s="149">
        <f t="shared" si="6"/>
        <v>420311536.49357355</v>
      </c>
      <c r="E53" s="149">
        <f t="shared" si="7"/>
        <v>2937074.4794458337</v>
      </c>
      <c r="F53" s="149">
        <f t="shared" si="2"/>
        <v>2113753.4436322516</v>
      </c>
      <c r="G53" s="149">
        <f t="shared" si="8"/>
        <v>2043294.9955111763</v>
      </c>
      <c r="H53" s="149">
        <f t="shared" si="9"/>
        <v>70458.448121075286</v>
      </c>
      <c r="I53" s="149">
        <f t="shared" si="10"/>
        <v>823321.03581358213</v>
      </c>
      <c r="J53" s="147">
        <f t="shared" si="11"/>
        <v>4.4999999999999998E-2</v>
      </c>
      <c r="K53" s="175">
        <f t="shared" si="12"/>
        <v>3.8296430163020645E-3</v>
      </c>
      <c r="L53" s="149">
        <f t="shared" si="13"/>
        <v>1615831.1970631601</v>
      </c>
      <c r="M53" s="149">
        <f t="shared" si="14"/>
        <v>4482447.2283879183</v>
      </c>
      <c r="N53" s="149">
        <f t="shared" si="15"/>
        <v>2439152.2328767423</v>
      </c>
      <c r="P53" s="149">
        <f t="shared" si="16"/>
        <v>120311536.49357362</v>
      </c>
      <c r="Q53" s="149">
        <f t="shared" si="17"/>
        <v>593294.99551117676</v>
      </c>
      <c r="R53" s="176">
        <f t="shared" si="18"/>
        <v>2439152.2328767423</v>
      </c>
      <c r="S53" s="113">
        <f t="shared" si="19"/>
        <v>3032447.2283879193</v>
      </c>
      <c r="T53" s="113">
        <f t="shared" si="20"/>
        <v>2612775.2947455524</v>
      </c>
      <c r="U53" s="114">
        <f t="shared" si="21"/>
        <v>5.166666666666667</v>
      </c>
      <c r="V53" s="114">
        <f t="shared" si="22"/>
        <v>1.3056037652021291E-2</v>
      </c>
      <c r="W53" s="114">
        <f t="shared" si="23"/>
        <v>31.861111111111114</v>
      </c>
      <c r="X53" s="114"/>
      <c r="Y53" s="149">
        <f t="shared" si="24"/>
        <v>200000000</v>
      </c>
      <c r="Z53" s="149">
        <f t="shared" si="25"/>
        <v>966666.66666666674</v>
      </c>
      <c r="AA53" s="176">
        <f t="shared" si="26"/>
        <v>0</v>
      </c>
      <c r="AB53" s="113">
        <f t="shared" si="27"/>
        <v>966666.66666666674</v>
      </c>
      <c r="AC53" s="113">
        <f t="shared" si="3"/>
        <v>832885.98109038814</v>
      </c>
      <c r="AD53" s="114">
        <f t="shared" si="28"/>
        <v>5.166666666666667</v>
      </c>
      <c r="AE53" s="114">
        <f t="shared" si="29"/>
        <v>4.1574196477518442E-3</v>
      </c>
      <c r="AF53" s="114">
        <f t="shared" si="30"/>
        <v>31.861111111111114</v>
      </c>
      <c r="AG53" s="114"/>
      <c r="AH53" s="176">
        <f t="shared" si="31"/>
        <v>100000000</v>
      </c>
      <c r="AI53" s="176">
        <f t="shared" si="32"/>
        <v>483333.33333333337</v>
      </c>
      <c r="AJ53" s="176">
        <f t="shared" si="33"/>
        <v>0</v>
      </c>
      <c r="AK53" s="113">
        <f t="shared" si="34"/>
        <v>483333.33333333337</v>
      </c>
      <c r="AL53" s="113">
        <f t="shared" si="4"/>
        <v>416442.99054519407</v>
      </c>
      <c r="AM53" s="114">
        <f t="shared" si="35"/>
        <v>5.166666666666667</v>
      </c>
      <c r="AN53" s="114">
        <f t="shared" si="36"/>
        <v>4.1545201696354013E-3</v>
      </c>
      <c r="AO53" s="114">
        <f t="shared" si="37"/>
        <v>31.861111111111114</v>
      </c>
    </row>
    <row r="54" spans="1:41" hidden="1" outlineLevel="1" x14ac:dyDescent="0.3">
      <c r="A54" s="146">
        <f t="shared" si="5"/>
        <v>32</v>
      </c>
      <c r="B54" s="147">
        <f t="shared" si="1"/>
        <v>253</v>
      </c>
      <c r="C54" s="147">
        <f t="shared" si="0"/>
        <v>107</v>
      </c>
      <c r="D54" s="149">
        <f t="shared" si="6"/>
        <v>417880781.15840608</v>
      </c>
      <c r="E54" s="149">
        <f t="shared" si="7"/>
        <v>2925826.5326772649</v>
      </c>
      <c r="F54" s="149">
        <f t="shared" si="2"/>
        <v>2101557.6824678676</v>
      </c>
      <c r="G54" s="149">
        <f t="shared" si="8"/>
        <v>2031505.759718939</v>
      </c>
      <c r="H54" s="149">
        <f t="shared" si="9"/>
        <v>70051.922748928657</v>
      </c>
      <c r="I54" s="149">
        <f t="shared" si="10"/>
        <v>824268.85020939726</v>
      </c>
      <c r="J54" s="147">
        <f t="shared" si="11"/>
        <v>4.4999999999999998E-2</v>
      </c>
      <c r="K54" s="175">
        <f t="shared" si="12"/>
        <v>3.8296430163020645E-3</v>
      </c>
      <c r="L54" s="149">
        <f t="shared" si="13"/>
        <v>1606486.4849580445</v>
      </c>
      <c r="M54" s="149">
        <f t="shared" si="14"/>
        <v>4462261.0948863802</v>
      </c>
      <c r="N54" s="149">
        <f t="shared" si="15"/>
        <v>2430755.3351674415</v>
      </c>
      <c r="P54" s="149">
        <f t="shared" si="16"/>
        <v>117880781.15840618</v>
      </c>
      <c r="Q54" s="149">
        <f t="shared" si="17"/>
        <v>581505.7597189392</v>
      </c>
      <c r="R54" s="176">
        <f t="shared" si="18"/>
        <v>2430755.3351674415</v>
      </c>
      <c r="S54" s="113">
        <f t="shared" si="19"/>
        <v>3012261.0948863807</v>
      </c>
      <c r="T54" s="113">
        <f t="shared" si="20"/>
        <v>2582941.7317785835</v>
      </c>
      <c r="U54" s="114">
        <f t="shared" si="21"/>
        <v>5.333333333333333</v>
      </c>
      <c r="V54" s="114">
        <f t="shared" si="22"/>
        <v>1.2906959343536816E-2</v>
      </c>
      <c r="W54" s="114">
        <f t="shared" si="23"/>
        <v>33.777777777777771</v>
      </c>
      <c r="X54" s="114"/>
      <c r="Y54" s="149">
        <f t="shared" si="24"/>
        <v>200000000</v>
      </c>
      <c r="Z54" s="149">
        <f t="shared" si="25"/>
        <v>966666.66666666674</v>
      </c>
      <c r="AA54" s="176">
        <f t="shared" si="26"/>
        <v>0</v>
      </c>
      <c r="AB54" s="113">
        <f t="shared" si="27"/>
        <v>966666.66666666674</v>
      </c>
      <c r="AC54" s="113">
        <f t="shared" si="3"/>
        <v>828893.51068912214</v>
      </c>
      <c r="AD54" s="114">
        <f t="shared" si="28"/>
        <v>5.333333333333333</v>
      </c>
      <c r="AE54" s="114">
        <f t="shared" si="29"/>
        <v>4.1374908996805165E-3</v>
      </c>
      <c r="AF54" s="114">
        <f t="shared" si="30"/>
        <v>33.777777777777771</v>
      </c>
      <c r="AG54" s="114"/>
      <c r="AH54" s="176">
        <f t="shared" si="31"/>
        <v>100000000</v>
      </c>
      <c r="AI54" s="176">
        <f t="shared" si="32"/>
        <v>483333.33333333337</v>
      </c>
      <c r="AJ54" s="176">
        <f t="shared" si="33"/>
        <v>0</v>
      </c>
      <c r="AK54" s="113">
        <f t="shared" si="34"/>
        <v>483333.33333333337</v>
      </c>
      <c r="AL54" s="113">
        <f t="shared" si="4"/>
        <v>414446.75534456107</v>
      </c>
      <c r="AM54" s="114">
        <f t="shared" si="35"/>
        <v>5.333333333333333</v>
      </c>
      <c r="AN54" s="114">
        <f t="shared" si="36"/>
        <v>4.1346053203219126E-3</v>
      </c>
      <c r="AO54" s="114">
        <f t="shared" si="37"/>
        <v>33.777777777777771</v>
      </c>
    </row>
    <row r="55" spans="1:41" hidden="1" outlineLevel="1" x14ac:dyDescent="0.3">
      <c r="A55" s="146">
        <f t="shared" si="5"/>
        <v>33</v>
      </c>
      <c r="B55" s="147">
        <f t="shared" si="1"/>
        <v>252</v>
      </c>
      <c r="C55" s="147">
        <f t="shared" si="0"/>
        <v>108</v>
      </c>
      <c r="D55" s="149">
        <f t="shared" si="6"/>
        <v>415458389.47687364</v>
      </c>
      <c r="E55" s="149">
        <f t="shared" si="7"/>
        <v>2914621.6615294861</v>
      </c>
      <c r="F55" s="149">
        <f t="shared" si="2"/>
        <v>2089403.9057920305</v>
      </c>
      <c r="G55" s="149">
        <f t="shared" si="8"/>
        <v>2019757.108932296</v>
      </c>
      <c r="H55" s="149">
        <f t="shared" si="9"/>
        <v>69646.796859734459</v>
      </c>
      <c r="I55" s="149">
        <f t="shared" si="10"/>
        <v>825217.75573745556</v>
      </c>
      <c r="J55" s="147">
        <f t="shared" si="11"/>
        <v>4.4999999999999998E-2</v>
      </c>
      <c r="K55" s="175">
        <f t="shared" si="12"/>
        <v>3.8296430163020645E-3</v>
      </c>
      <c r="L55" s="149">
        <f t="shared" si="13"/>
        <v>1597173.9257949525</v>
      </c>
      <c r="M55" s="149">
        <f t="shared" si="14"/>
        <v>4442148.7904647039</v>
      </c>
      <c r="N55" s="149">
        <f t="shared" si="15"/>
        <v>2422391.6815324081</v>
      </c>
      <c r="P55" s="149">
        <f t="shared" si="16"/>
        <v>115458389.47687377</v>
      </c>
      <c r="Q55" s="149">
        <f t="shared" si="17"/>
        <v>569757.10893229663</v>
      </c>
      <c r="R55" s="176">
        <f t="shared" si="18"/>
        <v>2422391.6815324081</v>
      </c>
      <c r="S55" s="113">
        <f t="shared" si="19"/>
        <v>2992148.7904647049</v>
      </c>
      <c r="T55" s="113">
        <f t="shared" si="20"/>
        <v>2553397.152275559</v>
      </c>
      <c r="U55" s="114">
        <f t="shared" si="21"/>
        <v>5.5</v>
      </c>
      <c r="V55" s="114">
        <f t="shared" si="22"/>
        <v>1.275932508536683E-2</v>
      </c>
      <c r="W55" s="114">
        <f t="shared" si="23"/>
        <v>35.75</v>
      </c>
      <c r="X55" s="114"/>
      <c r="Y55" s="149">
        <f t="shared" si="24"/>
        <v>200000000</v>
      </c>
      <c r="Z55" s="149">
        <f t="shared" si="25"/>
        <v>966666.66666666674</v>
      </c>
      <c r="AA55" s="176">
        <f t="shared" si="26"/>
        <v>0</v>
      </c>
      <c r="AB55" s="113">
        <f t="shared" si="27"/>
        <v>966666.66666666674</v>
      </c>
      <c r="AC55" s="113">
        <f t="shared" si="3"/>
        <v>824920.17834548582</v>
      </c>
      <c r="AD55" s="114">
        <f t="shared" si="28"/>
        <v>5.5</v>
      </c>
      <c r="AE55" s="114">
        <f t="shared" si="29"/>
        <v>4.1176576808156055E-3</v>
      </c>
      <c r="AF55" s="114">
        <f t="shared" si="30"/>
        <v>35.75</v>
      </c>
      <c r="AG55" s="114"/>
      <c r="AH55" s="176">
        <f t="shared" si="31"/>
        <v>100000000</v>
      </c>
      <c r="AI55" s="176">
        <f t="shared" si="32"/>
        <v>483333.33333333337</v>
      </c>
      <c r="AJ55" s="176">
        <f t="shared" si="33"/>
        <v>0</v>
      </c>
      <c r="AK55" s="113">
        <f t="shared" si="34"/>
        <v>483333.33333333337</v>
      </c>
      <c r="AL55" s="113">
        <f t="shared" si="4"/>
        <v>412460.08917274291</v>
      </c>
      <c r="AM55" s="114">
        <f t="shared" si="35"/>
        <v>5.5</v>
      </c>
      <c r="AN55" s="114">
        <f t="shared" si="36"/>
        <v>4.1147859335906208E-3</v>
      </c>
      <c r="AO55" s="114">
        <f t="shared" si="37"/>
        <v>35.75</v>
      </c>
    </row>
    <row r="56" spans="1:41" hidden="1" outlineLevel="1" x14ac:dyDescent="0.3">
      <c r="A56" s="146">
        <f t="shared" si="5"/>
        <v>34</v>
      </c>
      <c r="B56" s="147">
        <f t="shared" si="1"/>
        <v>251</v>
      </c>
      <c r="C56" s="147">
        <f t="shared" si="0"/>
        <v>109</v>
      </c>
      <c r="D56" s="149">
        <f t="shared" si="6"/>
        <v>413044328.33096361</v>
      </c>
      <c r="E56" s="149">
        <f t="shared" si="7"/>
        <v>2903459.701038247</v>
      </c>
      <c r="F56" s="149">
        <f t="shared" si="2"/>
        <v>2077291.9473843682</v>
      </c>
      <c r="G56" s="149">
        <f t="shared" si="8"/>
        <v>2008048.8824715561</v>
      </c>
      <c r="H56" s="149">
        <f t="shared" si="9"/>
        <v>69243.064912812086</v>
      </c>
      <c r="I56" s="149">
        <f t="shared" si="10"/>
        <v>826167.75365387881</v>
      </c>
      <c r="J56" s="147">
        <f t="shared" si="11"/>
        <v>4.4999999999999998E-2</v>
      </c>
      <c r="K56" s="175">
        <f t="shared" si="12"/>
        <v>3.8296430163020645E-3</v>
      </c>
      <c r="L56" s="149">
        <f t="shared" si="13"/>
        <v>1587893.3922561377</v>
      </c>
      <c r="M56" s="149">
        <f t="shared" si="14"/>
        <v>4422110.028381573</v>
      </c>
      <c r="N56" s="149">
        <f t="shared" si="15"/>
        <v>2414061.1459100163</v>
      </c>
      <c r="P56" s="149">
        <f t="shared" si="16"/>
        <v>113044328.33096376</v>
      </c>
      <c r="Q56" s="149">
        <f t="shared" si="17"/>
        <v>558048.88247155654</v>
      </c>
      <c r="R56" s="176">
        <f t="shared" si="18"/>
        <v>2414061.1459100163</v>
      </c>
      <c r="S56" s="113">
        <f t="shared" si="19"/>
        <v>2972110.028381573</v>
      </c>
      <c r="T56" s="113">
        <f t="shared" si="20"/>
        <v>2524138.9257154306</v>
      </c>
      <c r="U56" s="114">
        <f t="shared" si="21"/>
        <v>5.666666666666667</v>
      </c>
      <c r="V56" s="114">
        <f t="shared" si="22"/>
        <v>1.2613121732798157E-2</v>
      </c>
      <c r="W56" s="114">
        <f t="shared" si="23"/>
        <v>37.777777777777779</v>
      </c>
      <c r="X56" s="114"/>
      <c r="Y56" s="149">
        <f t="shared" si="24"/>
        <v>200000000</v>
      </c>
      <c r="Z56" s="149">
        <f t="shared" si="25"/>
        <v>966666.66666666674</v>
      </c>
      <c r="AA56" s="176">
        <f t="shared" si="26"/>
        <v>0</v>
      </c>
      <c r="AB56" s="113">
        <f t="shared" si="27"/>
        <v>966666.66666666674</v>
      </c>
      <c r="AC56" s="113">
        <f t="shared" si="3"/>
        <v>820965.89232047705</v>
      </c>
      <c r="AD56" s="114">
        <f t="shared" si="28"/>
        <v>5.666666666666667</v>
      </c>
      <c r="AE56" s="114">
        <f t="shared" si="29"/>
        <v>4.097919533234253E-3</v>
      </c>
      <c r="AF56" s="114">
        <f t="shared" si="30"/>
        <v>37.777777777777779</v>
      </c>
      <c r="AG56" s="114"/>
      <c r="AH56" s="176">
        <f t="shared" si="31"/>
        <v>100000000</v>
      </c>
      <c r="AI56" s="176">
        <f t="shared" si="32"/>
        <v>483333.33333333337</v>
      </c>
      <c r="AJ56" s="176">
        <f t="shared" si="33"/>
        <v>0</v>
      </c>
      <c r="AK56" s="113">
        <f t="shared" si="34"/>
        <v>483333.33333333337</v>
      </c>
      <c r="AL56" s="113">
        <f t="shared" si="4"/>
        <v>410482.94616023853</v>
      </c>
      <c r="AM56" s="114">
        <f t="shared" si="35"/>
        <v>5.666666666666667</v>
      </c>
      <c r="AN56" s="114">
        <f t="shared" si="36"/>
        <v>4.0950615518380315E-3</v>
      </c>
      <c r="AO56" s="114">
        <f t="shared" si="37"/>
        <v>37.777777777777779</v>
      </c>
    </row>
    <row r="57" spans="1:41" hidden="1" outlineLevel="1" x14ac:dyDescent="0.3">
      <c r="A57" s="146">
        <f t="shared" si="5"/>
        <v>35</v>
      </c>
      <c r="B57" s="147">
        <f t="shared" si="1"/>
        <v>250</v>
      </c>
      <c r="C57" s="147">
        <f t="shared" si="0"/>
        <v>110</v>
      </c>
      <c r="D57" s="149">
        <f t="shared" si="6"/>
        <v>410638564.72824079</v>
      </c>
      <c r="E57" s="149">
        <f t="shared" si="7"/>
        <v>2892340.4868710516</v>
      </c>
      <c r="F57" s="149">
        <f t="shared" si="2"/>
        <v>2065221.6416548181</v>
      </c>
      <c r="G57" s="149">
        <f t="shared" si="8"/>
        <v>1996380.9202663242</v>
      </c>
      <c r="H57" s="149">
        <f t="shared" si="9"/>
        <v>68840.721388493897</v>
      </c>
      <c r="I57" s="149">
        <f t="shared" si="10"/>
        <v>827118.84521623352</v>
      </c>
      <c r="J57" s="147">
        <f t="shared" si="11"/>
        <v>4.4999999999999998E-2</v>
      </c>
      <c r="K57" s="175">
        <f t="shared" si="12"/>
        <v>3.8296430163020645E-3</v>
      </c>
      <c r="L57" s="149">
        <f t="shared" si="13"/>
        <v>1578644.7575066176</v>
      </c>
      <c r="M57" s="149">
        <f t="shared" si="14"/>
        <v>4402144.5229891753</v>
      </c>
      <c r="N57" s="149">
        <f t="shared" si="15"/>
        <v>2405763.6027228511</v>
      </c>
      <c r="P57" s="149">
        <f t="shared" si="16"/>
        <v>110638564.72824091</v>
      </c>
      <c r="Q57" s="149">
        <f t="shared" si="17"/>
        <v>546380.92026632489</v>
      </c>
      <c r="R57" s="176">
        <f t="shared" si="18"/>
        <v>2405763.6027228511</v>
      </c>
      <c r="S57" s="113">
        <f t="shared" si="19"/>
        <v>2952144.5229891762</v>
      </c>
      <c r="T57" s="113">
        <f t="shared" si="20"/>
        <v>2495164.4448624845</v>
      </c>
      <c r="U57" s="114">
        <f t="shared" si="21"/>
        <v>5.833333333333333</v>
      </c>
      <c r="V57" s="114">
        <f t="shared" si="22"/>
        <v>1.2468336257474425E-2</v>
      </c>
      <c r="W57" s="114">
        <f t="shared" si="23"/>
        <v>39.861111111111107</v>
      </c>
      <c r="X57" s="114"/>
      <c r="Y57" s="149">
        <f t="shared" si="24"/>
        <v>200000000</v>
      </c>
      <c r="Z57" s="149">
        <f t="shared" si="25"/>
        <v>966666.66666666674</v>
      </c>
      <c r="AA57" s="176">
        <f t="shared" si="26"/>
        <v>0</v>
      </c>
      <c r="AB57" s="113">
        <f t="shared" si="27"/>
        <v>966666.66666666674</v>
      </c>
      <c r="AC57" s="113">
        <f t="shared" si="3"/>
        <v>817030.56131484837</v>
      </c>
      <c r="AD57" s="114">
        <f t="shared" si="28"/>
        <v>5.833333333333333</v>
      </c>
      <c r="AE57" s="114">
        <f t="shared" si="29"/>
        <v>4.0782760012086699E-3</v>
      </c>
      <c r="AF57" s="114">
        <f t="shared" si="30"/>
        <v>39.861111111111107</v>
      </c>
      <c r="AG57" s="114"/>
      <c r="AH57" s="176">
        <f t="shared" si="31"/>
        <v>100000000</v>
      </c>
      <c r="AI57" s="176">
        <f t="shared" si="32"/>
        <v>483333.33333333337</v>
      </c>
      <c r="AJ57" s="176">
        <f t="shared" si="33"/>
        <v>0</v>
      </c>
      <c r="AK57" s="113">
        <f t="shared" si="34"/>
        <v>483333.33333333337</v>
      </c>
      <c r="AL57" s="113">
        <f t="shared" si="4"/>
        <v>408515.28065742418</v>
      </c>
      <c r="AM57" s="114">
        <f t="shared" si="35"/>
        <v>5.833333333333333</v>
      </c>
      <c r="AN57" s="114">
        <f t="shared" si="36"/>
        <v>4.0754317196541939E-3</v>
      </c>
      <c r="AO57" s="114">
        <f t="shared" si="37"/>
        <v>39.861111111111107</v>
      </c>
    </row>
    <row r="58" spans="1:41" hidden="1" outlineLevel="1" x14ac:dyDescent="0.3">
      <c r="A58" s="146">
        <f t="shared" si="5"/>
        <v>36</v>
      </c>
      <c r="B58" s="147">
        <f t="shared" si="1"/>
        <v>249</v>
      </c>
      <c r="C58" s="147">
        <f t="shared" si="0"/>
        <v>111</v>
      </c>
      <c r="D58" s="149">
        <f t="shared" si="6"/>
        <v>408241065.80136496</v>
      </c>
      <c r="E58" s="149">
        <f t="shared" si="7"/>
        <v>2881263.8553247382</v>
      </c>
      <c r="F58" s="149">
        <f t="shared" si="2"/>
        <v>2053192.823641204</v>
      </c>
      <c r="G58" s="149">
        <f t="shared" si="8"/>
        <v>1984753.0628531638</v>
      </c>
      <c r="H58" s="149">
        <f t="shared" si="9"/>
        <v>68439.760788040236</v>
      </c>
      <c r="I58" s="149">
        <f t="shared" si="10"/>
        <v>828071.03168353415</v>
      </c>
      <c r="J58" s="147">
        <f t="shared" si="11"/>
        <v>4.4999999999999998E-2</v>
      </c>
      <c r="K58" s="175">
        <f t="shared" si="12"/>
        <v>3.8296430163020645E-3</v>
      </c>
      <c r="L58" s="149">
        <f t="shared" si="13"/>
        <v>1569427.8951923219</v>
      </c>
      <c r="M58" s="149">
        <f t="shared" si="14"/>
        <v>4382251.9897290198</v>
      </c>
      <c r="N58" s="149">
        <f t="shared" si="15"/>
        <v>2397498.9268758558</v>
      </c>
      <c r="P58" s="149">
        <f t="shared" si="16"/>
        <v>108241065.80136505</v>
      </c>
      <c r="Q58" s="149">
        <f t="shared" si="17"/>
        <v>534753.06285316439</v>
      </c>
      <c r="R58" s="176">
        <f t="shared" si="18"/>
        <v>2397498.9268758558</v>
      </c>
      <c r="S58" s="113">
        <f t="shared" si="19"/>
        <v>2932251.9897290203</v>
      </c>
      <c r="T58" s="113">
        <f t="shared" si="20"/>
        <v>2466471.1255630008</v>
      </c>
      <c r="U58" s="114">
        <f t="shared" si="21"/>
        <v>6</v>
      </c>
      <c r="V58" s="114">
        <f t="shared" si="22"/>
        <v>1.2324955746379991E-2</v>
      </c>
      <c r="W58" s="114">
        <f t="shared" si="23"/>
        <v>42</v>
      </c>
      <c r="X58" s="114"/>
      <c r="Y58" s="149">
        <f t="shared" si="24"/>
        <v>200000000</v>
      </c>
      <c r="Z58" s="149">
        <f t="shared" si="25"/>
        <v>966666.66666666674</v>
      </c>
      <c r="AA58" s="176">
        <f t="shared" si="26"/>
        <v>0</v>
      </c>
      <c r="AB58" s="113">
        <f t="shared" si="27"/>
        <v>966666.66666666674</v>
      </c>
      <c r="AC58" s="113">
        <f t="shared" si="3"/>
        <v>813114.09446699871</v>
      </c>
      <c r="AD58" s="114">
        <f t="shared" si="28"/>
        <v>6</v>
      </c>
      <c r="AE58" s="114">
        <f t="shared" si="29"/>
        <v>4.0587266311956196E-3</v>
      </c>
      <c r="AF58" s="114">
        <f t="shared" si="30"/>
        <v>42</v>
      </c>
      <c r="AG58" s="114"/>
      <c r="AH58" s="176">
        <f t="shared" si="31"/>
        <v>100000000</v>
      </c>
      <c r="AI58" s="176">
        <f t="shared" si="32"/>
        <v>483333.33333333337</v>
      </c>
      <c r="AJ58" s="176">
        <f t="shared" si="33"/>
        <v>0</v>
      </c>
      <c r="AK58" s="113">
        <f t="shared" si="34"/>
        <v>483333.33333333337</v>
      </c>
      <c r="AL58" s="113">
        <f t="shared" si="4"/>
        <v>406557.04723349935</v>
      </c>
      <c r="AM58" s="114">
        <f t="shared" si="35"/>
        <v>6</v>
      </c>
      <c r="AN58" s="114">
        <f t="shared" si="36"/>
        <v>4.0558959838121779E-3</v>
      </c>
      <c r="AO58" s="114">
        <f t="shared" si="37"/>
        <v>42</v>
      </c>
    </row>
    <row r="59" spans="1:41" hidden="1" outlineLevel="1" x14ac:dyDescent="0.3">
      <c r="A59" s="146">
        <f t="shared" si="5"/>
        <v>37</v>
      </c>
      <c r="B59" s="147">
        <f t="shared" si="1"/>
        <v>248</v>
      </c>
      <c r="C59" s="147">
        <f t="shared" si="0"/>
        <v>112</v>
      </c>
      <c r="D59" s="149">
        <f t="shared" si="6"/>
        <v>405851798.80761045</v>
      </c>
      <c r="E59" s="149">
        <f t="shared" si="7"/>
        <v>2870229.6433230704</v>
      </c>
      <c r="F59" s="149">
        <f t="shared" si="2"/>
        <v>2041205.3290068249</v>
      </c>
      <c r="G59" s="149">
        <f t="shared" si="8"/>
        <v>1973165.1513732641</v>
      </c>
      <c r="H59" s="149">
        <f t="shared" si="9"/>
        <v>68040.177633560728</v>
      </c>
      <c r="I59" s="149">
        <f t="shared" si="10"/>
        <v>829024.31431624549</v>
      </c>
      <c r="J59" s="147">
        <f t="shared" si="11"/>
        <v>4.4999999999999998E-2</v>
      </c>
      <c r="K59" s="175">
        <f t="shared" si="12"/>
        <v>3.8296430163020645E-3</v>
      </c>
      <c r="L59" s="149">
        <f t="shared" si="13"/>
        <v>1560242.6794382429</v>
      </c>
      <c r="M59" s="149">
        <f t="shared" si="14"/>
        <v>4362432.1451277528</v>
      </c>
      <c r="N59" s="149">
        <f t="shared" si="15"/>
        <v>2389266.9937544884</v>
      </c>
      <c r="P59" s="149">
        <f t="shared" si="16"/>
        <v>105851798.80761056</v>
      </c>
      <c r="Q59" s="149">
        <f t="shared" si="17"/>
        <v>523165.15137326444</v>
      </c>
      <c r="R59" s="176">
        <f t="shared" si="18"/>
        <v>2389266.9937544884</v>
      </c>
      <c r="S59" s="113">
        <f t="shared" si="19"/>
        <v>2912432.1451277528</v>
      </c>
      <c r="T59" s="113">
        <f t="shared" si="20"/>
        <v>2438056.4065436795</v>
      </c>
      <c r="U59" s="114">
        <f t="shared" si="21"/>
        <v>6.166666666666667</v>
      </c>
      <c r="V59" s="114">
        <f t="shared" si="22"/>
        <v>1.218296740083266E-2</v>
      </c>
      <c r="W59" s="114">
        <f t="shared" si="23"/>
        <v>44.19444444444445</v>
      </c>
      <c r="X59" s="114"/>
      <c r="Y59" s="149">
        <f t="shared" si="24"/>
        <v>200000000</v>
      </c>
      <c r="Z59" s="149">
        <f t="shared" si="25"/>
        <v>966666.66666666674</v>
      </c>
      <c r="AA59" s="176">
        <f t="shared" si="26"/>
        <v>0</v>
      </c>
      <c r="AB59" s="113">
        <f t="shared" si="27"/>
        <v>966666.66666666674</v>
      </c>
      <c r="AC59" s="113">
        <f t="shared" si="3"/>
        <v>809216.40135087527</v>
      </c>
      <c r="AD59" s="114">
        <f t="shared" si="28"/>
        <v>6.166666666666667</v>
      </c>
      <c r="AE59" s="114">
        <f t="shared" si="29"/>
        <v>4.0392709718259368E-3</v>
      </c>
      <c r="AF59" s="114">
        <f t="shared" si="30"/>
        <v>44.19444444444445</v>
      </c>
      <c r="AG59" s="114"/>
      <c r="AH59" s="176">
        <f t="shared" si="31"/>
        <v>100000000</v>
      </c>
      <c r="AI59" s="176">
        <f t="shared" si="32"/>
        <v>483333.33333333337</v>
      </c>
      <c r="AJ59" s="176">
        <f t="shared" si="33"/>
        <v>0</v>
      </c>
      <c r="AK59" s="113">
        <f t="shared" si="34"/>
        <v>483333.33333333337</v>
      </c>
      <c r="AL59" s="113">
        <f t="shared" si="4"/>
        <v>404608.20067543763</v>
      </c>
      <c r="AM59" s="114">
        <f t="shared" si="35"/>
        <v>6.166666666666667</v>
      </c>
      <c r="AN59" s="114">
        <f t="shared" si="36"/>
        <v>4.0364538932576169E-3</v>
      </c>
      <c r="AO59" s="114">
        <f t="shared" si="37"/>
        <v>44.19444444444445</v>
      </c>
    </row>
    <row r="60" spans="1:41" hidden="1" outlineLevel="1" x14ac:dyDescent="0.3">
      <c r="A60" s="146">
        <f t="shared" si="5"/>
        <v>38</v>
      </c>
      <c r="B60" s="147">
        <f t="shared" si="1"/>
        <v>247</v>
      </c>
      <c r="C60" s="147">
        <f t="shared" si="0"/>
        <v>113</v>
      </c>
      <c r="D60" s="149">
        <f t="shared" si="6"/>
        <v>403470731.12838757</v>
      </c>
      <c r="E60" s="149">
        <f t="shared" si="7"/>
        <v>2859237.6884143348</v>
      </c>
      <c r="F60" s="149">
        <f t="shared" si="2"/>
        <v>2029258.9940380524</v>
      </c>
      <c r="G60" s="149">
        <f t="shared" si="8"/>
        <v>1961617.0275701173</v>
      </c>
      <c r="H60" s="149">
        <f t="shared" si="9"/>
        <v>67641.966467935126</v>
      </c>
      <c r="I60" s="149">
        <f t="shared" si="10"/>
        <v>829978.69437628239</v>
      </c>
      <c r="J60" s="147">
        <f t="shared" si="11"/>
        <v>4.4999999999999998E-2</v>
      </c>
      <c r="K60" s="175">
        <f t="shared" si="12"/>
        <v>3.8296430163020645E-3</v>
      </c>
      <c r="L60" s="149">
        <f t="shared" si="13"/>
        <v>1551088.9848465982</v>
      </c>
      <c r="M60" s="149">
        <f t="shared" si="14"/>
        <v>4342684.7067929981</v>
      </c>
      <c r="N60" s="149">
        <f t="shared" si="15"/>
        <v>2381067.6792228809</v>
      </c>
      <c r="P60" s="149">
        <f t="shared" si="16"/>
        <v>103470731.12838767</v>
      </c>
      <c r="Q60" s="149">
        <f t="shared" si="17"/>
        <v>511617.02757011773</v>
      </c>
      <c r="R60" s="176">
        <f t="shared" si="18"/>
        <v>2381067.6792228809</v>
      </c>
      <c r="S60" s="113">
        <f t="shared" si="19"/>
        <v>2892684.7067929986</v>
      </c>
      <c r="T60" s="113">
        <f t="shared" si="20"/>
        <v>2409917.7492118129</v>
      </c>
      <c r="U60" s="114">
        <f t="shared" si="21"/>
        <v>6.333333333333333</v>
      </c>
      <c r="V60" s="114">
        <f t="shared" si="22"/>
        <v>1.2042358535485151E-2</v>
      </c>
      <c r="W60" s="114">
        <f t="shared" si="23"/>
        <v>46.444444444444443</v>
      </c>
      <c r="X60" s="114"/>
      <c r="Y60" s="149">
        <f t="shared" si="24"/>
        <v>200000000</v>
      </c>
      <c r="Z60" s="149">
        <f t="shared" si="25"/>
        <v>966666.66666666674</v>
      </c>
      <c r="AA60" s="176">
        <f t="shared" si="26"/>
        <v>0</v>
      </c>
      <c r="AB60" s="113">
        <f t="shared" si="27"/>
        <v>966666.66666666674</v>
      </c>
      <c r="AC60" s="113">
        <f t="shared" si="3"/>
        <v>805337.39197388617</v>
      </c>
      <c r="AD60" s="114">
        <f t="shared" si="28"/>
        <v>6.333333333333333</v>
      </c>
      <c r="AE60" s="114">
        <f t="shared" si="29"/>
        <v>4.0199085738941145E-3</v>
      </c>
      <c r="AF60" s="114">
        <f t="shared" si="30"/>
        <v>46.444444444444443</v>
      </c>
      <c r="AG60" s="114"/>
      <c r="AH60" s="176">
        <f t="shared" si="31"/>
        <v>100000000</v>
      </c>
      <c r="AI60" s="176">
        <f t="shared" si="32"/>
        <v>483333.33333333337</v>
      </c>
      <c r="AJ60" s="176">
        <f t="shared" si="33"/>
        <v>0</v>
      </c>
      <c r="AK60" s="113">
        <f t="shared" si="34"/>
        <v>483333.33333333337</v>
      </c>
      <c r="AL60" s="113">
        <f t="shared" si="4"/>
        <v>402668.69598694309</v>
      </c>
      <c r="AM60" s="114">
        <f t="shared" si="35"/>
        <v>6.333333333333333</v>
      </c>
      <c r="AN60" s="114">
        <f t="shared" si="36"/>
        <v>4.017104999098289E-3</v>
      </c>
      <c r="AO60" s="114">
        <f t="shared" si="37"/>
        <v>46.444444444444443</v>
      </c>
    </row>
    <row r="61" spans="1:41" hidden="1" outlineLevel="1" x14ac:dyDescent="0.3">
      <c r="A61" s="146">
        <f t="shared" si="5"/>
        <v>39</v>
      </c>
      <c r="B61" s="147">
        <f t="shared" si="1"/>
        <v>246</v>
      </c>
      <c r="C61" s="147">
        <f t="shared" si="0"/>
        <v>114</v>
      </c>
      <c r="D61" s="149">
        <f t="shared" si="6"/>
        <v>401097830.26876557</v>
      </c>
      <c r="E61" s="149">
        <f t="shared" si="7"/>
        <v>2848287.8287689514</v>
      </c>
      <c r="F61" s="149">
        <f t="shared" si="2"/>
        <v>2017353.6556419379</v>
      </c>
      <c r="G61" s="149">
        <f t="shared" si="8"/>
        <v>1950108.5337872067</v>
      </c>
      <c r="H61" s="149">
        <f t="shared" si="9"/>
        <v>67245.121854731115</v>
      </c>
      <c r="I61" s="149">
        <f t="shared" si="10"/>
        <v>830934.17312701349</v>
      </c>
      <c r="J61" s="147">
        <f t="shared" si="11"/>
        <v>4.4999999999999998E-2</v>
      </c>
      <c r="K61" s="175">
        <f t="shared" si="12"/>
        <v>3.8296430163020645E-3</v>
      </c>
      <c r="L61" s="149">
        <f t="shared" si="13"/>
        <v>1541966.6864949949</v>
      </c>
      <c r="M61" s="149">
        <f t="shared" si="14"/>
        <v>4323009.3934092149</v>
      </c>
      <c r="N61" s="149">
        <f t="shared" si="15"/>
        <v>2372900.8596220082</v>
      </c>
      <c r="P61" s="149">
        <f t="shared" si="16"/>
        <v>101097830.26876567</v>
      </c>
      <c r="Q61" s="149">
        <f t="shared" si="17"/>
        <v>500108.5337872071</v>
      </c>
      <c r="R61" s="176">
        <f t="shared" si="18"/>
        <v>2372900.8596220082</v>
      </c>
      <c r="S61" s="113">
        <f t="shared" si="19"/>
        <v>2873009.3934092154</v>
      </c>
      <c r="T61" s="113">
        <f t="shared" si="20"/>
        <v>2382052.6374571905</v>
      </c>
      <c r="U61" s="114">
        <f t="shared" si="21"/>
        <v>6.5</v>
      </c>
      <c r="V61" s="114">
        <f t="shared" si="22"/>
        <v>1.1903116577335221E-2</v>
      </c>
      <c r="W61" s="114">
        <f t="shared" si="23"/>
        <v>48.75</v>
      </c>
      <c r="X61" s="114"/>
      <c r="Y61" s="149">
        <f t="shared" si="24"/>
        <v>200000000</v>
      </c>
      <c r="Z61" s="149">
        <f t="shared" si="25"/>
        <v>966666.66666666674</v>
      </c>
      <c r="AA61" s="176">
        <f t="shared" si="26"/>
        <v>0</v>
      </c>
      <c r="AB61" s="113">
        <f t="shared" si="27"/>
        <v>966666.66666666674</v>
      </c>
      <c r="AC61" s="113">
        <f t="shared" si="3"/>
        <v>801476.97677482245</v>
      </c>
      <c r="AD61" s="114">
        <f t="shared" si="28"/>
        <v>6.5</v>
      </c>
      <c r="AE61" s="114">
        <f t="shared" si="29"/>
        <v>4.0006389903479295E-3</v>
      </c>
      <c r="AF61" s="114">
        <f t="shared" si="30"/>
        <v>48.75</v>
      </c>
      <c r="AG61" s="114"/>
      <c r="AH61" s="176">
        <f t="shared" si="31"/>
        <v>100000000</v>
      </c>
      <c r="AI61" s="176">
        <f t="shared" si="32"/>
        <v>483333.33333333337</v>
      </c>
      <c r="AJ61" s="176">
        <f t="shared" si="33"/>
        <v>0</v>
      </c>
      <c r="AK61" s="113">
        <f t="shared" si="34"/>
        <v>483333.33333333337</v>
      </c>
      <c r="AL61" s="113">
        <f t="shared" si="4"/>
        <v>400738.48838741123</v>
      </c>
      <c r="AM61" s="114">
        <f t="shared" si="35"/>
        <v>6.5</v>
      </c>
      <c r="AN61" s="114">
        <f t="shared" si="36"/>
        <v>3.9978488545937543E-3</v>
      </c>
      <c r="AO61" s="114">
        <f t="shared" si="37"/>
        <v>48.75</v>
      </c>
    </row>
    <row r="62" spans="1:41" hidden="1" outlineLevel="1" x14ac:dyDescent="0.3">
      <c r="A62" s="146">
        <f t="shared" si="5"/>
        <v>40</v>
      </c>
      <c r="B62" s="147">
        <f t="shared" si="1"/>
        <v>245</v>
      </c>
      <c r="C62" s="147">
        <f t="shared" si="0"/>
        <v>115</v>
      </c>
      <c r="D62" s="149">
        <f t="shared" si="6"/>
        <v>398733063.85699773</v>
      </c>
      <c r="E62" s="149">
        <f t="shared" si="7"/>
        <v>2837379.9031770881</v>
      </c>
      <c r="F62" s="149">
        <f t="shared" si="2"/>
        <v>2005489.1513438278</v>
      </c>
      <c r="G62" s="149">
        <f t="shared" si="8"/>
        <v>1938639.5129657004</v>
      </c>
      <c r="H62" s="149">
        <f t="shared" si="9"/>
        <v>66849.638378127478</v>
      </c>
      <c r="I62" s="149">
        <f t="shared" si="10"/>
        <v>831890.75183326029</v>
      </c>
      <c r="J62" s="147">
        <f t="shared" si="11"/>
        <v>4.4999999999999998E-2</v>
      </c>
      <c r="K62" s="175">
        <f t="shared" si="12"/>
        <v>3.8296430163020645E-3</v>
      </c>
      <c r="L62" s="149">
        <f t="shared" si="13"/>
        <v>1532875.6599346043</v>
      </c>
      <c r="M62" s="149">
        <f t="shared" si="14"/>
        <v>4303405.9247335652</v>
      </c>
      <c r="N62" s="149">
        <f t="shared" si="15"/>
        <v>2364766.4117678646</v>
      </c>
      <c r="P62" s="149">
        <f t="shared" si="16"/>
        <v>98733063.856997803</v>
      </c>
      <c r="Q62" s="149">
        <f t="shared" si="17"/>
        <v>488639.51296570076</v>
      </c>
      <c r="R62" s="176">
        <f t="shared" si="18"/>
        <v>2364766.4117678646</v>
      </c>
      <c r="S62" s="113">
        <f t="shared" si="19"/>
        <v>2853405.9247335652</v>
      </c>
      <c r="T62" s="113">
        <f t="shared" si="20"/>
        <v>2354458.5774557246</v>
      </c>
      <c r="U62" s="114">
        <f t="shared" si="21"/>
        <v>6.666666666666667</v>
      </c>
      <c r="V62" s="114">
        <f t="shared" si="22"/>
        <v>1.1765229064744377E-2</v>
      </c>
      <c r="W62" s="114">
        <f t="shared" si="23"/>
        <v>51.111111111111114</v>
      </c>
      <c r="X62" s="114"/>
      <c r="Y62" s="149">
        <f t="shared" si="24"/>
        <v>200000000</v>
      </c>
      <c r="Z62" s="149">
        <f t="shared" si="25"/>
        <v>966666.66666666674</v>
      </c>
      <c r="AA62" s="176">
        <f t="shared" si="26"/>
        <v>0</v>
      </c>
      <c r="AB62" s="113">
        <f t="shared" si="27"/>
        <v>966666.66666666674</v>
      </c>
      <c r="AC62" s="113">
        <f t="shared" si="3"/>
        <v>797635.06662178983</v>
      </c>
      <c r="AD62" s="114">
        <f t="shared" si="28"/>
        <v>6.666666666666667</v>
      </c>
      <c r="AE62" s="114">
        <f t="shared" si="29"/>
        <v>3.9814617762781186E-3</v>
      </c>
      <c r="AF62" s="114">
        <f t="shared" si="30"/>
        <v>51.111111111111114</v>
      </c>
      <c r="AG62" s="114"/>
      <c r="AH62" s="176">
        <f t="shared" si="31"/>
        <v>100000000</v>
      </c>
      <c r="AI62" s="176">
        <f t="shared" si="32"/>
        <v>483333.33333333337</v>
      </c>
      <c r="AJ62" s="176">
        <f t="shared" si="33"/>
        <v>0</v>
      </c>
      <c r="AK62" s="113">
        <f t="shared" si="34"/>
        <v>483333.33333333337</v>
      </c>
      <c r="AL62" s="113">
        <f t="shared" si="4"/>
        <v>398817.53331089491</v>
      </c>
      <c r="AM62" s="114">
        <f t="shared" si="35"/>
        <v>6.666666666666667</v>
      </c>
      <c r="AN62" s="114">
        <f t="shared" si="36"/>
        <v>3.9786850151450398E-3</v>
      </c>
      <c r="AO62" s="114">
        <f t="shared" si="37"/>
        <v>51.111111111111114</v>
      </c>
    </row>
    <row r="63" spans="1:41" hidden="1" outlineLevel="1" x14ac:dyDescent="0.3">
      <c r="A63" s="146">
        <f t="shared" si="5"/>
        <v>41</v>
      </c>
      <c r="B63" s="147">
        <f t="shared" si="1"/>
        <v>244</v>
      </c>
      <c r="C63" s="147">
        <f t="shared" si="0"/>
        <v>116</v>
      </c>
      <c r="D63" s="149">
        <f t="shared" si="6"/>
        <v>396376399.64404804</v>
      </c>
      <c r="E63" s="149">
        <f t="shared" si="7"/>
        <v>2826513.7510462902</v>
      </c>
      <c r="F63" s="149">
        <f t="shared" si="2"/>
        <v>1993665.3192849886</v>
      </c>
      <c r="G63" s="149">
        <f t="shared" si="8"/>
        <v>1927209.8086421557</v>
      </c>
      <c r="H63" s="149">
        <f t="shared" si="9"/>
        <v>66455.510642832844</v>
      </c>
      <c r="I63" s="149">
        <f t="shared" si="10"/>
        <v>832848.43176130159</v>
      </c>
      <c r="J63" s="147">
        <f t="shared" si="11"/>
        <v>4.4999999999999998E-2</v>
      </c>
      <c r="K63" s="175">
        <f t="shared" si="12"/>
        <v>3.8296430163020645E-3</v>
      </c>
      <c r="L63" s="149">
        <f t="shared" si="13"/>
        <v>1523815.7811883437</v>
      </c>
      <c r="M63" s="149">
        <f t="shared" si="14"/>
        <v>4283874.0215918012</v>
      </c>
      <c r="N63" s="149">
        <f t="shared" si="15"/>
        <v>2356664.2129496452</v>
      </c>
      <c r="P63" s="149">
        <f t="shared" si="16"/>
        <v>96376399.644048154</v>
      </c>
      <c r="Q63" s="149">
        <f t="shared" si="17"/>
        <v>477209.80864215607</v>
      </c>
      <c r="R63" s="176">
        <f t="shared" si="18"/>
        <v>2356664.2129496452</v>
      </c>
      <c r="S63" s="113">
        <f t="shared" si="19"/>
        <v>2833874.0215918012</v>
      </c>
      <c r="T63" s="113">
        <f t="shared" si="20"/>
        <v>2327133.0974747762</v>
      </c>
      <c r="U63" s="114">
        <f t="shared" si="21"/>
        <v>6.833333333333333</v>
      </c>
      <c r="V63" s="114">
        <f t="shared" si="22"/>
        <v>1.1628683646465091E-2</v>
      </c>
      <c r="W63" s="114">
        <f t="shared" si="23"/>
        <v>53.527777777777771</v>
      </c>
      <c r="X63" s="114"/>
      <c r="Y63" s="149">
        <f t="shared" si="24"/>
        <v>200000000</v>
      </c>
      <c r="Z63" s="149">
        <f t="shared" si="25"/>
        <v>966666.66666666674</v>
      </c>
      <c r="AA63" s="176">
        <f t="shared" si="26"/>
        <v>0</v>
      </c>
      <c r="AB63" s="113">
        <f t="shared" si="27"/>
        <v>966666.66666666674</v>
      </c>
      <c r="AC63" s="113">
        <f t="shared" si="3"/>
        <v>793811.57281015161</v>
      </c>
      <c r="AD63" s="114">
        <f t="shared" si="28"/>
        <v>6.833333333333333</v>
      </c>
      <c r="AE63" s="114">
        <f t="shared" si="29"/>
        <v>3.9623764889081085E-3</v>
      </c>
      <c r="AF63" s="114">
        <f t="shared" si="30"/>
        <v>53.527777777777771</v>
      </c>
      <c r="AG63" s="114"/>
      <c r="AH63" s="176">
        <f t="shared" si="31"/>
        <v>100000000</v>
      </c>
      <c r="AI63" s="176">
        <f t="shared" si="32"/>
        <v>483333.33333333337</v>
      </c>
      <c r="AJ63" s="176">
        <f t="shared" si="33"/>
        <v>0</v>
      </c>
      <c r="AK63" s="113">
        <f t="shared" si="34"/>
        <v>483333.33333333337</v>
      </c>
      <c r="AL63" s="113">
        <f t="shared" si="4"/>
        <v>396905.78640507581</v>
      </c>
      <c r="AM63" s="114">
        <f t="shared" si="35"/>
        <v>6.833333333333333</v>
      </c>
      <c r="AN63" s="114">
        <f t="shared" si="36"/>
        <v>3.9596130382843764E-3</v>
      </c>
      <c r="AO63" s="114">
        <f t="shared" si="37"/>
        <v>53.527777777777771</v>
      </c>
    </row>
    <row r="64" spans="1:41" hidden="1" outlineLevel="1" x14ac:dyDescent="0.3">
      <c r="A64" s="146">
        <f t="shared" si="5"/>
        <v>42</v>
      </c>
      <c r="B64" s="147">
        <f t="shared" si="1"/>
        <v>243</v>
      </c>
      <c r="C64" s="147">
        <f t="shared" si="0"/>
        <v>117</v>
      </c>
      <c r="D64" s="149">
        <f t="shared" si="6"/>
        <v>394027805.50312012</v>
      </c>
      <c r="E64" s="149">
        <f t="shared" si="7"/>
        <v>2815689.2123991139</v>
      </c>
      <c r="F64" s="149">
        <f t="shared" si="2"/>
        <v>1981881.9982202402</v>
      </c>
      <c r="G64" s="149">
        <f t="shared" si="8"/>
        <v>1915819.2649462323</v>
      </c>
      <c r="H64" s="149">
        <f t="shared" si="9"/>
        <v>66062.733274007915</v>
      </c>
      <c r="I64" s="149">
        <f t="shared" si="10"/>
        <v>833807.21417887369</v>
      </c>
      <c r="J64" s="147">
        <f t="shared" si="11"/>
        <v>4.4999999999999998E-2</v>
      </c>
      <c r="K64" s="175">
        <f t="shared" si="12"/>
        <v>3.8296430163020645E-3</v>
      </c>
      <c r="L64" s="149">
        <f t="shared" si="13"/>
        <v>1514786.9267490623</v>
      </c>
      <c r="M64" s="149">
        <f t="shared" si="14"/>
        <v>4264413.4058741685</v>
      </c>
      <c r="N64" s="149">
        <f t="shared" si="15"/>
        <v>2348594.140927936</v>
      </c>
      <c r="P64" s="149">
        <f t="shared" si="16"/>
        <v>94027805.503120214</v>
      </c>
      <c r="Q64" s="149">
        <f t="shared" si="17"/>
        <v>465819.26494623278</v>
      </c>
      <c r="R64" s="176">
        <f t="shared" si="18"/>
        <v>2348594.140927936</v>
      </c>
      <c r="S64" s="113">
        <f t="shared" si="19"/>
        <v>2814413.4058741685</v>
      </c>
      <c r="T64" s="113">
        <f t="shared" si="20"/>
        <v>2300073.7476801723</v>
      </c>
      <c r="U64" s="114">
        <f t="shared" si="21"/>
        <v>7</v>
      </c>
      <c r="V64" s="114">
        <f t="shared" si="22"/>
        <v>1.1493468080676465E-2</v>
      </c>
      <c r="W64" s="114">
        <f t="shared" si="23"/>
        <v>56</v>
      </c>
      <c r="X64" s="114"/>
      <c r="Y64" s="149">
        <f t="shared" si="24"/>
        <v>200000000</v>
      </c>
      <c r="Z64" s="149">
        <f t="shared" si="25"/>
        <v>966666.66666666674</v>
      </c>
      <c r="AA64" s="176">
        <f t="shared" si="26"/>
        <v>0</v>
      </c>
      <c r="AB64" s="113">
        <f t="shared" si="27"/>
        <v>966666.66666666674</v>
      </c>
      <c r="AC64" s="113">
        <f t="shared" si="3"/>
        <v>790006.40706047998</v>
      </c>
      <c r="AD64" s="114">
        <f t="shared" si="28"/>
        <v>7</v>
      </c>
      <c r="AE64" s="114">
        <f t="shared" si="29"/>
        <v>3.9433826875837951E-3</v>
      </c>
      <c r="AF64" s="114">
        <f t="shared" si="30"/>
        <v>56</v>
      </c>
      <c r="AG64" s="114"/>
      <c r="AH64" s="176">
        <f t="shared" si="31"/>
        <v>100000000</v>
      </c>
      <c r="AI64" s="176">
        <f t="shared" si="32"/>
        <v>483333.33333333337</v>
      </c>
      <c r="AJ64" s="176">
        <f t="shared" si="33"/>
        <v>0</v>
      </c>
      <c r="AK64" s="113">
        <f t="shared" si="34"/>
        <v>483333.33333333337</v>
      </c>
      <c r="AL64" s="113">
        <f t="shared" si="4"/>
        <v>395003.20353023999</v>
      </c>
      <c r="AM64" s="114">
        <f t="shared" si="35"/>
        <v>7</v>
      </c>
      <c r="AN64" s="114">
        <f t="shared" si="36"/>
        <v>3.9406324836649791E-3</v>
      </c>
      <c r="AO64" s="114">
        <f t="shared" si="37"/>
        <v>56</v>
      </c>
    </row>
    <row r="65" spans="1:41" hidden="1" outlineLevel="1" x14ac:dyDescent="0.3">
      <c r="A65" s="146">
        <f t="shared" si="5"/>
        <v>43</v>
      </c>
      <c r="B65" s="147">
        <f t="shared" si="1"/>
        <v>242</v>
      </c>
      <c r="C65" s="147">
        <f t="shared" si="0"/>
        <v>118</v>
      </c>
      <c r="D65" s="149">
        <f t="shared" si="6"/>
        <v>391687249.42918724</v>
      </c>
      <c r="E65" s="149">
        <f t="shared" si="7"/>
        <v>2804906.1278707725</v>
      </c>
      <c r="F65" s="149">
        <f t="shared" si="2"/>
        <v>1970139.0275156007</v>
      </c>
      <c r="G65" s="149">
        <f t="shared" si="8"/>
        <v>1904467.7265984141</v>
      </c>
      <c r="H65" s="149">
        <f t="shared" si="9"/>
        <v>65671.300917186541</v>
      </c>
      <c r="I65" s="149">
        <f t="shared" si="10"/>
        <v>834767.10035517183</v>
      </c>
      <c r="J65" s="147">
        <f t="shared" si="11"/>
        <v>4.4999999999999998E-2</v>
      </c>
      <c r="K65" s="175">
        <f t="shared" si="12"/>
        <v>3.8296430163020645E-3</v>
      </c>
      <c r="L65" s="149">
        <f t="shared" si="13"/>
        <v>1505788.9735777383</v>
      </c>
      <c r="M65" s="149">
        <f t="shared" si="14"/>
        <v>4245023.800531324</v>
      </c>
      <c r="N65" s="149">
        <f t="shared" si="15"/>
        <v>2340556.0739329103</v>
      </c>
      <c r="P65" s="149">
        <f t="shared" si="16"/>
        <v>91687249.429187298</v>
      </c>
      <c r="Q65" s="149">
        <f t="shared" si="17"/>
        <v>454467.72659841442</v>
      </c>
      <c r="R65" s="176">
        <f t="shared" si="18"/>
        <v>2340556.0739329103</v>
      </c>
      <c r="S65" s="113">
        <f t="shared" si="19"/>
        <v>2795023.8005313249</v>
      </c>
      <c r="T65" s="113">
        <f t="shared" si="20"/>
        <v>2273278.0999448933</v>
      </c>
      <c r="U65" s="114">
        <f t="shared" si="21"/>
        <v>7.166666666666667</v>
      </c>
      <c r="V65" s="114">
        <f t="shared" si="22"/>
        <v>1.1359570234028244E-2</v>
      </c>
      <c r="W65" s="114">
        <f t="shared" si="23"/>
        <v>58.527777777777786</v>
      </c>
      <c r="X65" s="114"/>
      <c r="Y65" s="149">
        <f t="shared" si="24"/>
        <v>200000000</v>
      </c>
      <c r="Z65" s="149">
        <f t="shared" si="25"/>
        <v>966666.66666666674</v>
      </c>
      <c r="AA65" s="176">
        <f t="shared" si="26"/>
        <v>0</v>
      </c>
      <c r="AB65" s="113">
        <f t="shared" si="27"/>
        <v>966666.66666666674</v>
      </c>
      <c r="AC65" s="113">
        <f t="shared" si="3"/>
        <v>786219.48151651723</v>
      </c>
      <c r="AD65" s="114">
        <f t="shared" si="28"/>
        <v>7.166666666666667</v>
      </c>
      <c r="AE65" s="114">
        <f t="shared" si="29"/>
        <v>3.924479933763359E-3</v>
      </c>
      <c r="AF65" s="114">
        <f t="shared" si="30"/>
        <v>58.527777777777786</v>
      </c>
      <c r="AG65" s="114"/>
      <c r="AH65" s="176">
        <f t="shared" si="31"/>
        <v>100000000</v>
      </c>
      <c r="AI65" s="176">
        <f t="shared" si="32"/>
        <v>483333.33333333337</v>
      </c>
      <c r="AJ65" s="176">
        <f t="shared" si="33"/>
        <v>0</v>
      </c>
      <c r="AK65" s="113">
        <f t="shared" si="34"/>
        <v>483333.33333333337</v>
      </c>
      <c r="AL65" s="113">
        <f t="shared" si="4"/>
        <v>393109.74075825862</v>
      </c>
      <c r="AM65" s="114">
        <f t="shared" si="35"/>
        <v>7.166666666666667</v>
      </c>
      <c r="AN65" s="114">
        <f t="shared" si="36"/>
        <v>3.9217429130508786E-3</v>
      </c>
      <c r="AO65" s="114">
        <f t="shared" si="37"/>
        <v>58.527777777777786</v>
      </c>
    </row>
    <row r="66" spans="1:41" hidden="1" outlineLevel="1" x14ac:dyDescent="0.3">
      <c r="A66" s="146">
        <f t="shared" si="5"/>
        <v>44</v>
      </c>
      <c r="B66" s="147">
        <f t="shared" si="1"/>
        <v>241</v>
      </c>
      <c r="C66" s="147">
        <f t="shared" si="0"/>
        <v>119</v>
      </c>
      <c r="D66" s="149">
        <f t="shared" si="6"/>
        <v>389354699.53852475</v>
      </c>
      <c r="E66" s="149">
        <f t="shared" si="7"/>
        <v>2794164.3387067895</v>
      </c>
      <c r="F66" s="149">
        <f t="shared" si="2"/>
        <v>1958436.2471459361</v>
      </c>
      <c r="G66" s="149">
        <f t="shared" si="8"/>
        <v>1893155.0389077384</v>
      </c>
      <c r="H66" s="149">
        <f t="shared" si="9"/>
        <v>65281.208238197723</v>
      </c>
      <c r="I66" s="149">
        <f t="shared" si="10"/>
        <v>835728.09156085341</v>
      </c>
      <c r="J66" s="147">
        <f t="shared" si="11"/>
        <v>4.4999999999999998E-2</v>
      </c>
      <c r="K66" s="175">
        <f t="shared" si="12"/>
        <v>3.8296430163020645E-3</v>
      </c>
      <c r="L66" s="149">
        <f t="shared" si="13"/>
        <v>1496821.7991016782</v>
      </c>
      <c r="M66" s="149">
        <f t="shared" si="14"/>
        <v>4225704.9295702707</v>
      </c>
      <c r="N66" s="149">
        <f t="shared" si="15"/>
        <v>2332549.8906625314</v>
      </c>
      <c r="P66" s="149">
        <f t="shared" si="16"/>
        <v>89354699.538524762</v>
      </c>
      <c r="Q66" s="149">
        <f t="shared" si="17"/>
        <v>443155.03890773864</v>
      </c>
      <c r="R66" s="176">
        <f t="shared" si="18"/>
        <v>2332549.8906625314</v>
      </c>
      <c r="S66" s="113">
        <f t="shared" si="19"/>
        <v>2775704.9295702698</v>
      </c>
      <c r="T66" s="113">
        <f t="shared" si="20"/>
        <v>2246743.7476594253</v>
      </c>
      <c r="U66" s="114">
        <f t="shared" si="21"/>
        <v>7.333333333333333</v>
      </c>
      <c r="V66" s="114">
        <f t="shared" si="22"/>
        <v>1.1226978080693142E-2</v>
      </c>
      <c r="W66" s="114">
        <f t="shared" si="23"/>
        <v>61.1111111111111</v>
      </c>
      <c r="X66" s="114"/>
      <c r="Y66" s="149">
        <f t="shared" si="24"/>
        <v>200000000</v>
      </c>
      <c r="Z66" s="149">
        <f t="shared" si="25"/>
        <v>966666.66666666674</v>
      </c>
      <c r="AA66" s="176">
        <f t="shared" si="26"/>
        <v>0</v>
      </c>
      <c r="AB66" s="113">
        <f t="shared" si="27"/>
        <v>966666.66666666674</v>
      </c>
      <c r="AC66" s="113">
        <f t="shared" si="3"/>
        <v>782450.70874314953</v>
      </c>
      <c r="AD66" s="114">
        <f t="shared" si="28"/>
        <v>7.333333333333333</v>
      </c>
      <c r="AE66" s="114">
        <f t="shared" si="29"/>
        <v>3.9056677910071576E-3</v>
      </c>
      <c r="AF66" s="114">
        <f t="shared" si="30"/>
        <v>61.1111111111111</v>
      </c>
      <c r="AG66" s="114"/>
      <c r="AH66" s="176">
        <f t="shared" si="31"/>
        <v>100000000</v>
      </c>
      <c r="AI66" s="176">
        <f t="shared" si="32"/>
        <v>483333.33333333337</v>
      </c>
      <c r="AJ66" s="176">
        <f t="shared" si="33"/>
        <v>0</v>
      </c>
      <c r="AK66" s="113">
        <f t="shared" si="34"/>
        <v>483333.33333333337</v>
      </c>
      <c r="AL66" s="113">
        <f t="shared" si="4"/>
        <v>391225.35437157477</v>
      </c>
      <c r="AM66" s="114">
        <f t="shared" si="35"/>
        <v>7.333333333333333</v>
      </c>
      <c r="AN66" s="114">
        <f t="shared" si="36"/>
        <v>3.9029438903068168E-3</v>
      </c>
      <c r="AO66" s="114">
        <f t="shared" si="37"/>
        <v>61.1111111111111</v>
      </c>
    </row>
    <row r="67" spans="1:41" hidden="1" outlineLevel="1" x14ac:dyDescent="0.3">
      <c r="A67" s="146">
        <f t="shared" si="5"/>
        <v>45</v>
      </c>
      <c r="B67" s="147">
        <f t="shared" si="1"/>
        <v>240</v>
      </c>
      <c r="C67" s="147">
        <f t="shared" si="0"/>
        <v>120</v>
      </c>
      <c r="D67" s="149">
        <f t="shared" si="6"/>
        <v>387030124.06824398</v>
      </c>
      <c r="E67" s="149">
        <f t="shared" si="7"/>
        <v>2783463.6867606607</v>
      </c>
      <c r="F67" s="149">
        <f t="shared" si="2"/>
        <v>1946773.4976926239</v>
      </c>
      <c r="G67" s="149">
        <f t="shared" si="8"/>
        <v>1881881.0477695363</v>
      </c>
      <c r="H67" s="149">
        <f t="shared" si="9"/>
        <v>64892.44992308761</v>
      </c>
      <c r="I67" s="149">
        <f t="shared" si="10"/>
        <v>836690.18906803685</v>
      </c>
      <c r="J67" s="147">
        <f t="shared" si="11"/>
        <v>4.4999999999999998E-2</v>
      </c>
      <c r="K67" s="175">
        <f t="shared" si="12"/>
        <v>3.8296430163020645E-3</v>
      </c>
      <c r="L67" s="149">
        <f t="shared" si="13"/>
        <v>1487885.2812127271</v>
      </c>
      <c r="M67" s="149">
        <f t="shared" si="14"/>
        <v>4206456.5180503</v>
      </c>
      <c r="N67" s="149">
        <f t="shared" si="15"/>
        <v>2324575.4702807637</v>
      </c>
      <c r="P67" s="149">
        <f t="shared" si="16"/>
        <v>87030124.068243995</v>
      </c>
      <c r="Q67" s="149">
        <f t="shared" si="17"/>
        <v>431881.04776953638</v>
      </c>
      <c r="R67" s="176">
        <f t="shared" si="18"/>
        <v>2324575.4702807637</v>
      </c>
      <c r="S67" s="113">
        <f t="shared" si="19"/>
        <v>2756456.5180503</v>
      </c>
      <c r="T67" s="113">
        <f t="shared" si="20"/>
        <v>2220468.305543751</v>
      </c>
      <c r="U67" s="114">
        <f t="shared" si="21"/>
        <v>7.5</v>
      </c>
      <c r="V67" s="114">
        <f t="shared" si="22"/>
        <v>1.1095679701427366E-2</v>
      </c>
      <c r="W67" s="114">
        <f t="shared" si="23"/>
        <v>63.75</v>
      </c>
      <c r="X67" s="114"/>
      <c r="Y67" s="149">
        <f t="shared" si="24"/>
        <v>200000000</v>
      </c>
      <c r="Z67" s="149">
        <f t="shared" si="25"/>
        <v>966666.66666666674</v>
      </c>
      <c r="AA67" s="176">
        <f t="shared" si="26"/>
        <v>0</v>
      </c>
      <c r="AB67" s="113">
        <f t="shared" si="27"/>
        <v>966666.66666666674</v>
      </c>
      <c r="AC67" s="113">
        <f t="shared" si="3"/>
        <v>778700.00172438449</v>
      </c>
      <c r="AD67" s="114">
        <f t="shared" si="28"/>
        <v>7.5</v>
      </c>
      <c r="AE67" s="114">
        <f t="shared" si="29"/>
        <v>3.8869458249676278E-3</v>
      </c>
      <c r="AF67" s="114">
        <f t="shared" si="30"/>
        <v>63.75</v>
      </c>
      <c r="AG67" s="114"/>
      <c r="AH67" s="176">
        <f t="shared" si="31"/>
        <v>100000000</v>
      </c>
      <c r="AI67" s="176">
        <f t="shared" si="32"/>
        <v>483333.33333333337</v>
      </c>
      <c r="AJ67" s="176">
        <f t="shared" si="33"/>
        <v>0</v>
      </c>
      <c r="AK67" s="113">
        <f t="shared" si="34"/>
        <v>483333.33333333337</v>
      </c>
      <c r="AL67" s="113">
        <f t="shared" si="4"/>
        <v>389350.00086219225</v>
      </c>
      <c r="AM67" s="114">
        <f t="shared" si="35"/>
        <v>7.5</v>
      </c>
      <c r="AN67" s="114">
        <f t="shared" si="36"/>
        <v>3.8842349813881525E-3</v>
      </c>
      <c r="AO67" s="114">
        <f t="shared" si="37"/>
        <v>63.75</v>
      </c>
    </row>
    <row r="68" spans="1:41" hidden="1" outlineLevel="1" x14ac:dyDescent="0.3">
      <c r="A68" s="146">
        <f t="shared" si="5"/>
        <v>46</v>
      </c>
      <c r="B68" s="147">
        <f t="shared" si="1"/>
        <v>239</v>
      </c>
      <c r="C68" s="147">
        <f t="shared" si="0"/>
        <v>121</v>
      </c>
      <c r="D68" s="149">
        <f t="shared" si="6"/>
        <v>384713491.37582821</v>
      </c>
      <c r="E68" s="149">
        <f t="shared" si="7"/>
        <v>2772804.0144915273</v>
      </c>
      <c r="F68" s="149">
        <f t="shared" si="2"/>
        <v>1935150.6203412199</v>
      </c>
      <c r="G68" s="149">
        <f t="shared" si="8"/>
        <v>1870645.5996631794</v>
      </c>
      <c r="H68" s="149">
        <f t="shared" si="9"/>
        <v>64505.020678040572</v>
      </c>
      <c r="I68" s="149">
        <f t="shared" si="10"/>
        <v>837653.3941503074</v>
      </c>
      <c r="J68" s="147">
        <f t="shared" si="11"/>
        <v>4.4999999999999998E-2</v>
      </c>
      <c r="K68" s="175">
        <f t="shared" si="12"/>
        <v>3.8296430163020645E-3</v>
      </c>
      <c r="L68" s="149">
        <f t="shared" si="13"/>
        <v>1478979.2982654825</v>
      </c>
      <c r="M68" s="149">
        <f t="shared" si="14"/>
        <v>4187278.2920789691</v>
      </c>
      <c r="N68" s="149">
        <f t="shared" si="15"/>
        <v>2316632.6924157897</v>
      </c>
      <c r="P68" s="149">
        <f t="shared" si="16"/>
        <v>84713491.375828207</v>
      </c>
      <c r="Q68" s="149">
        <f t="shared" si="17"/>
        <v>420645.59966317931</v>
      </c>
      <c r="R68" s="176">
        <f t="shared" si="18"/>
        <v>2316632.6924157897</v>
      </c>
      <c r="S68" s="113">
        <f t="shared" si="19"/>
        <v>2737278.2920789691</v>
      </c>
      <c r="T68" s="113">
        <f t="shared" si="20"/>
        <v>2194449.4094609781</v>
      </c>
      <c r="U68" s="114">
        <f t="shared" si="21"/>
        <v>7.666666666666667</v>
      </c>
      <c r="V68" s="114">
        <f t="shared" si="22"/>
        <v>1.0965663282639315E-2</v>
      </c>
      <c r="W68" s="114">
        <f t="shared" si="23"/>
        <v>66.444444444444457</v>
      </c>
      <c r="X68" s="114"/>
      <c r="Y68" s="149">
        <f t="shared" si="24"/>
        <v>200000000</v>
      </c>
      <c r="Z68" s="149">
        <f t="shared" si="25"/>
        <v>966666.66666666674</v>
      </c>
      <c r="AA68" s="176">
        <f t="shared" si="26"/>
        <v>0</v>
      </c>
      <c r="AB68" s="113">
        <f t="shared" si="27"/>
        <v>966666.66666666674</v>
      </c>
      <c r="AC68" s="113">
        <f t="shared" si="3"/>
        <v>774967.2738613456</v>
      </c>
      <c r="AD68" s="114">
        <f t="shared" si="28"/>
        <v>7.666666666666667</v>
      </c>
      <c r="AE68" s="114">
        <f t="shared" si="29"/>
        <v>3.8683136033792753E-3</v>
      </c>
      <c r="AF68" s="114">
        <f t="shared" si="30"/>
        <v>66.444444444444457</v>
      </c>
      <c r="AG68" s="114"/>
      <c r="AH68" s="176">
        <f t="shared" si="31"/>
        <v>100000000</v>
      </c>
      <c r="AI68" s="176">
        <f t="shared" si="32"/>
        <v>483333.33333333337</v>
      </c>
      <c r="AJ68" s="176">
        <f t="shared" si="33"/>
        <v>0</v>
      </c>
      <c r="AK68" s="113">
        <f t="shared" si="34"/>
        <v>483333.33333333337</v>
      </c>
      <c r="AL68" s="113">
        <f t="shared" si="4"/>
        <v>387483.6369306728</v>
      </c>
      <c r="AM68" s="114">
        <f t="shared" si="35"/>
        <v>7.666666666666667</v>
      </c>
      <c r="AN68" s="114">
        <f t="shared" si="36"/>
        <v>3.8656157543308632E-3</v>
      </c>
      <c r="AO68" s="114">
        <f t="shared" si="37"/>
        <v>66.444444444444457</v>
      </c>
    </row>
    <row r="69" spans="1:41" hidden="1" outlineLevel="1" x14ac:dyDescent="0.3">
      <c r="A69" s="146">
        <f t="shared" si="5"/>
        <v>47</v>
      </c>
      <c r="B69" s="147">
        <f t="shared" si="1"/>
        <v>238</v>
      </c>
      <c r="C69" s="147">
        <f t="shared" si="0"/>
        <v>122</v>
      </c>
      <c r="D69" s="149">
        <f t="shared" si="6"/>
        <v>382404769.93866998</v>
      </c>
      <c r="E69" s="149">
        <f t="shared" si="7"/>
        <v>2762185.1649618554</v>
      </c>
      <c r="F69" s="149">
        <f t="shared" si="2"/>
        <v>1923567.456879141</v>
      </c>
      <c r="G69" s="149">
        <f t="shared" si="8"/>
        <v>1859448.5416498363</v>
      </c>
      <c r="H69" s="149">
        <f t="shared" si="9"/>
        <v>64118.915229304694</v>
      </c>
      <c r="I69" s="149">
        <f t="shared" si="10"/>
        <v>838617.70808271435</v>
      </c>
      <c r="J69" s="147">
        <f t="shared" si="11"/>
        <v>4.4999999999999998E-2</v>
      </c>
      <c r="K69" s="175">
        <f t="shared" si="12"/>
        <v>3.8296430163020645E-3</v>
      </c>
      <c r="L69" s="149">
        <f t="shared" si="13"/>
        <v>1470103.7290755187</v>
      </c>
      <c r="M69" s="149">
        <f t="shared" si="14"/>
        <v>4168169.9788080696</v>
      </c>
      <c r="N69" s="149">
        <f t="shared" si="15"/>
        <v>2308721.437158233</v>
      </c>
      <c r="P69" s="149">
        <f t="shared" si="16"/>
        <v>82404769.93866998</v>
      </c>
      <c r="Q69" s="149">
        <f t="shared" si="17"/>
        <v>409448.54164983635</v>
      </c>
      <c r="R69" s="176">
        <f t="shared" si="18"/>
        <v>2308721.437158233</v>
      </c>
      <c r="S69" s="113">
        <f t="shared" si="19"/>
        <v>2718169.9788080696</v>
      </c>
      <c r="T69" s="113">
        <f t="shared" si="20"/>
        <v>2168684.7162325811</v>
      </c>
      <c r="U69" s="114">
        <f t="shared" si="21"/>
        <v>7.833333333333333</v>
      </c>
      <c r="V69" s="114">
        <f t="shared" si="22"/>
        <v>1.0836917115466339E-2</v>
      </c>
      <c r="W69" s="114">
        <f t="shared" si="23"/>
        <v>69.194444444444429</v>
      </c>
      <c r="X69" s="114"/>
      <c r="Y69" s="149">
        <f t="shared" si="24"/>
        <v>200000000</v>
      </c>
      <c r="Z69" s="149">
        <f t="shared" si="25"/>
        <v>966666.66666666674</v>
      </c>
      <c r="AA69" s="176">
        <f t="shared" si="26"/>
        <v>0</v>
      </c>
      <c r="AB69" s="113">
        <f t="shared" si="27"/>
        <v>966666.66666666674</v>
      </c>
      <c r="AC69" s="113">
        <f t="shared" si="3"/>
        <v>771252.43897027161</v>
      </c>
      <c r="AD69" s="114">
        <f t="shared" si="28"/>
        <v>7.833333333333333</v>
      </c>
      <c r="AE69" s="114">
        <f t="shared" si="29"/>
        <v>3.8497706960486872E-3</v>
      </c>
      <c r="AF69" s="114">
        <f t="shared" si="30"/>
        <v>69.194444444444429</v>
      </c>
      <c r="AG69" s="114"/>
      <c r="AH69" s="176">
        <f t="shared" si="31"/>
        <v>100000000</v>
      </c>
      <c r="AI69" s="176">
        <f t="shared" si="32"/>
        <v>483333.33333333337</v>
      </c>
      <c r="AJ69" s="176">
        <f t="shared" si="33"/>
        <v>0</v>
      </c>
      <c r="AK69" s="113">
        <f t="shared" si="34"/>
        <v>483333.33333333337</v>
      </c>
      <c r="AL69" s="113">
        <f t="shared" si="4"/>
        <v>385626.21948513581</v>
      </c>
      <c r="AM69" s="114">
        <f t="shared" si="35"/>
        <v>7.833333333333333</v>
      </c>
      <c r="AN69" s="114">
        <f t="shared" si="36"/>
        <v>3.8470857792415629E-3</v>
      </c>
      <c r="AO69" s="114">
        <f t="shared" si="37"/>
        <v>69.194444444444429</v>
      </c>
    </row>
    <row r="70" spans="1:41" hidden="1" outlineLevel="1" x14ac:dyDescent="0.3">
      <c r="A70" s="146">
        <f t="shared" si="5"/>
        <v>48</v>
      </c>
      <c r="B70" s="147">
        <f t="shared" si="1"/>
        <v>237</v>
      </c>
      <c r="C70" s="147">
        <f t="shared" si="0"/>
        <v>123</v>
      </c>
      <c r="D70" s="149">
        <f t="shared" si="6"/>
        <v>380103928.35361058</v>
      </c>
      <c r="E70" s="149">
        <f t="shared" si="7"/>
        <v>2751606.9818351259</v>
      </c>
      <c r="F70" s="149">
        <f t="shared" si="2"/>
        <v>1912023.84969335</v>
      </c>
      <c r="G70" s="149">
        <f t="shared" si="8"/>
        <v>1848289.7213702383</v>
      </c>
      <c r="H70" s="149">
        <f t="shared" si="9"/>
        <v>63734.128323111683</v>
      </c>
      <c r="I70" s="149">
        <f t="shared" si="10"/>
        <v>839583.13214177592</v>
      </c>
      <c r="J70" s="147">
        <f t="shared" si="11"/>
        <v>4.4999999999999998E-2</v>
      </c>
      <c r="K70" s="175">
        <f t="shared" si="12"/>
        <v>3.8296430163020645E-3</v>
      </c>
      <c r="L70" s="149">
        <f t="shared" si="13"/>
        <v>1461258.4529176133</v>
      </c>
      <c r="M70" s="149">
        <f t="shared" si="14"/>
        <v>4149131.3064296274</v>
      </c>
      <c r="N70" s="149">
        <f t="shared" si="15"/>
        <v>2300841.5850593895</v>
      </c>
      <c r="P70" s="149">
        <f t="shared" si="16"/>
        <v>80103928.35361059</v>
      </c>
      <c r="Q70" s="149">
        <f t="shared" si="17"/>
        <v>398289.72137023823</v>
      </c>
      <c r="R70" s="176">
        <f t="shared" si="18"/>
        <v>2300841.5850593895</v>
      </c>
      <c r="S70" s="113">
        <f t="shared" si="19"/>
        <v>2699131.3064296278</v>
      </c>
      <c r="T70" s="113">
        <f t="shared" si="20"/>
        <v>2143171.9034552411</v>
      </c>
      <c r="U70" s="114">
        <f t="shared" si="21"/>
        <v>8</v>
      </c>
      <c r="V70" s="114">
        <f t="shared" si="22"/>
        <v>1.0709429594859498E-2</v>
      </c>
      <c r="W70" s="114">
        <f t="shared" si="23"/>
        <v>72</v>
      </c>
      <c r="X70" s="114"/>
      <c r="Y70" s="149">
        <f t="shared" si="24"/>
        <v>200000000</v>
      </c>
      <c r="Z70" s="149">
        <f t="shared" si="25"/>
        <v>966666.66666666674</v>
      </c>
      <c r="AA70" s="176">
        <f t="shared" si="26"/>
        <v>0</v>
      </c>
      <c r="AB70" s="113">
        <f t="shared" si="27"/>
        <v>966666.66666666674</v>
      </c>
      <c r="AC70" s="113">
        <f t="shared" si="3"/>
        <v>767555.41128052492</v>
      </c>
      <c r="AD70" s="114">
        <f t="shared" si="28"/>
        <v>8</v>
      </c>
      <c r="AE70" s="114">
        <f t="shared" si="29"/>
        <v>3.8313166748445921E-3</v>
      </c>
      <c r="AF70" s="114">
        <f t="shared" si="30"/>
        <v>72</v>
      </c>
      <c r="AG70" s="114"/>
      <c r="AH70" s="176">
        <f t="shared" si="31"/>
        <v>100000000</v>
      </c>
      <c r="AI70" s="176">
        <f t="shared" si="32"/>
        <v>483333.33333333337</v>
      </c>
      <c r="AJ70" s="176">
        <f t="shared" si="33"/>
        <v>0</v>
      </c>
      <c r="AK70" s="113">
        <f t="shared" si="34"/>
        <v>483333.33333333337</v>
      </c>
      <c r="AL70" s="113">
        <f t="shared" si="4"/>
        <v>383777.70564026246</v>
      </c>
      <c r="AM70" s="114">
        <f t="shared" si="35"/>
        <v>8</v>
      </c>
      <c r="AN70" s="114">
        <f t="shared" si="36"/>
        <v>3.8286446282875691E-3</v>
      </c>
      <c r="AO70" s="114">
        <f t="shared" si="37"/>
        <v>72</v>
      </c>
    </row>
    <row r="71" spans="1:41" hidden="1" outlineLevel="1" x14ac:dyDescent="0.3">
      <c r="A71" s="146">
        <f t="shared" si="5"/>
        <v>49</v>
      </c>
      <c r="B71" s="147">
        <f t="shared" si="1"/>
        <v>236</v>
      </c>
      <c r="C71" s="147">
        <f t="shared" si="0"/>
        <v>124</v>
      </c>
      <c r="D71" s="149">
        <f t="shared" si="6"/>
        <v>377810935.33648115</v>
      </c>
      <c r="E71" s="149">
        <f t="shared" si="7"/>
        <v>2741069.3093735329</v>
      </c>
      <c r="F71" s="149">
        <f t="shared" si="2"/>
        <v>1900519.6417680529</v>
      </c>
      <c r="G71" s="149">
        <f t="shared" si="8"/>
        <v>1837168.9870424513</v>
      </c>
      <c r="H71" s="149">
        <f t="shared" si="9"/>
        <v>63350.654725601664</v>
      </c>
      <c r="I71" s="149">
        <f t="shared" si="10"/>
        <v>840549.66760547995</v>
      </c>
      <c r="J71" s="147">
        <f t="shared" si="11"/>
        <v>4.4999999999999998E-2</v>
      </c>
      <c r="K71" s="175">
        <f t="shared" si="12"/>
        <v>3.8296430163020645E-3</v>
      </c>
      <c r="L71" s="149">
        <f t="shared" si="13"/>
        <v>1452443.3495239848</v>
      </c>
      <c r="M71" s="149">
        <f t="shared" si="14"/>
        <v>4130162.0041719163</v>
      </c>
      <c r="N71" s="149">
        <f t="shared" si="15"/>
        <v>2292993.017129465</v>
      </c>
      <c r="P71" s="149">
        <f t="shared" si="16"/>
        <v>77810935.336481124</v>
      </c>
      <c r="Q71" s="149">
        <f t="shared" si="17"/>
        <v>387168.98704245122</v>
      </c>
      <c r="R71" s="176">
        <f t="shared" si="18"/>
        <v>2292993.017129465</v>
      </c>
      <c r="S71" s="113">
        <f t="shared" si="19"/>
        <v>2680162.0041719163</v>
      </c>
      <c r="T71" s="113">
        <f t="shared" si="20"/>
        <v>2117908.6693192879</v>
      </c>
      <c r="U71" s="114">
        <f t="shared" si="21"/>
        <v>8.1666666666666661</v>
      </c>
      <c r="V71" s="114">
        <f t="shared" si="22"/>
        <v>1.0583189218676304E-2</v>
      </c>
      <c r="W71" s="114">
        <f t="shared" si="23"/>
        <v>74.8611111111111</v>
      </c>
      <c r="X71" s="114"/>
      <c r="Y71" s="149">
        <f t="shared" si="24"/>
        <v>200000000</v>
      </c>
      <c r="Z71" s="149">
        <f t="shared" si="25"/>
        <v>966666.66666666674</v>
      </c>
      <c r="AA71" s="176">
        <f t="shared" si="26"/>
        <v>0</v>
      </c>
      <c r="AB71" s="113">
        <f t="shared" si="27"/>
        <v>966666.66666666674</v>
      </c>
      <c r="AC71" s="113">
        <f t="shared" si="3"/>
        <v>763876.10543261364</v>
      </c>
      <c r="AD71" s="114">
        <f t="shared" si="28"/>
        <v>8.1666666666666661</v>
      </c>
      <c r="AE71" s="114">
        <f t="shared" si="29"/>
        <v>3.8129511136879867E-3</v>
      </c>
      <c r="AF71" s="114">
        <f t="shared" si="30"/>
        <v>74.8611111111111</v>
      </c>
      <c r="AG71" s="114"/>
      <c r="AH71" s="176">
        <f t="shared" si="31"/>
        <v>100000000</v>
      </c>
      <c r="AI71" s="176">
        <f t="shared" si="32"/>
        <v>483333.33333333337</v>
      </c>
      <c r="AJ71" s="176">
        <f t="shared" si="33"/>
        <v>0</v>
      </c>
      <c r="AK71" s="113">
        <f t="shared" si="34"/>
        <v>483333.33333333337</v>
      </c>
      <c r="AL71" s="113">
        <f t="shared" si="4"/>
        <v>381938.05271630682</v>
      </c>
      <c r="AM71" s="114">
        <f t="shared" si="35"/>
        <v>8.1666666666666661</v>
      </c>
      <c r="AN71" s="114">
        <f t="shared" si="36"/>
        <v>3.810291875687035E-3</v>
      </c>
      <c r="AO71" s="114">
        <f t="shared" si="37"/>
        <v>74.8611111111111</v>
      </c>
    </row>
    <row r="72" spans="1:41" hidden="1" outlineLevel="1" x14ac:dyDescent="0.3">
      <c r="A72" s="146">
        <f t="shared" si="5"/>
        <v>50</v>
      </c>
      <c r="B72" s="147">
        <f t="shared" si="1"/>
        <v>235</v>
      </c>
      <c r="C72" s="147">
        <f t="shared" si="0"/>
        <v>125</v>
      </c>
      <c r="D72" s="149">
        <f t="shared" si="6"/>
        <v>375525759.72164536</v>
      </c>
      <c r="E72" s="149">
        <f t="shared" si="7"/>
        <v>2730571.9924356905</v>
      </c>
      <c r="F72" s="149">
        <f t="shared" si="2"/>
        <v>1889054.6766824059</v>
      </c>
      <c r="G72" s="149">
        <f t="shared" si="8"/>
        <v>1826086.1874596591</v>
      </c>
      <c r="H72" s="149">
        <f t="shared" si="9"/>
        <v>62968.489222746808</v>
      </c>
      <c r="I72" s="149">
        <f t="shared" si="10"/>
        <v>841517.31575328461</v>
      </c>
      <c r="J72" s="147">
        <f t="shared" si="11"/>
        <v>4.4999999999999998E-2</v>
      </c>
      <c r="K72" s="175">
        <f t="shared" si="12"/>
        <v>3.8296430163020645E-3</v>
      </c>
      <c r="L72" s="149">
        <f t="shared" si="13"/>
        <v>1443658.2990825342</v>
      </c>
      <c r="M72" s="149">
        <f t="shared" si="14"/>
        <v>4111261.8022954781</v>
      </c>
      <c r="N72" s="149">
        <f t="shared" si="15"/>
        <v>2285175.6148358188</v>
      </c>
      <c r="P72" s="149">
        <f t="shared" si="16"/>
        <v>75525759.721645311</v>
      </c>
      <c r="Q72" s="149">
        <f t="shared" si="17"/>
        <v>376086.18745965877</v>
      </c>
      <c r="R72" s="176">
        <f t="shared" si="18"/>
        <v>2285175.6148358188</v>
      </c>
      <c r="S72" s="113">
        <f t="shared" si="19"/>
        <v>2661261.8022954776</v>
      </c>
      <c r="T72" s="113">
        <f t="shared" si="20"/>
        <v>2092892.732428703</v>
      </c>
      <c r="U72" s="114">
        <f t="shared" si="21"/>
        <v>8.3333333333333339</v>
      </c>
      <c r="V72" s="114">
        <f t="shared" si="22"/>
        <v>1.0458184586781286E-2</v>
      </c>
      <c r="W72" s="114">
        <f t="shared" si="23"/>
        <v>77.777777777777786</v>
      </c>
      <c r="X72" s="114"/>
      <c r="Y72" s="149">
        <f t="shared" si="24"/>
        <v>200000000</v>
      </c>
      <c r="Z72" s="149">
        <f t="shared" si="25"/>
        <v>966666.66666666674</v>
      </c>
      <c r="AA72" s="176">
        <f t="shared" si="26"/>
        <v>0</v>
      </c>
      <c r="AB72" s="113">
        <f t="shared" si="27"/>
        <v>966666.66666666674</v>
      </c>
      <c r="AC72" s="113">
        <f t="shared" si="3"/>
        <v>760214.43647622014</v>
      </c>
      <c r="AD72" s="114">
        <f t="shared" si="28"/>
        <v>8.3333333333333339</v>
      </c>
      <c r="AE72" s="114">
        <f t="shared" si="29"/>
        <v>3.7946735885422958E-3</v>
      </c>
      <c r="AF72" s="114">
        <f t="shared" si="30"/>
        <v>77.777777777777786</v>
      </c>
      <c r="AG72" s="114"/>
      <c r="AH72" s="176">
        <f t="shared" si="31"/>
        <v>100000000</v>
      </c>
      <c r="AI72" s="176">
        <f t="shared" si="32"/>
        <v>483333.33333333337</v>
      </c>
      <c r="AJ72" s="176">
        <f t="shared" si="33"/>
        <v>0</v>
      </c>
      <c r="AK72" s="113">
        <f t="shared" si="34"/>
        <v>483333.33333333337</v>
      </c>
      <c r="AL72" s="113">
        <f t="shared" si="4"/>
        <v>380107.21823811007</v>
      </c>
      <c r="AM72" s="114">
        <f t="shared" si="35"/>
        <v>8.3333333333333339</v>
      </c>
      <c r="AN72" s="114">
        <f t="shared" si="36"/>
        <v>3.7920270976991178E-3</v>
      </c>
      <c r="AO72" s="114">
        <f t="shared" si="37"/>
        <v>77.777777777777786</v>
      </c>
    </row>
    <row r="73" spans="1:41" hidden="1" outlineLevel="1" x14ac:dyDescent="0.3">
      <c r="A73" s="146">
        <f t="shared" si="5"/>
        <v>51</v>
      </c>
      <c r="B73" s="147">
        <f t="shared" si="1"/>
        <v>234</v>
      </c>
      <c r="C73" s="147">
        <f t="shared" si="0"/>
        <v>126</v>
      </c>
      <c r="D73" s="149">
        <f t="shared" si="6"/>
        <v>373248370.4615441</v>
      </c>
      <c r="E73" s="149">
        <f t="shared" si="7"/>
        <v>2720114.8764743493</v>
      </c>
      <c r="F73" s="149">
        <f t="shared" si="2"/>
        <v>1877628.7986082267</v>
      </c>
      <c r="G73" s="149">
        <f t="shared" si="8"/>
        <v>1815041.1719879527</v>
      </c>
      <c r="H73" s="149">
        <f t="shared" si="9"/>
        <v>62587.626620274037</v>
      </c>
      <c r="I73" s="149">
        <f t="shared" si="10"/>
        <v>842486.07786612259</v>
      </c>
      <c r="J73" s="147">
        <f t="shared" si="11"/>
        <v>4.4999999999999998E-2</v>
      </c>
      <c r="K73" s="175">
        <f t="shared" si="12"/>
        <v>3.8296430163020645E-3</v>
      </c>
      <c r="L73" s="149">
        <f t="shared" si="13"/>
        <v>1434903.1822350945</v>
      </c>
      <c r="M73" s="149">
        <f t="shared" si="14"/>
        <v>4092430.4320891695</v>
      </c>
      <c r="N73" s="149">
        <f t="shared" si="15"/>
        <v>2277389.2601012168</v>
      </c>
      <c r="P73" s="149">
        <f t="shared" si="16"/>
        <v>73248370.461544096</v>
      </c>
      <c r="Q73" s="149">
        <f t="shared" si="17"/>
        <v>365041.17198795237</v>
      </c>
      <c r="R73" s="176">
        <f t="shared" si="18"/>
        <v>2277389.2601012168</v>
      </c>
      <c r="S73" s="113">
        <f t="shared" si="19"/>
        <v>2642430.432089169</v>
      </c>
      <c r="T73" s="113">
        <f t="shared" si="20"/>
        <v>2068121.8316226937</v>
      </c>
      <c r="U73" s="114">
        <f t="shared" si="21"/>
        <v>8.5</v>
      </c>
      <c r="V73" s="114">
        <f t="shared" si="22"/>
        <v>1.0334404400154392E-2</v>
      </c>
      <c r="W73" s="114">
        <f t="shared" si="23"/>
        <v>80.75</v>
      </c>
      <c r="X73" s="114"/>
      <c r="Y73" s="149">
        <f t="shared" si="24"/>
        <v>200000000</v>
      </c>
      <c r="Z73" s="149">
        <f t="shared" si="25"/>
        <v>966666.66666666674</v>
      </c>
      <c r="AA73" s="176">
        <f t="shared" si="26"/>
        <v>0</v>
      </c>
      <c r="AB73" s="113">
        <f t="shared" si="27"/>
        <v>966666.66666666674</v>
      </c>
      <c r="AC73" s="113">
        <f t="shared" si="3"/>
        <v>756570.31986823864</v>
      </c>
      <c r="AD73" s="114">
        <f t="shared" si="28"/>
        <v>8.5</v>
      </c>
      <c r="AE73" s="114">
        <f t="shared" si="29"/>
        <v>3.776483677403574E-3</v>
      </c>
      <c r="AF73" s="114">
        <f t="shared" si="30"/>
        <v>80.75</v>
      </c>
      <c r="AG73" s="114"/>
      <c r="AH73" s="176">
        <f t="shared" si="31"/>
        <v>100000000</v>
      </c>
      <c r="AI73" s="176">
        <f t="shared" si="32"/>
        <v>483333.33333333337</v>
      </c>
      <c r="AJ73" s="176">
        <f t="shared" si="33"/>
        <v>0</v>
      </c>
      <c r="AK73" s="113">
        <f t="shared" si="34"/>
        <v>483333.33333333337</v>
      </c>
      <c r="AL73" s="113">
        <f t="shared" si="4"/>
        <v>378285.15993411932</v>
      </c>
      <c r="AM73" s="114">
        <f t="shared" si="35"/>
        <v>8.5</v>
      </c>
      <c r="AN73" s="114">
        <f t="shared" si="36"/>
        <v>3.7738498726141881E-3</v>
      </c>
      <c r="AO73" s="114">
        <f t="shared" si="37"/>
        <v>80.75</v>
      </c>
    </row>
    <row r="74" spans="1:41" hidden="1" outlineLevel="1" x14ac:dyDescent="0.3">
      <c r="A74" s="146">
        <f t="shared" si="5"/>
        <v>52</v>
      </c>
      <c r="B74" s="147">
        <f t="shared" si="1"/>
        <v>233</v>
      </c>
      <c r="C74" s="147">
        <f t="shared" si="0"/>
        <v>127</v>
      </c>
      <c r="D74" s="149">
        <f t="shared" si="6"/>
        <v>370978736.62624198</v>
      </c>
      <c r="E74" s="149">
        <f t="shared" si="7"/>
        <v>2709697.80753412</v>
      </c>
      <c r="F74" s="149">
        <f t="shared" si="2"/>
        <v>1866241.8523077206</v>
      </c>
      <c r="G74" s="149">
        <f t="shared" si="8"/>
        <v>1804033.7905641298</v>
      </c>
      <c r="H74" s="149">
        <f t="shared" si="9"/>
        <v>62208.061743590748</v>
      </c>
      <c r="I74" s="149">
        <f t="shared" si="10"/>
        <v>843455.95522639947</v>
      </c>
      <c r="J74" s="147">
        <f t="shared" si="11"/>
        <v>4.4999999999999998E-2</v>
      </c>
      <c r="K74" s="175">
        <f t="shared" si="12"/>
        <v>3.8296430163020645E-3</v>
      </c>
      <c r="L74" s="149">
        <f t="shared" si="13"/>
        <v>1426177.8800756868</v>
      </c>
      <c r="M74" s="149">
        <f t="shared" si="14"/>
        <v>4073667.6258662157</v>
      </c>
      <c r="N74" s="149">
        <f t="shared" si="15"/>
        <v>2269633.8353020865</v>
      </c>
      <c r="P74" s="149">
        <f t="shared" si="16"/>
        <v>70978736.626242012</v>
      </c>
      <c r="Q74" s="149">
        <f t="shared" si="17"/>
        <v>354033.79056412983</v>
      </c>
      <c r="R74" s="176">
        <f t="shared" si="18"/>
        <v>2269633.8353020865</v>
      </c>
      <c r="S74" s="113">
        <f t="shared" si="19"/>
        <v>2623667.6258662166</v>
      </c>
      <c r="T74" s="113">
        <f t="shared" si="20"/>
        <v>2043593.7257988108</v>
      </c>
      <c r="U74" s="114">
        <f t="shared" si="21"/>
        <v>8.6666666666666661</v>
      </c>
      <c r="V74" s="114">
        <f t="shared" si="22"/>
        <v>1.021183746000711E-2</v>
      </c>
      <c r="W74" s="114">
        <f t="shared" si="23"/>
        <v>83.777777777777771</v>
      </c>
      <c r="X74" s="114"/>
      <c r="Y74" s="149">
        <f t="shared" si="24"/>
        <v>200000000</v>
      </c>
      <c r="Z74" s="149">
        <f t="shared" si="25"/>
        <v>966666.66666666674</v>
      </c>
      <c r="AA74" s="176">
        <f t="shared" si="26"/>
        <v>0</v>
      </c>
      <c r="AB74" s="113">
        <f t="shared" si="27"/>
        <v>966666.66666666674</v>
      </c>
      <c r="AC74" s="113">
        <f t="shared" si="3"/>
        <v>752943.6714708244</v>
      </c>
      <c r="AD74" s="114">
        <f t="shared" si="28"/>
        <v>8.6666666666666661</v>
      </c>
      <c r="AE74" s="114">
        <f t="shared" si="29"/>
        <v>3.7583809602907722E-3</v>
      </c>
      <c r="AF74" s="114">
        <f t="shared" si="30"/>
        <v>83.777777777777771</v>
      </c>
      <c r="AG74" s="114"/>
      <c r="AH74" s="176">
        <f t="shared" si="31"/>
        <v>100000000</v>
      </c>
      <c r="AI74" s="176">
        <f t="shared" si="32"/>
        <v>483333.33333333337</v>
      </c>
      <c r="AJ74" s="176">
        <f t="shared" si="33"/>
        <v>0</v>
      </c>
      <c r="AK74" s="113">
        <f t="shared" si="34"/>
        <v>483333.33333333337</v>
      </c>
      <c r="AL74" s="113">
        <f t="shared" si="4"/>
        <v>376471.8357354122</v>
      </c>
      <c r="AM74" s="114">
        <f t="shared" si="35"/>
        <v>8.6666666666666661</v>
      </c>
      <c r="AN74" s="114">
        <f t="shared" si="36"/>
        <v>3.7557597807441E-3</v>
      </c>
      <c r="AO74" s="114">
        <f t="shared" si="37"/>
        <v>83.777777777777771</v>
      </c>
    </row>
    <row r="75" spans="1:41" hidden="1" outlineLevel="1" x14ac:dyDescent="0.3">
      <c r="A75" s="146">
        <f t="shared" si="5"/>
        <v>53</v>
      </c>
      <c r="B75" s="147">
        <f t="shared" si="1"/>
        <v>232</v>
      </c>
      <c r="C75" s="147">
        <f t="shared" si="0"/>
        <v>128</v>
      </c>
      <c r="D75" s="149">
        <f t="shared" si="6"/>
        <v>368716827.4029752</v>
      </c>
      <c r="E75" s="149">
        <f t="shared" si="7"/>
        <v>2699320.6322492082</v>
      </c>
      <c r="F75" s="149">
        <f t="shared" si="2"/>
        <v>1854893.68313121</v>
      </c>
      <c r="G75" s="149">
        <f t="shared" si="8"/>
        <v>1793063.893693503</v>
      </c>
      <c r="H75" s="149">
        <f t="shared" si="9"/>
        <v>61829.789437707048</v>
      </c>
      <c r="I75" s="149">
        <f t="shared" si="10"/>
        <v>844426.94911799813</v>
      </c>
      <c r="J75" s="147">
        <f t="shared" si="11"/>
        <v>4.4999999999999998E-2</v>
      </c>
      <c r="K75" s="175">
        <f t="shared" si="12"/>
        <v>3.8296430163020645E-3</v>
      </c>
      <c r="L75" s="149">
        <f t="shared" si="13"/>
        <v>1417482.2741487834</v>
      </c>
      <c r="M75" s="149">
        <f t="shared" si="14"/>
        <v>4054973.1169602843</v>
      </c>
      <c r="N75" s="149">
        <f t="shared" si="15"/>
        <v>2261909.2232667813</v>
      </c>
      <c r="P75" s="149">
        <f t="shared" si="16"/>
        <v>68716827.402975231</v>
      </c>
      <c r="Q75" s="149">
        <f t="shared" si="17"/>
        <v>343063.89369350305</v>
      </c>
      <c r="R75" s="176">
        <f t="shared" si="18"/>
        <v>2261909.2232667813</v>
      </c>
      <c r="S75" s="113">
        <f t="shared" si="19"/>
        <v>2604973.1169602843</v>
      </c>
      <c r="T75" s="113">
        <f t="shared" si="20"/>
        <v>2019306.1937375995</v>
      </c>
      <c r="U75" s="114">
        <f t="shared" si="21"/>
        <v>8.8333333333333339</v>
      </c>
      <c r="V75" s="114">
        <f t="shared" si="22"/>
        <v>1.0090472666906243E-2</v>
      </c>
      <c r="W75" s="114">
        <f t="shared" si="23"/>
        <v>86.861111111111128</v>
      </c>
      <c r="X75" s="114"/>
      <c r="Y75" s="149">
        <f t="shared" si="24"/>
        <v>200000000</v>
      </c>
      <c r="Z75" s="149">
        <f t="shared" si="25"/>
        <v>966666.66666666674</v>
      </c>
      <c r="AA75" s="176">
        <f t="shared" si="26"/>
        <v>0</v>
      </c>
      <c r="AB75" s="113">
        <f t="shared" si="27"/>
        <v>966666.66666666674</v>
      </c>
      <c r="AC75" s="113">
        <f t="shared" si="3"/>
        <v>749334.40754945041</v>
      </c>
      <c r="AD75" s="114">
        <f t="shared" si="28"/>
        <v>8.8333333333333339</v>
      </c>
      <c r="AE75" s="114">
        <f t="shared" si="29"/>
        <v>3.740365019236034E-3</v>
      </c>
      <c r="AF75" s="114">
        <f t="shared" si="30"/>
        <v>86.861111111111128</v>
      </c>
      <c r="AG75" s="114"/>
      <c r="AH75" s="176">
        <f t="shared" si="31"/>
        <v>100000000</v>
      </c>
      <c r="AI75" s="176">
        <f t="shared" si="32"/>
        <v>483333.33333333337</v>
      </c>
      <c r="AJ75" s="176">
        <f t="shared" si="33"/>
        <v>0</v>
      </c>
      <c r="AK75" s="113">
        <f t="shared" si="34"/>
        <v>483333.33333333337</v>
      </c>
      <c r="AL75" s="113">
        <f t="shared" si="4"/>
        <v>374667.2037747252</v>
      </c>
      <c r="AM75" s="114">
        <f t="shared" si="35"/>
        <v>8.8333333333333339</v>
      </c>
      <c r="AN75" s="114">
        <f t="shared" si="36"/>
        <v>3.7377564044124983E-3</v>
      </c>
      <c r="AO75" s="114">
        <f t="shared" si="37"/>
        <v>86.861111111111128</v>
      </c>
    </row>
    <row r="76" spans="1:41" hidden="1" outlineLevel="1" x14ac:dyDescent="0.3">
      <c r="A76" s="146">
        <f t="shared" si="5"/>
        <v>54</v>
      </c>
      <c r="B76" s="147">
        <f t="shared" si="1"/>
        <v>231</v>
      </c>
      <c r="C76" s="147">
        <f t="shared" si="0"/>
        <v>129</v>
      </c>
      <c r="D76" s="149">
        <f t="shared" si="6"/>
        <v>366462612.09570134</v>
      </c>
      <c r="E76" s="149">
        <f t="shared" si="7"/>
        <v>2688983.1978411549</v>
      </c>
      <c r="F76" s="149">
        <f t="shared" si="2"/>
        <v>1843584.1370148761</v>
      </c>
      <c r="G76" s="149">
        <f t="shared" si="8"/>
        <v>1782131.3324477135</v>
      </c>
      <c r="H76" s="149">
        <f t="shared" si="9"/>
        <v>61452.804567162646</v>
      </c>
      <c r="I76" s="149">
        <f t="shared" si="10"/>
        <v>845399.06082627876</v>
      </c>
      <c r="J76" s="147">
        <f t="shared" si="11"/>
        <v>4.4999999999999998E-2</v>
      </c>
      <c r="K76" s="175">
        <f t="shared" si="12"/>
        <v>3.8296430163020645E-3</v>
      </c>
      <c r="L76" s="149">
        <f t="shared" si="13"/>
        <v>1408816.246447576</v>
      </c>
      <c r="M76" s="149">
        <f t="shared" si="14"/>
        <v>4036346.6397215687</v>
      </c>
      <c r="N76" s="149">
        <f t="shared" si="15"/>
        <v>2254215.3072738545</v>
      </c>
      <c r="P76" s="149">
        <f t="shared" si="16"/>
        <v>66462612.095701374</v>
      </c>
      <c r="Q76" s="149">
        <f t="shared" si="17"/>
        <v>332131.33244771365</v>
      </c>
      <c r="R76" s="176">
        <f t="shared" si="18"/>
        <v>2254215.3072738545</v>
      </c>
      <c r="S76" s="113">
        <f t="shared" si="19"/>
        <v>2586346.6397215682</v>
      </c>
      <c r="T76" s="113">
        <f t="shared" si="20"/>
        <v>1995257.0339287817</v>
      </c>
      <c r="U76" s="114">
        <f t="shared" si="21"/>
        <v>9</v>
      </c>
      <c r="V76" s="114">
        <f t="shared" si="22"/>
        <v>9.9702990199053518E-3</v>
      </c>
      <c r="W76" s="114">
        <f t="shared" si="23"/>
        <v>90</v>
      </c>
      <c r="X76" s="114"/>
      <c r="Y76" s="149">
        <f t="shared" si="24"/>
        <v>200000000</v>
      </c>
      <c r="Z76" s="149">
        <f t="shared" si="25"/>
        <v>966666.66666666674</v>
      </c>
      <c r="AA76" s="176">
        <f t="shared" si="26"/>
        <v>0</v>
      </c>
      <c r="AB76" s="113">
        <f t="shared" si="27"/>
        <v>966666.66666666674</v>
      </c>
      <c r="AC76" s="113">
        <f t="shared" si="3"/>
        <v>745742.44477097399</v>
      </c>
      <c r="AD76" s="114">
        <f t="shared" si="28"/>
        <v>9</v>
      </c>
      <c r="AE76" s="114">
        <f t="shared" si="29"/>
        <v>3.7224354382750474E-3</v>
      </c>
      <c r="AF76" s="114">
        <f t="shared" si="30"/>
        <v>90</v>
      </c>
      <c r="AG76" s="114"/>
      <c r="AH76" s="176">
        <f t="shared" si="31"/>
        <v>100000000</v>
      </c>
      <c r="AI76" s="176">
        <f t="shared" si="32"/>
        <v>483333.33333333337</v>
      </c>
      <c r="AJ76" s="176">
        <f t="shared" si="33"/>
        <v>0</v>
      </c>
      <c r="AK76" s="113">
        <f t="shared" si="34"/>
        <v>483333.33333333337</v>
      </c>
      <c r="AL76" s="113">
        <f t="shared" si="4"/>
        <v>372871.222385487</v>
      </c>
      <c r="AM76" s="114">
        <f t="shared" si="35"/>
        <v>9</v>
      </c>
      <c r="AN76" s="114">
        <f t="shared" si="36"/>
        <v>3.7198393279451731E-3</v>
      </c>
      <c r="AO76" s="114">
        <f t="shared" si="37"/>
        <v>90</v>
      </c>
    </row>
    <row r="77" spans="1:41" hidden="1" outlineLevel="1" x14ac:dyDescent="0.3">
      <c r="A77" s="146">
        <f t="shared" si="5"/>
        <v>55</v>
      </c>
      <c r="B77" s="147">
        <f t="shared" si="1"/>
        <v>230</v>
      </c>
      <c r="C77" s="147">
        <f t="shared" si="0"/>
        <v>130</v>
      </c>
      <c r="D77" s="149">
        <f t="shared" si="6"/>
        <v>364216060.12465101</v>
      </c>
      <c r="E77" s="149">
        <f t="shared" si="7"/>
        <v>2678685.352116589</v>
      </c>
      <c r="F77" s="149">
        <f t="shared" si="2"/>
        <v>1832313.0604785066</v>
      </c>
      <c r="G77" s="149">
        <f t="shared" si="8"/>
        <v>1771235.9584625566</v>
      </c>
      <c r="H77" s="149">
        <f t="shared" si="9"/>
        <v>61077.102015950019</v>
      </c>
      <c r="I77" s="149">
        <f t="shared" si="10"/>
        <v>846372.29163808236</v>
      </c>
      <c r="J77" s="147">
        <f t="shared" si="11"/>
        <v>4.4999999999999998E-2</v>
      </c>
      <c r="K77" s="175">
        <f t="shared" si="12"/>
        <v>3.8296430163020645E-3</v>
      </c>
      <c r="L77" s="149">
        <f t="shared" si="13"/>
        <v>1400179.6794122518</v>
      </c>
      <c r="M77" s="149">
        <f t="shared" si="14"/>
        <v>4017787.9295128905</v>
      </c>
      <c r="N77" s="149">
        <f t="shared" si="15"/>
        <v>2246551.9710503342</v>
      </c>
      <c r="P77" s="149">
        <f t="shared" si="16"/>
        <v>64216060.124651037</v>
      </c>
      <c r="Q77" s="149">
        <f t="shared" si="17"/>
        <v>321235.95846255665</v>
      </c>
      <c r="R77" s="176">
        <f t="shared" si="18"/>
        <v>2246551.9710503342</v>
      </c>
      <c r="S77" s="113">
        <f t="shared" si="19"/>
        <v>2567787.929512891</v>
      </c>
      <c r="T77" s="113">
        <f t="shared" si="20"/>
        <v>1971444.0643989337</v>
      </c>
      <c r="U77" s="114">
        <f t="shared" si="21"/>
        <v>9.1666666666666661</v>
      </c>
      <c r="V77" s="114">
        <f t="shared" si="22"/>
        <v>9.8513056156836511E-3</v>
      </c>
      <c r="W77" s="114">
        <f t="shared" si="23"/>
        <v>93.194444444444429</v>
      </c>
      <c r="X77" s="114"/>
      <c r="Y77" s="149">
        <f t="shared" si="24"/>
        <v>200000000</v>
      </c>
      <c r="Z77" s="149">
        <f t="shared" si="25"/>
        <v>966666.66666666674</v>
      </c>
      <c r="AA77" s="176">
        <f t="shared" si="26"/>
        <v>0</v>
      </c>
      <c r="AB77" s="113">
        <f t="shared" si="27"/>
        <v>966666.66666666674</v>
      </c>
      <c r="AC77" s="113">
        <f t="shared" si="3"/>
        <v>742167.70020171383</v>
      </c>
      <c r="AD77" s="114">
        <f t="shared" si="28"/>
        <v>9.1666666666666661</v>
      </c>
      <c r="AE77" s="114">
        <f t="shared" si="29"/>
        <v>3.7045918034374434E-3</v>
      </c>
      <c r="AF77" s="114">
        <f t="shared" si="30"/>
        <v>93.194444444444429</v>
      </c>
      <c r="AG77" s="114"/>
      <c r="AH77" s="176">
        <f t="shared" si="31"/>
        <v>100000000</v>
      </c>
      <c r="AI77" s="176">
        <f t="shared" si="32"/>
        <v>483333.33333333337</v>
      </c>
      <c r="AJ77" s="176">
        <f t="shared" si="33"/>
        <v>0</v>
      </c>
      <c r="AK77" s="113">
        <f t="shared" si="34"/>
        <v>483333.33333333337</v>
      </c>
      <c r="AL77" s="113">
        <f t="shared" si="4"/>
        <v>371083.85010085691</v>
      </c>
      <c r="AM77" s="114">
        <f t="shared" si="35"/>
        <v>9.1666666666666661</v>
      </c>
      <c r="AN77" s="114">
        <f t="shared" si="36"/>
        <v>3.7020081376604678E-3</v>
      </c>
      <c r="AO77" s="114">
        <f t="shared" si="37"/>
        <v>93.194444444444429</v>
      </c>
    </row>
    <row r="78" spans="1:41" hidden="1" outlineLevel="1" x14ac:dyDescent="0.3">
      <c r="A78" s="146">
        <f t="shared" si="5"/>
        <v>56</v>
      </c>
      <c r="B78" s="147">
        <f t="shared" si="1"/>
        <v>229</v>
      </c>
      <c r="C78" s="147">
        <f t="shared" si="0"/>
        <v>131</v>
      </c>
      <c r="D78" s="149">
        <f t="shared" si="6"/>
        <v>361977141.02588099</v>
      </c>
      <c r="E78" s="149">
        <f t="shared" si="7"/>
        <v>2668426.9434649851</v>
      </c>
      <c r="F78" s="149">
        <f t="shared" si="2"/>
        <v>1821080.3006232551</v>
      </c>
      <c r="G78" s="149">
        <f t="shared" si="8"/>
        <v>1760377.6239358133</v>
      </c>
      <c r="H78" s="149">
        <f t="shared" si="9"/>
        <v>60702.676687441766</v>
      </c>
      <c r="I78" s="149">
        <f t="shared" si="10"/>
        <v>847346.64284173003</v>
      </c>
      <c r="J78" s="147">
        <f t="shared" si="11"/>
        <v>4.4999999999999998E-2</v>
      </c>
      <c r="K78" s="175">
        <f t="shared" si="12"/>
        <v>3.8296430163020645E-3</v>
      </c>
      <c r="L78" s="149">
        <f t="shared" si="13"/>
        <v>1391572.4559282768</v>
      </c>
      <c r="M78" s="149">
        <f t="shared" si="14"/>
        <v>3999296.7227058201</v>
      </c>
      <c r="N78" s="149">
        <f t="shared" si="15"/>
        <v>2238919.0987700066</v>
      </c>
      <c r="P78" s="149">
        <f t="shared" si="16"/>
        <v>61977141.02588103</v>
      </c>
      <c r="Q78" s="149">
        <f t="shared" si="17"/>
        <v>310377.62393581338</v>
      </c>
      <c r="R78" s="176">
        <f t="shared" si="18"/>
        <v>2238919.0987700066</v>
      </c>
      <c r="S78" s="113">
        <f t="shared" si="19"/>
        <v>2549296.7227058201</v>
      </c>
      <c r="T78" s="113">
        <f t="shared" si="20"/>
        <v>1947865.1225406653</v>
      </c>
      <c r="U78" s="114">
        <f t="shared" si="21"/>
        <v>9.3333333333333339</v>
      </c>
      <c r="V78" s="114">
        <f t="shared" si="22"/>
        <v>9.7334816476924227E-3</v>
      </c>
      <c r="W78" s="114">
        <f t="shared" si="23"/>
        <v>96.444444444444457</v>
      </c>
      <c r="X78" s="114"/>
      <c r="Y78" s="149">
        <f t="shared" si="24"/>
        <v>200000000</v>
      </c>
      <c r="Z78" s="149">
        <f t="shared" si="25"/>
        <v>966666.66666666674</v>
      </c>
      <c r="AA78" s="176">
        <f t="shared" si="26"/>
        <v>0</v>
      </c>
      <c r="AB78" s="113">
        <f t="shared" si="27"/>
        <v>966666.66666666674</v>
      </c>
      <c r="AC78" s="113">
        <f t="shared" si="3"/>
        <v>738610.09130553354</v>
      </c>
      <c r="AD78" s="114">
        <f t="shared" si="28"/>
        <v>9.3333333333333339</v>
      </c>
      <c r="AE78" s="114">
        <f t="shared" si="29"/>
        <v>3.686833702737233E-3</v>
      </c>
      <c r="AF78" s="114">
        <f t="shared" si="30"/>
        <v>96.444444444444457</v>
      </c>
      <c r="AG78" s="114"/>
      <c r="AH78" s="176">
        <f t="shared" si="31"/>
        <v>100000000</v>
      </c>
      <c r="AI78" s="176">
        <f t="shared" si="32"/>
        <v>483333.33333333337</v>
      </c>
      <c r="AJ78" s="176">
        <f t="shared" si="33"/>
        <v>0</v>
      </c>
      <c r="AK78" s="113">
        <f t="shared" si="34"/>
        <v>483333.33333333337</v>
      </c>
      <c r="AL78" s="113">
        <f t="shared" si="4"/>
        <v>369305.04565276677</v>
      </c>
      <c r="AM78" s="114">
        <f t="shared" si="35"/>
        <v>9.3333333333333339</v>
      </c>
      <c r="AN78" s="114">
        <f t="shared" si="36"/>
        <v>3.6842624218597223E-3</v>
      </c>
      <c r="AO78" s="114">
        <f t="shared" si="37"/>
        <v>96.444444444444457</v>
      </c>
    </row>
    <row r="79" spans="1:41" hidden="1" outlineLevel="1" x14ac:dyDescent="0.3">
      <c r="A79" s="146">
        <f t="shared" si="5"/>
        <v>57</v>
      </c>
      <c r="B79" s="147">
        <f t="shared" si="1"/>
        <v>228</v>
      </c>
      <c r="C79" s="147">
        <f t="shared" si="0"/>
        <v>132</v>
      </c>
      <c r="D79" s="149">
        <f t="shared" si="6"/>
        <v>359745824.45082933</v>
      </c>
      <c r="E79" s="149">
        <f t="shared" si="7"/>
        <v>2658207.820856432</v>
      </c>
      <c r="F79" s="149">
        <f t="shared" si="2"/>
        <v>1809885.705129405</v>
      </c>
      <c r="G79" s="149">
        <f t="shared" si="8"/>
        <v>1749556.1816250915</v>
      </c>
      <c r="H79" s="149">
        <f t="shared" si="9"/>
        <v>60329.523504313547</v>
      </c>
      <c r="I79" s="149">
        <f t="shared" si="10"/>
        <v>848322.11572702695</v>
      </c>
      <c r="J79" s="147">
        <f t="shared" si="11"/>
        <v>4.4999999999999998E-2</v>
      </c>
      <c r="K79" s="175">
        <f t="shared" si="12"/>
        <v>3.8296430163020645E-3</v>
      </c>
      <c r="L79" s="149">
        <f t="shared" si="13"/>
        <v>1382994.4593246842</v>
      </c>
      <c r="M79" s="149">
        <f t="shared" si="14"/>
        <v>3980872.7566768024</v>
      </c>
      <c r="N79" s="149">
        <f t="shared" si="15"/>
        <v>2231316.5750517109</v>
      </c>
      <c r="P79" s="149">
        <f t="shared" si="16"/>
        <v>59745824.45082932</v>
      </c>
      <c r="Q79" s="149">
        <f t="shared" si="17"/>
        <v>299556.18162509165</v>
      </c>
      <c r="R79" s="176">
        <f t="shared" si="18"/>
        <v>2231316.5750517109</v>
      </c>
      <c r="S79" s="113">
        <f t="shared" si="19"/>
        <v>2530872.7566768024</v>
      </c>
      <c r="T79" s="113">
        <f t="shared" si="20"/>
        <v>1924518.0649432845</v>
      </c>
      <c r="U79" s="114">
        <f t="shared" si="21"/>
        <v>9.5</v>
      </c>
      <c r="V79" s="114">
        <f t="shared" si="22"/>
        <v>9.616816405308844E-3</v>
      </c>
      <c r="W79" s="114">
        <f t="shared" si="23"/>
        <v>99.75</v>
      </c>
      <c r="X79" s="114"/>
      <c r="Y79" s="149">
        <f t="shared" si="24"/>
        <v>200000000</v>
      </c>
      <c r="Z79" s="149">
        <f t="shared" si="25"/>
        <v>966666.66666666674</v>
      </c>
      <c r="AA79" s="176">
        <f t="shared" si="26"/>
        <v>0</v>
      </c>
      <c r="AB79" s="113">
        <f t="shared" si="27"/>
        <v>966666.66666666674</v>
      </c>
      <c r="AC79" s="113">
        <f t="shared" si="3"/>
        <v>735069.53594193712</v>
      </c>
      <c r="AD79" s="114">
        <f t="shared" si="28"/>
        <v>9.5</v>
      </c>
      <c r="AE79" s="114">
        <f t="shared" si="29"/>
        <v>3.6691607261632982E-3</v>
      </c>
      <c r="AF79" s="114">
        <f t="shared" si="30"/>
        <v>99.75</v>
      </c>
      <c r="AG79" s="114"/>
      <c r="AH79" s="176">
        <f t="shared" si="31"/>
        <v>100000000</v>
      </c>
      <c r="AI79" s="176">
        <f t="shared" si="32"/>
        <v>483333.33333333337</v>
      </c>
      <c r="AJ79" s="176">
        <f t="shared" si="33"/>
        <v>0</v>
      </c>
      <c r="AK79" s="113">
        <f t="shared" si="34"/>
        <v>483333.33333333337</v>
      </c>
      <c r="AL79" s="113">
        <f t="shared" si="4"/>
        <v>367534.76797096856</v>
      </c>
      <c r="AM79" s="114">
        <f t="shared" si="35"/>
        <v>9.5</v>
      </c>
      <c r="AN79" s="114">
        <f t="shared" si="36"/>
        <v>3.6666017708177688E-3</v>
      </c>
      <c r="AO79" s="114">
        <f t="shared" si="37"/>
        <v>99.75</v>
      </c>
    </row>
    <row r="80" spans="1:41" hidden="1" outlineLevel="1" x14ac:dyDescent="0.3">
      <c r="A80" s="146">
        <f t="shared" si="5"/>
        <v>58</v>
      </c>
      <c r="B80" s="147">
        <f t="shared" si="1"/>
        <v>227</v>
      </c>
      <c r="C80" s="147">
        <f t="shared" si="0"/>
        <v>133</v>
      </c>
      <c r="D80" s="149">
        <f t="shared" si="6"/>
        <v>357522080.16587168</v>
      </c>
      <c r="E80" s="149">
        <f t="shared" si="7"/>
        <v>2648027.8338394095</v>
      </c>
      <c r="F80" s="149">
        <f t="shared" si="2"/>
        <v>1798729.1222541467</v>
      </c>
      <c r="G80" s="149">
        <f t="shared" si="8"/>
        <v>1738771.4848456751</v>
      </c>
      <c r="H80" s="149">
        <f t="shared" si="9"/>
        <v>59957.637408471666</v>
      </c>
      <c r="I80" s="149">
        <f t="shared" si="10"/>
        <v>849298.71158526279</v>
      </c>
      <c r="J80" s="147">
        <f t="shared" si="11"/>
        <v>4.4999999999999998E-2</v>
      </c>
      <c r="K80" s="175">
        <f t="shared" si="12"/>
        <v>3.8296430163020645E-3</v>
      </c>
      <c r="L80" s="149">
        <f t="shared" si="13"/>
        <v>1374445.5733723701</v>
      </c>
      <c r="M80" s="149">
        <f t="shared" si="14"/>
        <v>3962515.769803308</v>
      </c>
      <c r="N80" s="149">
        <f t="shared" si="15"/>
        <v>2223744.2849576329</v>
      </c>
      <c r="P80" s="149">
        <f t="shared" si="16"/>
        <v>57522080.165871687</v>
      </c>
      <c r="Q80" s="149">
        <f t="shared" si="17"/>
        <v>288771.48484567506</v>
      </c>
      <c r="R80" s="176">
        <f t="shared" si="18"/>
        <v>2223744.2849576329</v>
      </c>
      <c r="S80" s="113">
        <f t="shared" si="19"/>
        <v>2512515.769803308</v>
      </c>
      <c r="T80" s="113">
        <f t="shared" si="20"/>
        <v>1901400.7672249274</v>
      </c>
      <c r="U80" s="114">
        <f t="shared" si="21"/>
        <v>9.6666666666666661</v>
      </c>
      <c r="V80" s="114">
        <f t="shared" si="22"/>
        <v>9.501299272997147E-3</v>
      </c>
      <c r="W80" s="114">
        <f t="shared" si="23"/>
        <v>103.1111111111111</v>
      </c>
      <c r="X80" s="114"/>
      <c r="Y80" s="149">
        <f t="shared" si="24"/>
        <v>200000000</v>
      </c>
      <c r="Z80" s="149">
        <f t="shared" si="25"/>
        <v>966666.66666666674</v>
      </c>
      <c r="AA80" s="176">
        <f t="shared" si="26"/>
        <v>0</v>
      </c>
      <c r="AB80" s="113">
        <f t="shared" si="27"/>
        <v>966666.66666666674</v>
      </c>
      <c r="AC80" s="113">
        <f t="shared" si="3"/>
        <v>731545.95236417267</v>
      </c>
      <c r="AD80" s="114">
        <f t="shared" si="28"/>
        <v>9.6666666666666661</v>
      </c>
      <c r="AE80" s="114">
        <f t="shared" si="29"/>
        <v>3.6515724656699285E-3</v>
      </c>
      <c r="AF80" s="114">
        <f t="shared" si="30"/>
        <v>103.1111111111111</v>
      </c>
      <c r="AG80" s="114"/>
      <c r="AH80" s="176">
        <f t="shared" si="31"/>
        <v>100000000</v>
      </c>
      <c r="AI80" s="176">
        <f t="shared" si="32"/>
        <v>483333.33333333337</v>
      </c>
      <c r="AJ80" s="176">
        <f t="shared" si="33"/>
        <v>0</v>
      </c>
      <c r="AK80" s="113">
        <f t="shared" si="34"/>
        <v>483333.33333333337</v>
      </c>
      <c r="AL80" s="113">
        <f t="shared" si="4"/>
        <v>365772.97618208634</v>
      </c>
      <c r="AM80" s="114">
        <f t="shared" si="35"/>
        <v>9.6666666666666661</v>
      </c>
      <c r="AN80" s="114">
        <f t="shared" si="36"/>
        <v>3.6490257767734778E-3</v>
      </c>
      <c r="AO80" s="114">
        <f t="shared" si="37"/>
        <v>103.1111111111111</v>
      </c>
    </row>
    <row r="81" spans="1:41" hidden="1" outlineLevel="1" x14ac:dyDescent="0.3">
      <c r="A81" s="146">
        <f t="shared" si="5"/>
        <v>59</v>
      </c>
      <c r="B81" s="147">
        <f t="shared" si="1"/>
        <v>226</v>
      </c>
      <c r="C81" s="147">
        <f t="shared" si="0"/>
        <v>134</v>
      </c>
      <c r="D81" s="149">
        <f t="shared" si="6"/>
        <v>355305878.05188006</v>
      </c>
      <c r="E81" s="149">
        <f t="shared" si="7"/>
        <v>2637886.8325385731</v>
      </c>
      <c r="F81" s="149">
        <f t="shared" si="2"/>
        <v>1787610.4008293585</v>
      </c>
      <c r="G81" s="149">
        <f t="shared" si="8"/>
        <v>1728023.3874683799</v>
      </c>
      <c r="H81" s="149">
        <f t="shared" si="9"/>
        <v>59587.01336097857</v>
      </c>
      <c r="I81" s="149">
        <f t="shared" si="10"/>
        <v>850276.43170921458</v>
      </c>
      <c r="J81" s="147">
        <f t="shared" si="11"/>
        <v>4.4999999999999998E-2</v>
      </c>
      <c r="K81" s="175">
        <f t="shared" si="12"/>
        <v>3.8296430163020645E-3</v>
      </c>
      <c r="L81" s="149">
        <f t="shared" si="13"/>
        <v>1365925.6822823959</v>
      </c>
      <c r="M81" s="149">
        <f t="shared" si="14"/>
        <v>3944225.5014599906</v>
      </c>
      <c r="N81" s="149">
        <f t="shared" si="15"/>
        <v>2216202.1139916107</v>
      </c>
      <c r="P81" s="149">
        <f t="shared" si="16"/>
        <v>55305878.051880077</v>
      </c>
      <c r="Q81" s="149">
        <f t="shared" si="17"/>
        <v>278023.38746837986</v>
      </c>
      <c r="R81" s="176">
        <f t="shared" si="18"/>
        <v>2216202.1139916107</v>
      </c>
      <c r="S81" s="113">
        <f t="shared" si="19"/>
        <v>2494225.5014599906</v>
      </c>
      <c r="T81" s="113">
        <f t="shared" si="20"/>
        <v>1878511.1238661422</v>
      </c>
      <c r="U81" s="114">
        <f t="shared" si="21"/>
        <v>9.8333333333333339</v>
      </c>
      <c r="V81" s="114">
        <f t="shared" si="22"/>
        <v>9.3869197294770296E-3</v>
      </c>
      <c r="W81" s="114">
        <f t="shared" si="23"/>
        <v>106.52777777777779</v>
      </c>
      <c r="X81" s="114"/>
      <c r="Y81" s="149">
        <f t="shared" si="24"/>
        <v>200000000</v>
      </c>
      <c r="Z81" s="149">
        <f t="shared" si="25"/>
        <v>966666.66666666674</v>
      </c>
      <c r="AA81" s="176">
        <f t="shared" si="26"/>
        <v>0</v>
      </c>
      <c r="AB81" s="113">
        <f t="shared" si="27"/>
        <v>966666.66666666674</v>
      </c>
      <c r="AC81" s="113">
        <f t="shared" si="3"/>
        <v>728039.25921734306</v>
      </c>
      <c r="AD81" s="114">
        <f t="shared" si="28"/>
        <v>9.8333333333333339</v>
      </c>
      <c r="AE81" s="114">
        <f t="shared" si="29"/>
        <v>3.6340685151673878E-3</v>
      </c>
      <c r="AF81" s="114">
        <f t="shared" si="30"/>
        <v>106.52777777777779</v>
      </c>
      <c r="AG81" s="114"/>
      <c r="AH81" s="176">
        <f t="shared" si="31"/>
        <v>100000000</v>
      </c>
      <c r="AI81" s="176">
        <f t="shared" si="32"/>
        <v>483333.33333333337</v>
      </c>
      <c r="AJ81" s="176">
        <f t="shared" si="33"/>
        <v>0</v>
      </c>
      <c r="AK81" s="113">
        <f t="shared" si="34"/>
        <v>483333.33333333337</v>
      </c>
      <c r="AL81" s="113">
        <f t="shared" si="4"/>
        <v>364019.62960867153</v>
      </c>
      <c r="AM81" s="114">
        <f t="shared" si="35"/>
        <v>9.8333333333333339</v>
      </c>
      <c r="AN81" s="114">
        <f t="shared" si="36"/>
        <v>3.6315340339203284E-3</v>
      </c>
      <c r="AO81" s="114">
        <f t="shared" si="37"/>
        <v>106.52777777777779</v>
      </c>
    </row>
    <row r="82" spans="1:41" hidden="1" outlineLevel="1" x14ac:dyDescent="0.3">
      <c r="A82" s="146">
        <f t="shared" si="5"/>
        <v>60</v>
      </c>
      <c r="B82" s="147">
        <f t="shared" si="1"/>
        <v>225</v>
      </c>
      <c r="C82" s="147">
        <f t="shared" si="0"/>
        <v>135</v>
      </c>
      <c r="D82" s="149">
        <f t="shared" si="6"/>
        <v>353097188.10378259</v>
      </c>
      <c r="E82" s="149">
        <f t="shared" si="7"/>
        <v>2627784.6676525464</v>
      </c>
      <c r="F82" s="149">
        <f t="shared" si="2"/>
        <v>1776529.3902594002</v>
      </c>
      <c r="G82" s="149">
        <f t="shared" si="8"/>
        <v>1717311.7439174203</v>
      </c>
      <c r="H82" s="149">
        <f t="shared" si="9"/>
        <v>59217.646341979969</v>
      </c>
      <c r="I82" s="149">
        <f t="shared" si="10"/>
        <v>851255.27739314619</v>
      </c>
      <c r="J82" s="147">
        <f t="shared" si="11"/>
        <v>4.4999999999999998E-2</v>
      </c>
      <c r="K82" s="175">
        <f t="shared" si="12"/>
        <v>3.8296430163020645E-3</v>
      </c>
      <c r="L82" s="149">
        <f t="shared" si="13"/>
        <v>1357434.6707042966</v>
      </c>
      <c r="M82" s="149">
        <f t="shared" si="14"/>
        <v>3926001.6920148628</v>
      </c>
      <c r="N82" s="149">
        <f t="shared" si="15"/>
        <v>2208689.9480974427</v>
      </c>
      <c r="P82" s="149">
        <f t="shared" si="16"/>
        <v>53097188.103782631</v>
      </c>
      <c r="Q82" s="149">
        <f t="shared" si="17"/>
        <v>267311.74391742039</v>
      </c>
      <c r="R82" s="176">
        <f t="shared" si="18"/>
        <v>2208689.9480974427</v>
      </c>
      <c r="S82" s="113">
        <f t="shared" si="19"/>
        <v>2476001.6920148632</v>
      </c>
      <c r="T82" s="113">
        <f t="shared" si="20"/>
        <v>1855847.048044927</v>
      </c>
      <c r="U82" s="114">
        <f t="shared" si="21"/>
        <v>10</v>
      </c>
      <c r="V82" s="114">
        <f t="shared" si="22"/>
        <v>9.2736673468993419E-3</v>
      </c>
      <c r="W82" s="114">
        <f t="shared" si="23"/>
        <v>110</v>
      </c>
      <c r="X82" s="114"/>
      <c r="Y82" s="149">
        <f t="shared" si="24"/>
        <v>200000000</v>
      </c>
      <c r="Z82" s="149">
        <f t="shared" si="25"/>
        <v>966666.66666666674</v>
      </c>
      <c r="AA82" s="176">
        <f t="shared" si="26"/>
        <v>0</v>
      </c>
      <c r="AB82" s="113">
        <f t="shared" si="27"/>
        <v>966666.66666666674</v>
      </c>
      <c r="AC82" s="113">
        <f t="shared" si="3"/>
        <v>724549.37553653074</v>
      </c>
      <c r="AD82" s="114">
        <f t="shared" si="28"/>
        <v>10</v>
      </c>
      <c r="AE82" s="114">
        <f t="shared" si="29"/>
        <v>3.6166484705125565E-3</v>
      </c>
      <c r="AF82" s="114">
        <f t="shared" si="30"/>
        <v>110</v>
      </c>
      <c r="AG82" s="114"/>
      <c r="AH82" s="176">
        <f t="shared" si="31"/>
        <v>100000000</v>
      </c>
      <c r="AI82" s="176">
        <f t="shared" si="32"/>
        <v>483333.33333333337</v>
      </c>
      <c r="AJ82" s="176">
        <f t="shared" si="33"/>
        <v>0</v>
      </c>
      <c r="AK82" s="113">
        <f t="shared" si="34"/>
        <v>483333.33333333337</v>
      </c>
      <c r="AL82" s="113">
        <f t="shared" si="4"/>
        <v>362274.68776826537</v>
      </c>
      <c r="AM82" s="114">
        <f t="shared" si="35"/>
        <v>10</v>
      </c>
      <c r="AN82" s="114">
        <f t="shared" si="36"/>
        <v>3.6141261383970604E-3</v>
      </c>
      <c r="AO82" s="114">
        <f t="shared" si="37"/>
        <v>110</v>
      </c>
    </row>
    <row r="83" spans="1:41" hidden="1" outlineLevel="1" x14ac:dyDescent="0.3">
      <c r="A83" s="146">
        <f t="shared" si="5"/>
        <v>61</v>
      </c>
      <c r="B83" s="147">
        <f t="shared" si="1"/>
        <v>224</v>
      </c>
      <c r="C83" s="147">
        <f t="shared" si="0"/>
        <v>136</v>
      </c>
      <c r="D83" s="149">
        <f t="shared" si="6"/>
        <v>350895980.43012536</v>
      </c>
      <c r="E83" s="149">
        <f t="shared" si="7"/>
        <v>2617721.1904517254</v>
      </c>
      <c r="F83" s="149">
        <f t="shared" si="2"/>
        <v>1765485.9405189131</v>
      </c>
      <c r="G83" s="149">
        <f t="shared" si="8"/>
        <v>1706636.4091682825</v>
      </c>
      <c r="H83" s="149">
        <f t="shared" si="9"/>
        <v>58849.531350630568</v>
      </c>
      <c r="I83" s="149">
        <f t="shared" si="10"/>
        <v>852235.24993281229</v>
      </c>
      <c r="J83" s="147">
        <f t="shared" si="11"/>
        <v>4.4999999999999998E-2</v>
      </c>
      <c r="K83" s="175">
        <f t="shared" si="12"/>
        <v>3.8296430163020645E-3</v>
      </c>
      <c r="L83" s="149">
        <f t="shared" si="13"/>
        <v>1348972.4237243957</v>
      </c>
      <c r="M83" s="149">
        <f t="shared" si="14"/>
        <v>3907844.0828254907</v>
      </c>
      <c r="N83" s="149">
        <f t="shared" si="15"/>
        <v>2201207.6736572077</v>
      </c>
      <c r="P83" s="149">
        <f t="shared" si="16"/>
        <v>50895980.430125423</v>
      </c>
      <c r="Q83" s="149">
        <f t="shared" si="17"/>
        <v>256636.40916828273</v>
      </c>
      <c r="R83" s="176">
        <f t="shared" si="18"/>
        <v>2201207.6736572077</v>
      </c>
      <c r="S83" s="113">
        <f t="shared" si="19"/>
        <v>2457844.0828254903</v>
      </c>
      <c r="T83" s="113">
        <f t="shared" si="20"/>
        <v>1833406.4714731872</v>
      </c>
      <c r="U83" s="114">
        <f t="shared" si="21"/>
        <v>10.166666666666666</v>
      </c>
      <c r="V83" s="114">
        <f t="shared" si="22"/>
        <v>9.161531790028871E-3</v>
      </c>
      <c r="W83" s="114">
        <f t="shared" si="23"/>
        <v>113.52777777777777</v>
      </c>
      <c r="X83" s="114"/>
      <c r="Y83" s="149">
        <f t="shared" si="24"/>
        <v>200000000</v>
      </c>
      <c r="Z83" s="149">
        <f t="shared" si="25"/>
        <v>966666.66666666674</v>
      </c>
      <c r="AA83" s="176">
        <f t="shared" si="26"/>
        <v>0</v>
      </c>
      <c r="AB83" s="113">
        <f t="shared" si="27"/>
        <v>966666.66666666674</v>
      </c>
      <c r="AC83" s="113">
        <f t="shared" si="3"/>
        <v>721076.22074492509</v>
      </c>
      <c r="AD83" s="114">
        <f t="shared" si="28"/>
        <v>10.166666666666666</v>
      </c>
      <c r="AE83" s="114">
        <f t="shared" si="29"/>
        <v>3.5993119294995819E-3</v>
      </c>
      <c r="AF83" s="114">
        <f t="shared" si="30"/>
        <v>113.52777777777777</v>
      </c>
      <c r="AG83" s="114"/>
      <c r="AH83" s="176">
        <f t="shared" si="31"/>
        <v>100000000</v>
      </c>
      <c r="AI83" s="176">
        <f t="shared" si="32"/>
        <v>483333.33333333337</v>
      </c>
      <c r="AJ83" s="176">
        <f t="shared" si="33"/>
        <v>0</v>
      </c>
      <c r="AK83" s="113">
        <f t="shared" si="34"/>
        <v>483333.33333333337</v>
      </c>
      <c r="AL83" s="113">
        <f t="shared" si="4"/>
        <v>360538.11037246254</v>
      </c>
      <c r="AM83" s="114">
        <f t="shared" si="35"/>
        <v>10.166666666666666</v>
      </c>
      <c r="AN83" s="114">
        <f t="shared" si="36"/>
        <v>3.5968016882783282E-3</v>
      </c>
      <c r="AO83" s="114">
        <f t="shared" si="37"/>
        <v>113.52777777777777</v>
      </c>
    </row>
    <row r="84" spans="1:41" hidden="1" outlineLevel="1" x14ac:dyDescent="0.3">
      <c r="A84" s="146">
        <f t="shared" si="5"/>
        <v>62</v>
      </c>
      <c r="B84" s="147">
        <f t="shared" si="1"/>
        <v>223</v>
      </c>
      <c r="C84" s="147">
        <f t="shared" si="0"/>
        <v>137</v>
      </c>
      <c r="D84" s="149">
        <f t="shared" si="6"/>
        <v>348702225.25263578</v>
      </c>
      <c r="E84" s="149">
        <f t="shared" si="7"/>
        <v>2607696.2527760859</v>
      </c>
      <c r="F84" s="149">
        <f t="shared" si="2"/>
        <v>1754479.9021506268</v>
      </c>
      <c r="G84" s="149">
        <f t="shared" si="8"/>
        <v>1695997.238745606</v>
      </c>
      <c r="H84" s="149">
        <f t="shared" si="9"/>
        <v>58482.663405020721</v>
      </c>
      <c r="I84" s="149">
        <f t="shared" si="10"/>
        <v>853216.3506254591</v>
      </c>
      <c r="J84" s="147">
        <f t="shared" si="11"/>
        <v>4.4999999999999998E-2</v>
      </c>
      <c r="K84" s="175">
        <f t="shared" si="12"/>
        <v>3.8296430163020645E-3</v>
      </c>
      <c r="L84" s="149">
        <f t="shared" si="13"/>
        <v>1340538.826864128</v>
      </c>
      <c r="M84" s="149">
        <f t="shared" si="14"/>
        <v>3889752.4162351931</v>
      </c>
      <c r="N84" s="149">
        <f t="shared" si="15"/>
        <v>2193755.1774895871</v>
      </c>
      <c r="P84" s="149">
        <f t="shared" si="16"/>
        <v>48702225.252635837</v>
      </c>
      <c r="Q84" s="149">
        <f t="shared" si="17"/>
        <v>245997.23874560621</v>
      </c>
      <c r="R84" s="176">
        <f t="shared" si="18"/>
        <v>2193755.1774895871</v>
      </c>
      <c r="S84" s="113">
        <f t="shared" si="19"/>
        <v>2439752.4162351931</v>
      </c>
      <c r="T84" s="113">
        <f t="shared" si="20"/>
        <v>1811187.3442346258</v>
      </c>
      <c r="U84" s="114">
        <f t="shared" si="21"/>
        <v>10.333333333333334</v>
      </c>
      <c r="V84" s="114">
        <f t="shared" si="22"/>
        <v>9.0505028154342689E-3</v>
      </c>
      <c r="W84" s="114">
        <f t="shared" si="23"/>
        <v>117.11111111111113</v>
      </c>
      <c r="X84" s="114"/>
      <c r="Y84" s="149">
        <f t="shared" si="24"/>
        <v>200000000</v>
      </c>
      <c r="Z84" s="149">
        <f t="shared" si="25"/>
        <v>966666.66666666674</v>
      </c>
      <c r="AA84" s="176">
        <f t="shared" si="26"/>
        <v>0</v>
      </c>
      <c r="AB84" s="113">
        <f t="shared" si="27"/>
        <v>966666.66666666674</v>
      </c>
      <c r="AC84" s="113">
        <f t="shared" si="3"/>
        <v>717619.71465196379</v>
      </c>
      <c r="AD84" s="114">
        <f t="shared" si="28"/>
        <v>10.333333333333334</v>
      </c>
      <c r="AE84" s="114">
        <f t="shared" si="29"/>
        <v>3.5820584918506036E-3</v>
      </c>
      <c r="AF84" s="114">
        <f t="shared" si="30"/>
        <v>117.11111111111113</v>
      </c>
      <c r="AG84" s="114"/>
      <c r="AH84" s="176">
        <f t="shared" si="31"/>
        <v>100000000</v>
      </c>
      <c r="AI84" s="176">
        <f t="shared" si="32"/>
        <v>483333.33333333337</v>
      </c>
      <c r="AJ84" s="176">
        <f t="shared" si="33"/>
        <v>0</v>
      </c>
      <c r="AK84" s="113">
        <f t="shared" si="34"/>
        <v>483333.33333333337</v>
      </c>
      <c r="AL84" s="113">
        <f t="shared" si="4"/>
        <v>358809.85732598189</v>
      </c>
      <c r="AM84" s="114">
        <f t="shared" si="35"/>
        <v>10.333333333333334</v>
      </c>
      <c r="AN84" s="114">
        <f t="shared" si="36"/>
        <v>3.579560283565434E-3</v>
      </c>
      <c r="AO84" s="114">
        <f t="shared" si="37"/>
        <v>117.11111111111113</v>
      </c>
    </row>
    <row r="85" spans="1:41" hidden="1" outlineLevel="1" x14ac:dyDescent="0.3">
      <c r="A85" s="146">
        <f t="shared" si="5"/>
        <v>63</v>
      </c>
      <c r="B85" s="147">
        <f t="shared" si="1"/>
        <v>222</v>
      </c>
      <c r="C85" s="147">
        <f t="shared" si="0"/>
        <v>138</v>
      </c>
      <c r="D85" s="149">
        <f t="shared" si="6"/>
        <v>346515892.90578759</v>
      </c>
      <c r="E85" s="149">
        <f t="shared" si="7"/>
        <v>2597709.7070330051</v>
      </c>
      <c r="F85" s="149">
        <f t="shared" si="2"/>
        <v>1743511.1262631789</v>
      </c>
      <c r="G85" s="149">
        <f t="shared" si="8"/>
        <v>1685394.088721073</v>
      </c>
      <c r="H85" s="149">
        <f t="shared" si="9"/>
        <v>58117.037542105885</v>
      </c>
      <c r="I85" s="149">
        <f t="shared" si="10"/>
        <v>854198.58076982619</v>
      </c>
      <c r="J85" s="147">
        <f t="shared" si="11"/>
        <v>4.4999999999999998E-2</v>
      </c>
      <c r="K85" s="175">
        <f t="shared" si="12"/>
        <v>3.8296430163020645E-3</v>
      </c>
      <c r="L85" s="149">
        <f t="shared" si="13"/>
        <v>1332133.7660783657</v>
      </c>
      <c r="M85" s="149">
        <f t="shared" si="14"/>
        <v>3871726.4355692649</v>
      </c>
      <c r="N85" s="149">
        <f t="shared" si="15"/>
        <v>2186332.3468481917</v>
      </c>
      <c r="P85" s="149">
        <f t="shared" si="16"/>
        <v>46515892.905787647</v>
      </c>
      <c r="Q85" s="149">
        <f t="shared" si="17"/>
        <v>235394.08872107323</v>
      </c>
      <c r="R85" s="176">
        <f t="shared" si="18"/>
        <v>2186332.3468481917</v>
      </c>
      <c r="S85" s="113">
        <f t="shared" si="19"/>
        <v>2421726.4355692649</v>
      </c>
      <c r="T85" s="113">
        <f t="shared" si="20"/>
        <v>1789187.6346240283</v>
      </c>
      <c r="U85" s="114">
        <f t="shared" si="21"/>
        <v>10.5</v>
      </c>
      <c r="V85" s="114">
        <f t="shared" si="22"/>
        <v>8.9405702706849624E-3</v>
      </c>
      <c r="W85" s="114">
        <f t="shared" si="23"/>
        <v>120.75</v>
      </c>
      <c r="X85" s="114"/>
      <c r="Y85" s="149">
        <f t="shared" si="24"/>
        <v>200000000</v>
      </c>
      <c r="Z85" s="149">
        <f t="shared" si="25"/>
        <v>966666.66666666674</v>
      </c>
      <c r="AA85" s="176">
        <f t="shared" si="26"/>
        <v>0</v>
      </c>
      <c r="AB85" s="113">
        <f t="shared" si="27"/>
        <v>966666.66666666674</v>
      </c>
      <c r="AC85" s="113">
        <f t="shared" si="3"/>
        <v>714179.77745148167</v>
      </c>
      <c r="AD85" s="114">
        <f t="shared" si="28"/>
        <v>10.5</v>
      </c>
      <c r="AE85" s="114">
        <f t="shared" si="29"/>
        <v>3.5648877592065098E-3</v>
      </c>
      <c r="AF85" s="114">
        <f t="shared" si="30"/>
        <v>120.75</v>
      </c>
      <c r="AG85" s="114"/>
      <c r="AH85" s="176">
        <f t="shared" si="31"/>
        <v>100000000</v>
      </c>
      <c r="AI85" s="176">
        <f t="shared" si="32"/>
        <v>483333.33333333337</v>
      </c>
      <c r="AJ85" s="176">
        <f t="shared" si="33"/>
        <v>0</v>
      </c>
      <c r="AK85" s="113">
        <f t="shared" si="34"/>
        <v>483333.33333333337</v>
      </c>
      <c r="AL85" s="113">
        <f t="shared" si="4"/>
        <v>357089.88872574084</v>
      </c>
      <c r="AM85" s="114">
        <f t="shared" si="35"/>
        <v>10.5</v>
      </c>
      <c r="AN85" s="114">
        <f t="shared" si="36"/>
        <v>3.5624015261770908E-3</v>
      </c>
      <c r="AO85" s="114">
        <f t="shared" si="37"/>
        <v>120.75</v>
      </c>
    </row>
    <row r="86" spans="1:41" hidden="1" outlineLevel="1" x14ac:dyDescent="0.3">
      <c r="A86" s="146">
        <f t="shared" si="5"/>
        <v>64</v>
      </c>
      <c r="B86" s="147">
        <f t="shared" si="1"/>
        <v>221</v>
      </c>
      <c r="C86" s="147">
        <f t="shared" ref="C86:C149" si="38">IF($A86&gt;$B$4,"",$B$11*$B$13-B86)</f>
        <v>139</v>
      </c>
      <c r="D86" s="149">
        <f t="shared" si="6"/>
        <v>344336953.83636773</v>
      </c>
      <c r="E86" s="149">
        <f t="shared" si="7"/>
        <v>2587761.406195086</v>
      </c>
      <c r="F86" s="149">
        <f t="shared" si="2"/>
        <v>1732579.4645289381</v>
      </c>
      <c r="G86" s="149">
        <f t="shared" si="8"/>
        <v>1674826.8157113066</v>
      </c>
      <c r="H86" s="149">
        <f t="shared" si="9"/>
        <v>57752.648817631416</v>
      </c>
      <c r="I86" s="149">
        <f t="shared" si="10"/>
        <v>855181.9416661479</v>
      </c>
      <c r="J86" s="147">
        <f t="shared" si="11"/>
        <v>4.4999999999999998E-2</v>
      </c>
      <c r="K86" s="175">
        <f t="shared" si="12"/>
        <v>3.8296430163020645E-3</v>
      </c>
      <c r="L86" s="149">
        <f t="shared" si="13"/>
        <v>1323757.1277537541</v>
      </c>
      <c r="M86" s="149">
        <f t="shared" si="14"/>
        <v>3853765.8851312087</v>
      </c>
      <c r="N86" s="149">
        <f t="shared" si="15"/>
        <v>2178939.0694199018</v>
      </c>
      <c r="P86" s="149">
        <f t="shared" si="16"/>
        <v>44336953.836367741</v>
      </c>
      <c r="Q86" s="149">
        <f t="shared" si="17"/>
        <v>224826.81571130696</v>
      </c>
      <c r="R86" s="176">
        <f t="shared" si="18"/>
        <v>2178939.0694199018</v>
      </c>
      <c r="S86" s="113">
        <f t="shared" si="19"/>
        <v>2403765.8851312087</v>
      </c>
      <c r="T86" s="113">
        <f t="shared" si="20"/>
        <v>1767405.3289879493</v>
      </c>
      <c r="U86" s="114">
        <f t="shared" si="21"/>
        <v>10.666666666666666</v>
      </c>
      <c r="V86" s="114">
        <f t="shared" si="22"/>
        <v>8.8317240935550691E-3</v>
      </c>
      <c r="W86" s="114">
        <f t="shared" si="23"/>
        <v>124.44444444444443</v>
      </c>
      <c r="X86" s="114"/>
      <c r="Y86" s="149">
        <f t="shared" si="24"/>
        <v>200000000</v>
      </c>
      <c r="Z86" s="149">
        <f t="shared" si="25"/>
        <v>966666.66666666674</v>
      </c>
      <c r="AA86" s="176">
        <f t="shared" si="26"/>
        <v>0</v>
      </c>
      <c r="AB86" s="113">
        <f t="shared" si="27"/>
        <v>966666.66666666674</v>
      </c>
      <c r="AC86" s="113">
        <f t="shared" si="3"/>
        <v>710756.32971986663</v>
      </c>
      <c r="AD86" s="114">
        <f t="shared" si="28"/>
        <v>10.666666666666666</v>
      </c>
      <c r="AE86" s="114">
        <f t="shared" si="29"/>
        <v>3.5477993351177351E-3</v>
      </c>
      <c r="AF86" s="114">
        <f t="shared" si="30"/>
        <v>124.44444444444443</v>
      </c>
      <c r="AG86" s="114"/>
      <c r="AH86" s="176">
        <f t="shared" si="31"/>
        <v>100000000</v>
      </c>
      <c r="AI86" s="176">
        <f t="shared" si="32"/>
        <v>483333.33333333337</v>
      </c>
      <c r="AJ86" s="176">
        <f t="shared" si="33"/>
        <v>0</v>
      </c>
      <c r="AK86" s="113">
        <f t="shared" si="34"/>
        <v>483333.33333333337</v>
      </c>
      <c r="AL86" s="113">
        <f t="shared" si="4"/>
        <v>355378.16485993331</v>
      </c>
      <c r="AM86" s="114">
        <f t="shared" si="35"/>
        <v>10.666666666666666</v>
      </c>
      <c r="AN86" s="114">
        <f t="shared" si="36"/>
        <v>3.5453250199402263E-3</v>
      </c>
      <c r="AO86" s="114">
        <f t="shared" si="37"/>
        <v>124.44444444444443</v>
      </c>
    </row>
    <row r="87" spans="1:41" hidden="1" outlineLevel="1" x14ac:dyDescent="0.3">
      <c r="A87" s="146">
        <f t="shared" si="5"/>
        <v>65</v>
      </c>
      <c r="B87" s="147">
        <f t="shared" ref="B87:B150" si="39">IF(A87&gt;$B$4,"",B$4-A87)</f>
        <v>220</v>
      </c>
      <c r="C87" s="147">
        <f t="shared" si="38"/>
        <v>140</v>
      </c>
      <c r="D87" s="149">
        <f t="shared" si="6"/>
        <v>342165378.60304451</v>
      </c>
      <c r="E87" s="149">
        <f t="shared" si="7"/>
        <v>2577851.2037979951</v>
      </c>
      <c r="F87" s="149">
        <f t="shared" ref="F87:F150" si="40">IF(A87&gt;$B$4,"",D86*$B$15)</f>
        <v>1721684.7691818387</v>
      </c>
      <c r="G87" s="149">
        <f t="shared" ref="G87:G150" si="41">IF(A87&gt;$B$4,"",D86*$B$16)</f>
        <v>1664295.2768757774</v>
      </c>
      <c r="H87" s="149">
        <f t="shared" si="9"/>
        <v>57389.492306061322</v>
      </c>
      <c r="I87" s="149">
        <f t="shared" si="10"/>
        <v>856166.43461615639</v>
      </c>
      <c r="J87" s="147">
        <f t="shared" si="11"/>
        <v>4.4999999999999998E-2</v>
      </c>
      <c r="K87" s="175">
        <f t="shared" ref="K87:K150" si="42">IF(A87&gt;$B$4,"",1-(1-J87)^(1/$B$11))</f>
        <v>3.8296430163020645E-3</v>
      </c>
      <c r="L87" s="149">
        <f t="shared" si="13"/>
        <v>1315408.7987070521</v>
      </c>
      <c r="M87" s="149">
        <f t="shared" si="14"/>
        <v>3835870.5101989862</v>
      </c>
      <c r="N87" s="149">
        <f t="shared" si="15"/>
        <v>2171575.2333232085</v>
      </c>
      <c r="P87" s="149">
        <f t="shared" si="16"/>
        <v>42165378.603044532</v>
      </c>
      <c r="Q87" s="149">
        <f t="shared" si="17"/>
        <v>214295.27687577743</v>
      </c>
      <c r="R87" s="176">
        <f t="shared" si="18"/>
        <v>2171575.2333232085</v>
      </c>
      <c r="S87" s="113">
        <f t="shared" si="19"/>
        <v>2385870.5101989862</v>
      </c>
      <c r="T87" s="113">
        <f t="shared" ref="T87:T150" si="43">IF(A87&gt;$B$4,"",S87/(1+$B$14)^(A87/$B$11*$B$8))</f>
        <v>1745838.4315667835</v>
      </c>
      <c r="U87" s="114">
        <f t="shared" si="21"/>
        <v>10.833333333333334</v>
      </c>
      <c r="V87" s="114">
        <f t="shared" si="22"/>
        <v>8.7239543112342197E-3</v>
      </c>
      <c r="W87" s="114">
        <f t="shared" si="23"/>
        <v>128.19444444444446</v>
      </c>
      <c r="X87" s="114"/>
      <c r="Y87" s="149">
        <f t="shared" si="24"/>
        <v>200000000</v>
      </c>
      <c r="Z87" s="149">
        <f t="shared" si="25"/>
        <v>966666.66666666674</v>
      </c>
      <c r="AA87" s="176">
        <f t="shared" si="26"/>
        <v>0</v>
      </c>
      <c r="AB87" s="113">
        <f t="shared" si="27"/>
        <v>966666.66666666674</v>
      </c>
      <c r="AC87" s="113">
        <f t="shared" ref="AC87:AC150" si="44">IF(A87&gt;$B$4,"",AB87/(1+$B$14)^(A87/$B$11*$B$8))</f>
        <v>707349.29241422727</v>
      </c>
      <c r="AD87" s="114">
        <f t="shared" si="28"/>
        <v>10.833333333333334</v>
      </c>
      <c r="AE87" s="114">
        <f t="shared" si="29"/>
        <v>3.5307928250351123E-3</v>
      </c>
      <c r="AF87" s="114">
        <f t="shared" si="30"/>
        <v>128.19444444444446</v>
      </c>
      <c r="AG87" s="114"/>
      <c r="AH87" s="176">
        <f t="shared" si="31"/>
        <v>100000000</v>
      </c>
      <c r="AI87" s="176">
        <f t="shared" si="32"/>
        <v>483333.33333333337</v>
      </c>
      <c r="AJ87" s="176">
        <f t="shared" si="33"/>
        <v>0</v>
      </c>
      <c r="AK87" s="113">
        <f t="shared" si="34"/>
        <v>483333.33333333337</v>
      </c>
      <c r="AL87" s="113">
        <f t="shared" ref="AL87:AL150" si="45">IF(A87&gt;$B$4,"",AK87/(1+$B$14)^(A87/$B$11*$B$8))</f>
        <v>353674.64620711363</v>
      </c>
      <c r="AM87" s="114">
        <f t="shared" si="35"/>
        <v>10.833333333333334</v>
      </c>
      <c r="AN87" s="114">
        <f t="shared" si="36"/>
        <v>3.5283303705808408E-3</v>
      </c>
      <c r="AO87" s="114">
        <f t="shared" si="37"/>
        <v>128.19444444444446</v>
      </c>
    </row>
    <row r="88" spans="1:41" hidden="1" outlineLevel="1" x14ac:dyDescent="0.3">
      <c r="A88" s="146">
        <f t="shared" ref="A88:A151" si="46">A87+1</f>
        <v>66</v>
      </c>
      <c r="B88" s="147">
        <f t="shared" si="39"/>
        <v>219</v>
      </c>
      <c r="C88" s="147">
        <f t="shared" si="38"/>
        <v>141</v>
      </c>
      <c r="D88" s="149">
        <f t="shared" ref="D88:D151" si="47">IF(A88&gt;$B$4,"",D87-I88-L88)</f>
        <v>340001137.87593794</v>
      </c>
      <c r="E88" s="149">
        <f t="shared" ref="E88:E151" si="48">IF(A88&gt;$B$4,"",MIN(E87*(1-K87),D87*(1+$B$15)))</f>
        <v>2567978.9539383044</v>
      </c>
      <c r="F88" s="149">
        <f t="shared" si="40"/>
        <v>1710826.8930152226</v>
      </c>
      <c r="G88" s="149">
        <f t="shared" si="41"/>
        <v>1653799.3299147151</v>
      </c>
      <c r="H88" s="149">
        <f t="shared" ref="H88:H151" si="49">IF(A88&gt;$B$4,"",F88-G88)</f>
        <v>57027.563100507483</v>
      </c>
      <c r="I88" s="149">
        <f t="shared" ref="I88:I151" si="50">IF(A88&gt;$B$4,"",E88-F88)</f>
        <v>857152.06092308182</v>
      </c>
      <c r="J88" s="147">
        <f t="shared" ref="J88:J151" si="51">IF(A88&gt;$B$4,"",$B$9/100*MIN(C88/30,1)*0.06)</f>
        <v>4.4999999999999998E-2</v>
      </c>
      <c r="K88" s="175">
        <f t="shared" si="42"/>
        <v>3.8296430163020645E-3</v>
      </c>
      <c r="L88" s="149">
        <f t="shared" ref="L88:L151" si="52">IF(A88&gt;$B$4,"",(D87-I88)*K88)</f>
        <v>1307088.6661834782</v>
      </c>
      <c r="M88" s="149">
        <f t="shared" ref="M88:M151" si="53">IF(A88&gt;$B$4,"",G88+I88+L88)</f>
        <v>3818040.0570212752</v>
      </c>
      <c r="N88" s="149">
        <f t="shared" ref="N88:N151" si="54">IF($A88&gt;$B$4,"",I88+L88)</f>
        <v>2164240.72710656</v>
      </c>
      <c r="P88" s="149">
        <f t="shared" ref="P88:P151" si="55">IF($A88&gt;$B$4,"",MAX(0,P87-R88))</f>
        <v>40001137.875937968</v>
      </c>
      <c r="Q88" s="149">
        <f t="shared" ref="Q88:Q151" si="56">IF($A88&gt;$B$4,"",IF(P87&gt;0,$H$6*P87,0))</f>
        <v>203799.32991471526</v>
      </c>
      <c r="R88" s="176">
        <f t="shared" ref="R88:R151" si="57">IF($A88&gt;$B$4,"",MIN(P87,$N88))</f>
        <v>2164240.72710656</v>
      </c>
      <c r="S88" s="113">
        <f t="shared" ref="S88:S151" si="58">IF($A88&gt;$B$4,"",Q88+R88)</f>
        <v>2368040.0570212752</v>
      </c>
      <c r="T88" s="113">
        <f t="shared" si="43"/>
        <v>1724484.9643381997</v>
      </c>
      <c r="U88" s="114">
        <f t="shared" ref="U88:U151" si="59">IF($A88&gt;$B$4,"",A88/6)</f>
        <v>11</v>
      </c>
      <c r="V88" s="114">
        <f t="shared" ref="V88:V151" si="60">IF($A88&gt;$B$4,"",T88/$T$21)</f>
        <v>8.6172510395451998E-3</v>
      </c>
      <c r="W88" s="114">
        <f t="shared" ref="W88:W151" si="61">IF($A88&gt;$B$4,"",U88*(U88+1))</f>
        <v>132</v>
      </c>
      <c r="X88" s="114"/>
      <c r="Y88" s="149">
        <f t="shared" ref="Y88:Y151" si="62">IF($A88&gt;$B$4,"",MAX(0,Y87-AA88))</f>
        <v>200000000</v>
      </c>
      <c r="Z88" s="149">
        <f t="shared" ref="Z88:Z151" si="63">IF($A88&gt;$B$4,"",IF(Y87&gt;0,$H$7*Y87,0))</f>
        <v>966666.66666666674</v>
      </c>
      <c r="AA88" s="176">
        <f t="shared" ref="AA88:AA151" si="64">IF($A88&gt;$B$4,"",IF(P88&gt;0,0,MIN(Y87,$N88-R88)))</f>
        <v>0</v>
      </c>
      <c r="AB88" s="113">
        <f t="shared" ref="AB88:AB151" si="65">IF($A88&gt;$B$4,"",Z88+AA88)</f>
        <v>966666.66666666674</v>
      </c>
      <c r="AC88" s="113">
        <f t="shared" si="44"/>
        <v>703958.58687056683</v>
      </c>
      <c r="AD88" s="114">
        <f t="shared" ref="AD88:AD151" si="66">IF($A88&gt;$B$4,"",A88/6)</f>
        <v>11</v>
      </c>
      <c r="AE88" s="114">
        <f t="shared" ref="AE88:AE151" si="67">IF($A88&gt;$B$4,"",AC88/$AC$21)</f>
        <v>3.5138678363007599E-3</v>
      </c>
      <c r="AF88" s="114">
        <f t="shared" ref="AF88:AF151" si="68">IF($A88&gt;$B$4,"",AD88*(AD88+1))</f>
        <v>132</v>
      </c>
      <c r="AG88" s="114"/>
      <c r="AH88" s="176">
        <f t="shared" ref="AH88:AH151" si="69">IF($A88&gt;$B$4,"",MAX(0,AH87-AJ88))</f>
        <v>100000000</v>
      </c>
      <c r="AI88" s="176">
        <f t="shared" ref="AI88:AI151" si="70">IF($A88&gt;$B$4,"",IF(AH87&gt;0,$H$8*AH87,0))</f>
        <v>483333.33333333337</v>
      </c>
      <c r="AJ88" s="176">
        <f t="shared" ref="AJ88:AJ151" si="71">IF($A88&gt;$B$4,"",IF(Y88&gt;0,0,MIN(AH87,$N88-AA88)))</f>
        <v>0</v>
      </c>
      <c r="AK88" s="113">
        <f t="shared" ref="AK88:AK151" si="72">IF($A88&gt;$B$4,"",AI88+AJ88)</f>
        <v>483333.33333333337</v>
      </c>
      <c r="AL88" s="113">
        <f t="shared" si="45"/>
        <v>351979.29343528341</v>
      </c>
      <c r="AM88" s="114">
        <f t="shared" ref="AM88:AM151" si="73">IF($A88&gt;$B$4,"",A88/6)</f>
        <v>11</v>
      </c>
      <c r="AN88" s="114">
        <f t="shared" ref="AN88:AN151" si="74">IF($A88&gt;$B$4,"",AL88/$AL$21)</f>
        <v>3.5114171857149002E-3</v>
      </c>
      <c r="AO88" s="114">
        <f t="shared" ref="AO88:AO151" si="75">IF($A88&gt;$B$4,"",AM88*(AM88+1))</f>
        <v>132</v>
      </c>
    </row>
    <row r="89" spans="1:41" hidden="1" outlineLevel="1" x14ac:dyDescent="0.3">
      <c r="A89" s="146">
        <f t="shared" si="46"/>
        <v>67</v>
      </c>
      <c r="B89" s="147">
        <f t="shared" si="39"/>
        <v>218</v>
      </c>
      <c r="C89" s="147">
        <f t="shared" si="38"/>
        <v>142</v>
      </c>
      <c r="D89" s="149">
        <f t="shared" si="47"/>
        <v>337844202.4361912</v>
      </c>
      <c r="E89" s="149">
        <f t="shared" si="48"/>
        <v>2558144.511271344</v>
      </c>
      <c r="F89" s="149">
        <f t="shared" si="40"/>
        <v>1700005.6893796897</v>
      </c>
      <c r="G89" s="149">
        <f t="shared" si="41"/>
        <v>1643338.8330670334</v>
      </c>
      <c r="H89" s="149">
        <f t="shared" si="49"/>
        <v>56666.856312656309</v>
      </c>
      <c r="I89" s="149">
        <f t="shared" si="50"/>
        <v>858138.82189165428</v>
      </c>
      <c r="J89" s="147">
        <f t="shared" si="51"/>
        <v>4.4999999999999998E-2</v>
      </c>
      <c r="K89" s="175">
        <f t="shared" si="42"/>
        <v>3.8296430163020645E-3</v>
      </c>
      <c r="L89" s="149">
        <f t="shared" si="52"/>
        <v>1298796.617855066</v>
      </c>
      <c r="M89" s="149">
        <f t="shared" si="53"/>
        <v>3800274.2728137537</v>
      </c>
      <c r="N89" s="149">
        <f t="shared" si="54"/>
        <v>2156935.4397467203</v>
      </c>
      <c r="P89" s="149">
        <f t="shared" si="55"/>
        <v>37844202.436191246</v>
      </c>
      <c r="Q89" s="149">
        <f t="shared" si="56"/>
        <v>193338.83306703353</v>
      </c>
      <c r="R89" s="176">
        <f t="shared" si="57"/>
        <v>2156935.4397467203</v>
      </c>
      <c r="S89" s="113">
        <f t="shared" si="58"/>
        <v>2350274.2728137537</v>
      </c>
      <c r="T89" s="113">
        <f t="shared" si="43"/>
        <v>1703342.9668619451</v>
      </c>
      <c r="U89" s="114">
        <f t="shared" si="59"/>
        <v>11.166666666666666</v>
      </c>
      <c r="V89" s="114">
        <f t="shared" si="60"/>
        <v>8.5116044821684396E-3</v>
      </c>
      <c r="W89" s="114">
        <f t="shared" si="61"/>
        <v>135.86111111111109</v>
      </c>
      <c r="X89" s="114"/>
      <c r="Y89" s="149">
        <f t="shared" si="62"/>
        <v>200000000</v>
      </c>
      <c r="Z89" s="149">
        <f t="shared" si="63"/>
        <v>966666.66666666674</v>
      </c>
      <c r="AA89" s="176">
        <f t="shared" si="64"/>
        <v>0</v>
      </c>
      <c r="AB89" s="113">
        <f t="shared" si="65"/>
        <v>966666.66666666674</v>
      </c>
      <c r="AC89" s="113">
        <f t="shared" si="44"/>
        <v>700584.13480196754</v>
      </c>
      <c r="AD89" s="114">
        <f t="shared" si="66"/>
        <v>11.166666666666666</v>
      </c>
      <c r="AE89" s="114">
        <f t="shared" si="67"/>
        <v>3.4970239781390157E-3</v>
      </c>
      <c r="AF89" s="114">
        <f t="shared" si="68"/>
        <v>135.86111111111109</v>
      </c>
      <c r="AG89" s="114"/>
      <c r="AH89" s="176">
        <f t="shared" si="69"/>
        <v>100000000</v>
      </c>
      <c r="AI89" s="176">
        <f t="shared" si="70"/>
        <v>483333.33333333337</v>
      </c>
      <c r="AJ89" s="176">
        <f t="shared" si="71"/>
        <v>0</v>
      </c>
      <c r="AK89" s="113">
        <f t="shared" si="72"/>
        <v>483333.33333333337</v>
      </c>
      <c r="AL89" s="113">
        <f t="shared" si="45"/>
        <v>350292.06740098377</v>
      </c>
      <c r="AM89" s="114">
        <f t="shared" si="73"/>
        <v>11.166666666666666</v>
      </c>
      <c r="AN89" s="114">
        <f t="shared" si="74"/>
        <v>3.4945850748392794E-3</v>
      </c>
      <c r="AO89" s="114">
        <f t="shared" si="75"/>
        <v>135.86111111111109</v>
      </c>
    </row>
    <row r="90" spans="1:41" hidden="1" outlineLevel="1" x14ac:dyDescent="0.3">
      <c r="A90" s="146">
        <f t="shared" si="46"/>
        <v>68</v>
      </c>
      <c r="B90" s="147">
        <f t="shared" si="39"/>
        <v>217</v>
      </c>
      <c r="C90" s="147">
        <f t="shared" si="38"/>
        <v>143</v>
      </c>
      <c r="D90" s="149">
        <f t="shared" si="47"/>
        <v>335694543.17554408</v>
      </c>
      <c r="E90" s="149">
        <f t="shared" si="48"/>
        <v>2548347.7310090624</v>
      </c>
      <c r="F90" s="149">
        <f t="shared" si="40"/>
        <v>1689221.0121809561</v>
      </c>
      <c r="G90" s="149">
        <f t="shared" si="41"/>
        <v>1632913.6451082577</v>
      </c>
      <c r="H90" s="149">
        <f t="shared" si="49"/>
        <v>56307.367072698427</v>
      </c>
      <c r="I90" s="149">
        <f t="shared" si="50"/>
        <v>859126.7188281063</v>
      </c>
      <c r="J90" s="147">
        <f t="shared" si="51"/>
        <v>4.4999999999999998E-2</v>
      </c>
      <c r="K90" s="175">
        <f t="shared" si="42"/>
        <v>3.8296430163020645E-3</v>
      </c>
      <c r="L90" s="149">
        <f t="shared" si="52"/>
        <v>1290532.541819022</v>
      </c>
      <c r="M90" s="149">
        <f t="shared" si="53"/>
        <v>3782572.9057553858</v>
      </c>
      <c r="N90" s="149">
        <f t="shared" si="54"/>
        <v>2149659.2606471283</v>
      </c>
      <c r="P90" s="149">
        <f t="shared" si="55"/>
        <v>35694543.17554412</v>
      </c>
      <c r="Q90" s="149">
        <f t="shared" si="56"/>
        <v>182913.64510825771</v>
      </c>
      <c r="R90" s="176">
        <f t="shared" si="57"/>
        <v>2149659.2606471283</v>
      </c>
      <c r="S90" s="113">
        <f t="shared" si="58"/>
        <v>2332572.9057553862</v>
      </c>
      <c r="T90" s="113">
        <f t="shared" si="43"/>
        <v>1682410.4961259866</v>
      </c>
      <c r="U90" s="114">
        <f t="shared" si="59"/>
        <v>11.333333333333334</v>
      </c>
      <c r="V90" s="114">
        <f t="shared" si="60"/>
        <v>8.4070049298731776E-3</v>
      </c>
      <c r="W90" s="114">
        <f t="shared" si="61"/>
        <v>139.7777777777778</v>
      </c>
      <c r="X90" s="114"/>
      <c r="Y90" s="149">
        <f t="shared" si="62"/>
        <v>200000000</v>
      </c>
      <c r="Z90" s="149">
        <f t="shared" si="63"/>
        <v>966666.66666666674</v>
      </c>
      <c r="AA90" s="176">
        <f t="shared" si="64"/>
        <v>0</v>
      </c>
      <c r="AB90" s="113">
        <f t="shared" si="65"/>
        <v>966666.66666666674</v>
      </c>
      <c r="AC90" s="113">
        <f t="shared" si="44"/>
        <v>697225.85829678318</v>
      </c>
      <c r="AD90" s="114">
        <f t="shared" si="66"/>
        <v>11.333333333333334</v>
      </c>
      <c r="AE90" s="114">
        <f t="shared" si="67"/>
        <v>3.4802608616474181E-3</v>
      </c>
      <c r="AF90" s="114">
        <f t="shared" si="68"/>
        <v>139.7777777777778</v>
      </c>
      <c r="AG90" s="114"/>
      <c r="AH90" s="176">
        <f t="shared" si="69"/>
        <v>100000000</v>
      </c>
      <c r="AI90" s="176">
        <f t="shared" si="70"/>
        <v>483333.33333333337</v>
      </c>
      <c r="AJ90" s="176">
        <f t="shared" si="71"/>
        <v>0</v>
      </c>
      <c r="AK90" s="113">
        <f t="shared" si="72"/>
        <v>483333.33333333337</v>
      </c>
      <c r="AL90" s="113">
        <f t="shared" si="45"/>
        <v>348612.92914839159</v>
      </c>
      <c r="AM90" s="114">
        <f t="shared" si="73"/>
        <v>11.333333333333334</v>
      </c>
      <c r="AN90" s="114">
        <f t="shared" si="74"/>
        <v>3.4778336493227454E-3</v>
      </c>
      <c r="AO90" s="114">
        <f t="shared" si="75"/>
        <v>139.7777777777778</v>
      </c>
    </row>
    <row r="91" spans="1:41" hidden="1" outlineLevel="1" x14ac:dyDescent="0.3">
      <c r="A91" s="146">
        <f t="shared" si="46"/>
        <v>69</v>
      </c>
      <c r="B91" s="147">
        <f t="shared" si="39"/>
        <v>216</v>
      </c>
      <c r="C91" s="147">
        <f t="shared" si="38"/>
        <v>144</v>
      </c>
      <c r="D91" s="149">
        <f t="shared" si="47"/>
        <v>333552131.09590781</v>
      </c>
      <c r="E91" s="149">
        <f t="shared" si="48"/>
        <v>2538588.4689178942</v>
      </c>
      <c r="F91" s="149">
        <f t="shared" si="40"/>
        <v>1678472.7158777204</v>
      </c>
      <c r="G91" s="149">
        <f t="shared" si="41"/>
        <v>1622523.6253484632</v>
      </c>
      <c r="H91" s="149">
        <f t="shared" si="49"/>
        <v>55949.090529257199</v>
      </c>
      <c r="I91" s="149">
        <f t="shared" si="50"/>
        <v>860115.75304017379</v>
      </c>
      <c r="J91" s="147">
        <f t="shared" si="51"/>
        <v>4.4999999999999998E-2</v>
      </c>
      <c r="K91" s="175">
        <f t="shared" si="42"/>
        <v>3.8296430163020645E-3</v>
      </c>
      <c r="L91" s="149">
        <f t="shared" si="52"/>
        <v>1282296.3265960924</v>
      </c>
      <c r="M91" s="149">
        <f t="shared" si="53"/>
        <v>3764935.7049847292</v>
      </c>
      <c r="N91" s="149">
        <f t="shared" si="54"/>
        <v>2142412.0796362665</v>
      </c>
      <c r="P91" s="149">
        <f t="shared" si="55"/>
        <v>33552131.095907852</v>
      </c>
      <c r="Q91" s="149">
        <f t="shared" si="56"/>
        <v>172523.62534846325</v>
      </c>
      <c r="R91" s="176">
        <f t="shared" si="57"/>
        <v>2142412.0796362665</v>
      </c>
      <c r="S91" s="113">
        <f t="shared" si="58"/>
        <v>2314935.7049847296</v>
      </c>
      <c r="T91" s="113">
        <f t="shared" si="43"/>
        <v>1661685.6263939929</v>
      </c>
      <c r="U91" s="114">
        <f t="shared" si="59"/>
        <v>11.5</v>
      </c>
      <c r="V91" s="114">
        <f t="shared" si="60"/>
        <v>8.303442759755331E-3</v>
      </c>
      <c r="W91" s="114">
        <f t="shared" si="61"/>
        <v>143.75</v>
      </c>
      <c r="X91" s="114"/>
      <c r="Y91" s="149">
        <f t="shared" si="62"/>
        <v>200000000</v>
      </c>
      <c r="Z91" s="149">
        <f t="shared" si="63"/>
        <v>966666.66666666674</v>
      </c>
      <c r="AA91" s="176">
        <f t="shared" si="64"/>
        <v>0</v>
      </c>
      <c r="AB91" s="113">
        <f t="shared" si="65"/>
        <v>966666.66666666674</v>
      </c>
      <c r="AC91" s="113">
        <f t="shared" si="44"/>
        <v>693883.67981683929</v>
      </c>
      <c r="AD91" s="114">
        <f t="shared" si="66"/>
        <v>11.5</v>
      </c>
      <c r="AE91" s="114">
        <f t="shared" si="67"/>
        <v>3.4635780997877199E-3</v>
      </c>
      <c r="AF91" s="114">
        <f t="shared" si="68"/>
        <v>143.75</v>
      </c>
      <c r="AG91" s="114"/>
      <c r="AH91" s="176">
        <f t="shared" si="69"/>
        <v>100000000</v>
      </c>
      <c r="AI91" s="176">
        <f t="shared" si="70"/>
        <v>483333.33333333337</v>
      </c>
      <c r="AJ91" s="176">
        <f t="shared" si="71"/>
        <v>0</v>
      </c>
      <c r="AK91" s="113">
        <f t="shared" si="72"/>
        <v>483333.33333333337</v>
      </c>
      <c r="AL91" s="113">
        <f t="shared" si="45"/>
        <v>346941.83990841964</v>
      </c>
      <c r="AM91" s="114">
        <f t="shared" si="73"/>
        <v>11.5</v>
      </c>
      <c r="AN91" s="114">
        <f t="shared" si="74"/>
        <v>3.4611625223969801E-3</v>
      </c>
      <c r="AO91" s="114">
        <f t="shared" si="75"/>
        <v>143.75</v>
      </c>
    </row>
    <row r="92" spans="1:41" hidden="1" outlineLevel="1" x14ac:dyDescent="0.3">
      <c r="A92" s="146">
        <f t="shared" si="46"/>
        <v>70</v>
      </c>
      <c r="B92" s="147">
        <f t="shared" si="39"/>
        <v>215</v>
      </c>
      <c r="C92" s="147">
        <f t="shared" si="38"/>
        <v>145</v>
      </c>
      <c r="D92" s="149">
        <f t="shared" si="47"/>
        <v>331416937.30894178</v>
      </c>
      <c r="E92" s="149">
        <f t="shared" si="48"/>
        <v>2528866.5813166378</v>
      </c>
      <c r="F92" s="149">
        <f t="shared" si="40"/>
        <v>1667760.6554795392</v>
      </c>
      <c r="G92" s="149">
        <f t="shared" si="41"/>
        <v>1612168.6336302212</v>
      </c>
      <c r="H92" s="149">
        <f t="shared" si="49"/>
        <v>55592.021849317942</v>
      </c>
      <c r="I92" s="149">
        <f t="shared" si="50"/>
        <v>861105.92583709862</v>
      </c>
      <c r="J92" s="147">
        <f t="shared" si="51"/>
        <v>4.4999999999999998E-2</v>
      </c>
      <c r="K92" s="175">
        <f t="shared" si="42"/>
        <v>3.8296430163020645E-3</v>
      </c>
      <c r="L92" s="149">
        <f t="shared" si="52"/>
        <v>1274087.8611289356</v>
      </c>
      <c r="M92" s="149">
        <f t="shared" si="53"/>
        <v>3747362.4205962555</v>
      </c>
      <c r="N92" s="149">
        <f t="shared" si="54"/>
        <v>2135193.7869660342</v>
      </c>
      <c r="P92" s="149">
        <f t="shared" si="55"/>
        <v>31416937.308941819</v>
      </c>
      <c r="Q92" s="149">
        <f t="shared" si="56"/>
        <v>162168.6336302213</v>
      </c>
      <c r="R92" s="176">
        <f t="shared" si="57"/>
        <v>2135193.7869660342</v>
      </c>
      <c r="S92" s="113">
        <f t="shared" si="58"/>
        <v>2297362.4205962555</v>
      </c>
      <c r="T92" s="113">
        <f t="shared" si="43"/>
        <v>1641166.4490541425</v>
      </c>
      <c r="U92" s="114">
        <f t="shared" si="59"/>
        <v>11.666666666666666</v>
      </c>
      <c r="V92" s="114">
        <f t="shared" si="60"/>
        <v>8.2009084344819901E-3</v>
      </c>
      <c r="W92" s="114">
        <f t="shared" si="61"/>
        <v>147.77777777777777</v>
      </c>
      <c r="X92" s="114"/>
      <c r="Y92" s="149">
        <f t="shared" si="62"/>
        <v>200000000</v>
      </c>
      <c r="Z92" s="149">
        <f t="shared" si="63"/>
        <v>966666.66666666674</v>
      </c>
      <c r="AA92" s="176">
        <f t="shared" si="64"/>
        <v>0</v>
      </c>
      <c r="AB92" s="113">
        <f t="shared" si="65"/>
        <v>966666.66666666674</v>
      </c>
      <c r="AC92" s="113">
        <f t="shared" si="44"/>
        <v>690557.52219564433</v>
      </c>
      <c r="AD92" s="114">
        <f t="shared" si="66"/>
        <v>11.666666666666666</v>
      </c>
      <c r="AE92" s="114">
        <f t="shared" si="67"/>
        <v>3.4469753073769604E-3</v>
      </c>
      <c r="AF92" s="114">
        <f t="shared" si="68"/>
        <v>147.77777777777777</v>
      </c>
      <c r="AG92" s="114"/>
      <c r="AH92" s="176">
        <f t="shared" si="69"/>
        <v>100000000</v>
      </c>
      <c r="AI92" s="176">
        <f t="shared" si="70"/>
        <v>483333.33333333337</v>
      </c>
      <c r="AJ92" s="176">
        <f t="shared" si="71"/>
        <v>0</v>
      </c>
      <c r="AK92" s="113">
        <f t="shared" si="72"/>
        <v>483333.33333333337</v>
      </c>
      <c r="AL92" s="113">
        <f t="shared" si="45"/>
        <v>345278.76109782216</v>
      </c>
      <c r="AM92" s="114">
        <f t="shared" si="73"/>
        <v>11.666666666666666</v>
      </c>
      <c r="AN92" s="114">
        <f t="shared" si="74"/>
        <v>3.4445713091476589E-3</v>
      </c>
      <c r="AO92" s="114">
        <f t="shared" si="75"/>
        <v>147.77777777777777</v>
      </c>
    </row>
    <row r="93" spans="1:41" hidden="1" outlineLevel="1" x14ac:dyDescent="0.3">
      <c r="A93" s="146">
        <f t="shared" si="46"/>
        <v>71</v>
      </c>
      <c r="B93" s="147">
        <f t="shared" si="39"/>
        <v>214</v>
      </c>
      <c r="C93" s="147">
        <f t="shared" si="38"/>
        <v>146</v>
      </c>
      <c r="D93" s="149">
        <f t="shared" si="47"/>
        <v>329288933.03563166</v>
      </c>
      <c r="E93" s="149">
        <f t="shared" si="48"/>
        <v>2519181.9250743389</v>
      </c>
      <c r="F93" s="149">
        <f t="shared" si="40"/>
        <v>1657084.6865447089</v>
      </c>
      <c r="G93" s="149">
        <f t="shared" si="41"/>
        <v>1601848.530326552</v>
      </c>
      <c r="H93" s="149">
        <f t="shared" si="49"/>
        <v>55236.156218156917</v>
      </c>
      <c r="I93" s="149">
        <f t="shared" si="50"/>
        <v>862097.23852963001</v>
      </c>
      <c r="J93" s="147">
        <f t="shared" si="51"/>
        <v>4.4999999999999998E-2</v>
      </c>
      <c r="K93" s="175">
        <f t="shared" si="42"/>
        <v>3.8296430163020645E-3</v>
      </c>
      <c r="L93" s="149">
        <f t="shared" si="52"/>
        <v>1265907.0347804998</v>
      </c>
      <c r="M93" s="149">
        <f t="shared" si="53"/>
        <v>3729852.8036366813</v>
      </c>
      <c r="N93" s="149">
        <f t="shared" si="54"/>
        <v>2128004.2733101295</v>
      </c>
      <c r="P93" s="149">
        <f t="shared" si="55"/>
        <v>29288933.03563169</v>
      </c>
      <c r="Q93" s="149">
        <f t="shared" si="56"/>
        <v>151848.53032655214</v>
      </c>
      <c r="R93" s="176">
        <f t="shared" si="57"/>
        <v>2128004.2733101295</v>
      </c>
      <c r="S93" s="113">
        <f t="shared" si="58"/>
        <v>2279852.8036366818</v>
      </c>
      <c r="T93" s="113">
        <f t="shared" si="43"/>
        <v>1620851.0724692398</v>
      </c>
      <c r="U93" s="114">
        <f t="shared" si="59"/>
        <v>11.833333333333334</v>
      </c>
      <c r="V93" s="114">
        <f t="shared" si="60"/>
        <v>8.0993925015424486E-3</v>
      </c>
      <c r="W93" s="114">
        <f t="shared" si="61"/>
        <v>151.86111111111111</v>
      </c>
      <c r="X93" s="114"/>
      <c r="Y93" s="149">
        <f t="shared" si="62"/>
        <v>200000000</v>
      </c>
      <c r="Z93" s="149">
        <f t="shared" si="63"/>
        <v>966666.66666666674</v>
      </c>
      <c r="AA93" s="176">
        <f t="shared" si="64"/>
        <v>0</v>
      </c>
      <c r="AB93" s="113">
        <f t="shared" si="65"/>
        <v>966666.66666666674</v>
      </c>
      <c r="AC93" s="113">
        <f t="shared" si="44"/>
        <v>687247.30863660679</v>
      </c>
      <c r="AD93" s="114">
        <f t="shared" si="66"/>
        <v>11.833333333333334</v>
      </c>
      <c r="AE93" s="114">
        <f t="shared" si="67"/>
        <v>3.4304521010785657E-3</v>
      </c>
      <c r="AF93" s="114">
        <f t="shared" si="68"/>
        <v>151.86111111111111</v>
      </c>
      <c r="AG93" s="114"/>
      <c r="AH93" s="176">
        <f t="shared" si="69"/>
        <v>100000000</v>
      </c>
      <c r="AI93" s="176">
        <f t="shared" si="70"/>
        <v>483333.33333333337</v>
      </c>
      <c r="AJ93" s="176">
        <f t="shared" si="71"/>
        <v>0</v>
      </c>
      <c r="AK93" s="113">
        <f t="shared" si="72"/>
        <v>483333.33333333337</v>
      </c>
      <c r="AL93" s="113">
        <f t="shared" si="45"/>
        <v>343623.65431830339</v>
      </c>
      <c r="AM93" s="114">
        <f t="shared" si="73"/>
        <v>11.833333333333334</v>
      </c>
      <c r="AN93" s="114">
        <f t="shared" si="74"/>
        <v>3.4280596265055547E-3</v>
      </c>
      <c r="AO93" s="114">
        <f t="shared" si="75"/>
        <v>151.86111111111111</v>
      </c>
    </row>
    <row r="94" spans="1:41" hidden="1" outlineLevel="1" x14ac:dyDescent="0.3">
      <c r="A94" s="146">
        <f t="shared" si="46"/>
        <v>72</v>
      </c>
      <c r="B94" s="147">
        <f t="shared" si="39"/>
        <v>213</v>
      </c>
      <c r="C94" s="147">
        <f t="shared" si="38"/>
        <v>147</v>
      </c>
      <c r="D94" s="149">
        <f t="shared" si="47"/>
        <v>327168089.60586923</v>
      </c>
      <c r="E94" s="149">
        <f t="shared" si="48"/>
        <v>2509534.3576081838</v>
      </c>
      <c r="F94" s="149">
        <f t="shared" si="40"/>
        <v>1646444.6651781583</v>
      </c>
      <c r="G94" s="149">
        <f t="shared" si="41"/>
        <v>1591563.1763388864</v>
      </c>
      <c r="H94" s="149">
        <f t="shared" si="49"/>
        <v>54881.488839271944</v>
      </c>
      <c r="I94" s="149">
        <f t="shared" si="50"/>
        <v>863089.69243002543</v>
      </c>
      <c r="J94" s="147">
        <f t="shared" si="51"/>
        <v>4.4999999999999998E-2</v>
      </c>
      <c r="K94" s="175">
        <f t="shared" si="42"/>
        <v>3.8296430163020645E-3</v>
      </c>
      <c r="L94" s="149">
        <f t="shared" si="52"/>
        <v>1257753.7373324081</v>
      </c>
      <c r="M94" s="149">
        <f t="shared" si="53"/>
        <v>3712406.6061013201</v>
      </c>
      <c r="N94" s="149">
        <f t="shared" si="54"/>
        <v>2120843.4297624333</v>
      </c>
      <c r="P94" s="149">
        <f t="shared" si="55"/>
        <v>27168089.605869256</v>
      </c>
      <c r="Q94" s="149">
        <f t="shared" si="56"/>
        <v>141563.17633888652</v>
      </c>
      <c r="R94" s="176">
        <f t="shared" si="57"/>
        <v>2120843.4297624333</v>
      </c>
      <c r="S94" s="113">
        <f t="shared" si="58"/>
        <v>2262406.6061013197</v>
      </c>
      <c r="T94" s="113">
        <f t="shared" si="43"/>
        <v>1600737.6218281344</v>
      </c>
      <c r="U94" s="114">
        <f t="shared" si="59"/>
        <v>12</v>
      </c>
      <c r="V94" s="114">
        <f t="shared" si="60"/>
        <v>7.9988855925057414E-3</v>
      </c>
      <c r="W94" s="114">
        <f t="shared" si="61"/>
        <v>156</v>
      </c>
      <c r="X94" s="114"/>
      <c r="Y94" s="149">
        <f t="shared" si="62"/>
        <v>200000000</v>
      </c>
      <c r="Z94" s="149">
        <f t="shared" si="63"/>
        <v>966666.66666666674</v>
      </c>
      <c r="AA94" s="176">
        <f t="shared" si="64"/>
        <v>0</v>
      </c>
      <c r="AB94" s="113">
        <f t="shared" si="65"/>
        <v>966666.66666666674</v>
      </c>
      <c r="AC94" s="113">
        <f t="shared" si="44"/>
        <v>683952.96271126263</v>
      </c>
      <c r="AD94" s="114">
        <f t="shared" si="66"/>
        <v>12</v>
      </c>
      <c r="AE94" s="114">
        <f t="shared" si="67"/>
        <v>3.4140080993935013E-3</v>
      </c>
      <c r="AF94" s="114">
        <f t="shared" si="68"/>
        <v>156</v>
      </c>
      <c r="AG94" s="114"/>
      <c r="AH94" s="176">
        <f t="shared" si="69"/>
        <v>100000000</v>
      </c>
      <c r="AI94" s="176">
        <f t="shared" si="70"/>
        <v>483333.33333333337</v>
      </c>
      <c r="AJ94" s="176">
        <f t="shared" si="71"/>
        <v>0</v>
      </c>
      <c r="AK94" s="113">
        <f t="shared" si="72"/>
        <v>483333.33333333337</v>
      </c>
      <c r="AL94" s="113">
        <f t="shared" si="45"/>
        <v>341976.48135563132</v>
      </c>
      <c r="AM94" s="114">
        <f t="shared" si="73"/>
        <v>12</v>
      </c>
      <c r="AN94" s="114">
        <f t="shared" si="74"/>
        <v>3.4116270932376988E-3</v>
      </c>
      <c r="AO94" s="114">
        <f t="shared" si="75"/>
        <v>156</v>
      </c>
    </row>
    <row r="95" spans="1:41" hidden="1" outlineLevel="1" x14ac:dyDescent="0.3">
      <c r="A95" s="146">
        <f t="shared" si="46"/>
        <v>73</v>
      </c>
      <c r="B95" s="147">
        <f t="shared" si="39"/>
        <v>212</v>
      </c>
      <c r="C95" s="147">
        <f t="shared" si="38"/>
        <v>148</v>
      </c>
      <c r="D95" s="149">
        <f t="shared" si="47"/>
        <v>325054378.45803386</v>
      </c>
      <c r="E95" s="149">
        <f t="shared" si="48"/>
        <v>2499923.7368813995</v>
      </c>
      <c r="F95" s="149">
        <f t="shared" si="40"/>
        <v>1635840.4480293463</v>
      </c>
      <c r="G95" s="149">
        <f t="shared" si="41"/>
        <v>1581312.4330950347</v>
      </c>
      <c r="H95" s="149">
        <f t="shared" si="49"/>
        <v>54528.014934311621</v>
      </c>
      <c r="I95" s="149">
        <f t="shared" si="50"/>
        <v>864083.28885205323</v>
      </c>
      <c r="J95" s="147">
        <f t="shared" si="51"/>
        <v>4.4999999999999998E-2</v>
      </c>
      <c r="K95" s="175">
        <f t="shared" si="42"/>
        <v>3.8296430163020645E-3</v>
      </c>
      <c r="L95" s="149">
        <f t="shared" si="52"/>
        <v>1249627.8589833498</v>
      </c>
      <c r="M95" s="149">
        <f t="shared" si="53"/>
        <v>3695023.5809304379</v>
      </c>
      <c r="N95" s="149">
        <f t="shared" si="54"/>
        <v>2113711.1478354027</v>
      </c>
      <c r="P95" s="149">
        <f t="shared" si="55"/>
        <v>25054378.458033852</v>
      </c>
      <c r="Q95" s="149">
        <f t="shared" si="56"/>
        <v>131312.43309503474</v>
      </c>
      <c r="R95" s="176">
        <f t="shared" si="57"/>
        <v>2113711.1478354027</v>
      </c>
      <c r="S95" s="113">
        <f t="shared" si="58"/>
        <v>2245023.5809304374</v>
      </c>
      <c r="T95" s="113">
        <f t="shared" si="43"/>
        <v>1580824.2389984329</v>
      </c>
      <c r="U95" s="114">
        <f t="shared" si="59"/>
        <v>12.166666666666666</v>
      </c>
      <c r="V95" s="114">
        <f t="shared" si="60"/>
        <v>7.8993784222846537E-3</v>
      </c>
      <c r="W95" s="114">
        <f t="shared" si="61"/>
        <v>160.19444444444443</v>
      </c>
      <c r="X95" s="114"/>
      <c r="Y95" s="149">
        <f t="shared" si="62"/>
        <v>200000000</v>
      </c>
      <c r="Z95" s="149">
        <f t="shared" si="63"/>
        <v>966666.66666666674</v>
      </c>
      <c r="AA95" s="176">
        <f t="shared" si="64"/>
        <v>0</v>
      </c>
      <c r="AB95" s="113">
        <f t="shared" si="65"/>
        <v>966666.66666666674</v>
      </c>
      <c r="AC95" s="113">
        <f t="shared" si="44"/>
        <v>680674.40835751058</v>
      </c>
      <c r="AD95" s="114">
        <f t="shared" si="66"/>
        <v>12.166666666666666</v>
      </c>
      <c r="AE95" s="114">
        <f t="shared" si="67"/>
        <v>3.3976429226514615E-3</v>
      </c>
      <c r="AF95" s="114">
        <f t="shared" si="68"/>
        <v>160.19444444444443</v>
      </c>
      <c r="AG95" s="114"/>
      <c r="AH95" s="176">
        <f t="shared" si="69"/>
        <v>100000000</v>
      </c>
      <c r="AI95" s="176">
        <f t="shared" si="70"/>
        <v>483333.33333333337</v>
      </c>
      <c r="AJ95" s="176">
        <f t="shared" si="71"/>
        <v>0</v>
      </c>
      <c r="AK95" s="113">
        <f t="shared" si="72"/>
        <v>483333.33333333337</v>
      </c>
      <c r="AL95" s="113">
        <f t="shared" si="45"/>
        <v>340337.20417875529</v>
      </c>
      <c r="AM95" s="114">
        <f t="shared" si="73"/>
        <v>12.166666666666666</v>
      </c>
      <c r="AN95" s="114">
        <f t="shared" si="74"/>
        <v>3.3952733299385772E-3</v>
      </c>
      <c r="AO95" s="114">
        <f t="shared" si="75"/>
        <v>160.19444444444443</v>
      </c>
    </row>
    <row r="96" spans="1:41" hidden="1" outlineLevel="1" x14ac:dyDescent="0.3">
      <c r="A96" s="146">
        <f t="shared" si="46"/>
        <v>74</v>
      </c>
      <c r="B96" s="147">
        <f t="shared" si="39"/>
        <v>211</v>
      </c>
      <c r="C96" s="147">
        <f t="shared" si="38"/>
        <v>149</v>
      </c>
      <c r="D96" s="149">
        <f t="shared" si="47"/>
        <v>322947771.13857543</v>
      </c>
      <c r="E96" s="149">
        <f t="shared" si="48"/>
        <v>2490349.921401164</v>
      </c>
      <c r="F96" s="149">
        <f t="shared" si="40"/>
        <v>1625271.8922901694</v>
      </c>
      <c r="G96" s="149">
        <f t="shared" si="41"/>
        <v>1571096.1625471637</v>
      </c>
      <c r="H96" s="149">
        <f t="shared" si="49"/>
        <v>54175.729743005708</v>
      </c>
      <c r="I96" s="149">
        <f t="shared" si="50"/>
        <v>865078.02911099466</v>
      </c>
      <c r="J96" s="147">
        <f t="shared" si="51"/>
        <v>4.4999999999999998E-2</v>
      </c>
      <c r="K96" s="175">
        <f t="shared" si="42"/>
        <v>3.8296430163020645E-3</v>
      </c>
      <c r="L96" s="149">
        <f t="shared" si="52"/>
        <v>1241529.2903474765</v>
      </c>
      <c r="M96" s="149">
        <f t="shared" si="53"/>
        <v>3677703.4820056348</v>
      </c>
      <c r="N96" s="149">
        <f t="shared" si="54"/>
        <v>2106607.3194584711</v>
      </c>
      <c r="P96" s="149">
        <f t="shared" si="55"/>
        <v>22947771.138575383</v>
      </c>
      <c r="Q96" s="149">
        <f t="shared" si="56"/>
        <v>121096.16254716362</v>
      </c>
      <c r="R96" s="176">
        <f t="shared" si="57"/>
        <v>2106607.3194584711</v>
      </c>
      <c r="S96" s="113">
        <f t="shared" si="58"/>
        <v>2227703.4820056348</v>
      </c>
      <c r="T96" s="113">
        <f t="shared" si="43"/>
        <v>1561109.0823804862</v>
      </c>
      <c r="U96" s="114">
        <f t="shared" si="59"/>
        <v>12.333333333333334</v>
      </c>
      <c r="V96" s="114">
        <f t="shared" si="60"/>
        <v>7.8008617884060888E-3</v>
      </c>
      <c r="W96" s="114">
        <f t="shared" si="61"/>
        <v>164.44444444444446</v>
      </c>
      <c r="X96" s="114"/>
      <c r="Y96" s="149">
        <f t="shared" si="62"/>
        <v>200000000</v>
      </c>
      <c r="Z96" s="149">
        <f t="shared" si="63"/>
        <v>966666.66666666674</v>
      </c>
      <c r="AA96" s="176">
        <f t="shared" si="64"/>
        <v>0</v>
      </c>
      <c r="AB96" s="113">
        <f t="shared" si="65"/>
        <v>966666.66666666674</v>
      </c>
      <c r="AC96" s="113">
        <f t="shared" si="44"/>
        <v>677411.56987785606</v>
      </c>
      <c r="AD96" s="114">
        <f t="shared" si="66"/>
        <v>12.333333333333334</v>
      </c>
      <c r="AE96" s="114">
        <f t="shared" si="67"/>
        <v>3.3813561930021072E-3</v>
      </c>
      <c r="AF96" s="114">
        <f t="shared" si="68"/>
        <v>164.44444444444446</v>
      </c>
      <c r="AG96" s="114"/>
      <c r="AH96" s="176">
        <f t="shared" si="69"/>
        <v>100000000</v>
      </c>
      <c r="AI96" s="176">
        <f t="shared" si="70"/>
        <v>483333.33333333337</v>
      </c>
      <c r="AJ96" s="176">
        <f t="shared" si="71"/>
        <v>0</v>
      </c>
      <c r="AK96" s="113">
        <f t="shared" si="72"/>
        <v>483333.33333333337</v>
      </c>
      <c r="AL96" s="113">
        <f t="shared" si="45"/>
        <v>338705.78493892803</v>
      </c>
      <c r="AM96" s="114">
        <f t="shared" si="73"/>
        <v>12.333333333333334</v>
      </c>
      <c r="AN96" s="114">
        <f t="shared" si="74"/>
        <v>3.3789979590213709E-3</v>
      </c>
      <c r="AO96" s="114">
        <f t="shared" si="75"/>
        <v>164.44444444444446</v>
      </c>
    </row>
    <row r="97" spans="1:41" hidden="1" outlineLevel="1" x14ac:dyDescent="0.3">
      <c r="A97" s="146">
        <f t="shared" si="46"/>
        <v>75</v>
      </c>
      <c r="B97" s="147">
        <f t="shared" si="39"/>
        <v>210</v>
      </c>
      <c r="C97" s="147">
        <f t="shared" si="38"/>
        <v>150</v>
      </c>
      <c r="D97" s="149">
        <f t="shared" si="47"/>
        <v>320848239.30159897</v>
      </c>
      <c r="E97" s="149">
        <f t="shared" si="48"/>
        <v>2480812.7702165218</v>
      </c>
      <c r="F97" s="149">
        <f t="shared" si="40"/>
        <v>1614738.8556928772</v>
      </c>
      <c r="G97" s="149">
        <f t="shared" si="41"/>
        <v>1560914.2271697815</v>
      </c>
      <c r="H97" s="149">
        <f t="shared" si="49"/>
        <v>53824.628523095744</v>
      </c>
      <c r="I97" s="149">
        <f t="shared" si="50"/>
        <v>866073.91452364461</v>
      </c>
      <c r="J97" s="147">
        <f t="shared" si="51"/>
        <v>4.4999999999999998E-2</v>
      </c>
      <c r="K97" s="175">
        <f t="shared" si="42"/>
        <v>3.8296430163020645E-3</v>
      </c>
      <c r="L97" s="149">
        <f t="shared" si="52"/>
        <v>1233457.9224528058</v>
      </c>
      <c r="M97" s="149">
        <f t="shared" si="53"/>
        <v>3660446.0641462319</v>
      </c>
      <c r="N97" s="149">
        <f t="shared" si="54"/>
        <v>2099531.8369764504</v>
      </c>
      <c r="P97" s="149">
        <f t="shared" si="55"/>
        <v>20848239.301598933</v>
      </c>
      <c r="Q97" s="149">
        <f t="shared" si="56"/>
        <v>110914.22716978102</v>
      </c>
      <c r="R97" s="176">
        <f t="shared" si="57"/>
        <v>2099531.8369764504</v>
      </c>
      <c r="S97" s="113">
        <f t="shared" si="58"/>
        <v>2210446.0641462314</v>
      </c>
      <c r="T97" s="113">
        <f t="shared" si="43"/>
        <v>1541590.3267626439</v>
      </c>
      <c r="U97" s="114">
        <f t="shared" si="59"/>
        <v>12.5</v>
      </c>
      <c r="V97" s="114">
        <f t="shared" si="60"/>
        <v>7.7033265702877744E-3</v>
      </c>
      <c r="W97" s="114">
        <f t="shared" si="61"/>
        <v>168.75</v>
      </c>
      <c r="X97" s="114"/>
      <c r="Y97" s="149">
        <f t="shared" si="62"/>
        <v>200000000</v>
      </c>
      <c r="Z97" s="149">
        <f t="shared" si="63"/>
        <v>966666.66666666674</v>
      </c>
      <c r="AA97" s="176">
        <f t="shared" si="64"/>
        <v>0</v>
      </c>
      <c r="AB97" s="113">
        <f t="shared" si="65"/>
        <v>966666.66666666674</v>
      </c>
      <c r="AC97" s="113">
        <f t="shared" si="44"/>
        <v>674164.37193766271</v>
      </c>
      <c r="AD97" s="114">
        <f t="shared" si="66"/>
        <v>12.5</v>
      </c>
      <c r="AE97" s="114">
        <f t="shared" si="67"/>
        <v>3.3651475344063349E-3</v>
      </c>
      <c r="AF97" s="114">
        <f t="shared" si="68"/>
        <v>168.75</v>
      </c>
      <c r="AG97" s="114"/>
      <c r="AH97" s="176">
        <f t="shared" si="69"/>
        <v>100000000</v>
      </c>
      <c r="AI97" s="176">
        <f t="shared" si="70"/>
        <v>483333.33333333337</v>
      </c>
      <c r="AJ97" s="176">
        <f t="shared" si="71"/>
        <v>0</v>
      </c>
      <c r="AK97" s="113">
        <f t="shared" si="72"/>
        <v>483333.33333333337</v>
      </c>
      <c r="AL97" s="113">
        <f t="shared" si="45"/>
        <v>337082.18596883136</v>
      </c>
      <c r="AM97" s="114">
        <f t="shared" si="73"/>
        <v>12.5</v>
      </c>
      <c r="AN97" s="114">
        <f t="shared" si="74"/>
        <v>3.3628006047092354E-3</v>
      </c>
      <c r="AO97" s="114">
        <f t="shared" si="75"/>
        <v>168.75</v>
      </c>
    </row>
    <row r="98" spans="1:41" hidden="1" outlineLevel="1" x14ac:dyDescent="0.3">
      <c r="A98" s="146">
        <f t="shared" si="46"/>
        <v>76</v>
      </c>
      <c r="B98" s="147">
        <f t="shared" si="39"/>
        <v>209</v>
      </c>
      <c r="C98" s="147">
        <f t="shared" si="38"/>
        <v>151</v>
      </c>
      <c r="D98" s="149">
        <f t="shared" si="47"/>
        <v>318755754.70845103</v>
      </c>
      <c r="E98" s="149">
        <f t="shared" si="48"/>
        <v>2471312.1429163092</v>
      </c>
      <c r="F98" s="149">
        <f t="shared" si="40"/>
        <v>1604241.1965079948</v>
      </c>
      <c r="G98" s="149">
        <f t="shared" si="41"/>
        <v>1550766.4899577284</v>
      </c>
      <c r="H98" s="149">
        <f t="shared" si="49"/>
        <v>53474.706550266361</v>
      </c>
      <c r="I98" s="149">
        <f t="shared" si="50"/>
        <v>867070.9464083144</v>
      </c>
      <c r="J98" s="147">
        <f t="shared" si="51"/>
        <v>4.4999999999999998E-2</v>
      </c>
      <c r="K98" s="175">
        <f t="shared" si="42"/>
        <v>3.8296430163020645E-3</v>
      </c>
      <c r="L98" s="149">
        <f t="shared" si="52"/>
        <v>1225413.646739631</v>
      </c>
      <c r="M98" s="149">
        <f t="shared" si="53"/>
        <v>3643251.083105674</v>
      </c>
      <c r="N98" s="149">
        <f t="shared" si="54"/>
        <v>2092484.5931479454</v>
      </c>
      <c r="P98" s="149">
        <f t="shared" si="55"/>
        <v>18755754.708450988</v>
      </c>
      <c r="Q98" s="149">
        <f t="shared" si="56"/>
        <v>100766.48995772818</v>
      </c>
      <c r="R98" s="176">
        <f t="shared" si="57"/>
        <v>2092484.5931479454</v>
      </c>
      <c r="S98" s="113">
        <f t="shared" si="58"/>
        <v>2193251.0831056735</v>
      </c>
      <c r="T98" s="113">
        <f t="shared" si="43"/>
        <v>1522266.163177775</v>
      </c>
      <c r="U98" s="114">
        <f t="shared" si="59"/>
        <v>12.666666666666666</v>
      </c>
      <c r="V98" s="114">
        <f t="shared" si="60"/>
        <v>7.6067637285213005E-3</v>
      </c>
      <c r="W98" s="114">
        <f t="shared" si="61"/>
        <v>173.11111111111109</v>
      </c>
      <c r="X98" s="114"/>
      <c r="Y98" s="149">
        <f t="shared" si="62"/>
        <v>200000000</v>
      </c>
      <c r="Z98" s="149">
        <f t="shared" si="63"/>
        <v>966666.66666666674</v>
      </c>
      <c r="AA98" s="176">
        <f t="shared" si="64"/>
        <v>0</v>
      </c>
      <c r="AB98" s="113">
        <f t="shared" si="65"/>
        <v>966666.66666666674</v>
      </c>
      <c r="AC98" s="113">
        <f t="shared" si="44"/>
        <v>670932.73956341459</v>
      </c>
      <c r="AD98" s="114">
        <f t="shared" si="66"/>
        <v>12.666666666666666</v>
      </c>
      <c r="AE98" s="114">
        <f t="shared" si="67"/>
        <v>3.3490165726276036E-3</v>
      </c>
      <c r="AF98" s="114">
        <f t="shared" si="68"/>
        <v>173.11111111111109</v>
      </c>
      <c r="AG98" s="114"/>
      <c r="AH98" s="176">
        <f t="shared" si="69"/>
        <v>100000000</v>
      </c>
      <c r="AI98" s="176">
        <f t="shared" si="70"/>
        <v>483333.33333333337</v>
      </c>
      <c r="AJ98" s="176">
        <f t="shared" si="71"/>
        <v>0</v>
      </c>
      <c r="AK98" s="113">
        <f t="shared" si="72"/>
        <v>483333.33333333337</v>
      </c>
      <c r="AL98" s="113">
        <f t="shared" si="45"/>
        <v>335466.3697817073</v>
      </c>
      <c r="AM98" s="114">
        <f t="shared" si="73"/>
        <v>12.666666666666666</v>
      </c>
      <c r="AN98" s="114">
        <f t="shared" si="74"/>
        <v>3.3466808930266304E-3</v>
      </c>
      <c r="AO98" s="114">
        <f t="shared" si="75"/>
        <v>173.11111111111109</v>
      </c>
    </row>
    <row r="99" spans="1:41" hidden="1" outlineLevel="1" x14ac:dyDescent="0.3">
      <c r="A99" s="146">
        <f t="shared" si="46"/>
        <v>77</v>
      </c>
      <c r="B99" s="147">
        <f t="shared" si="39"/>
        <v>208</v>
      </c>
      <c r="C99" s="147">
        <f t="shared" si="38"/>
        <v>152</v>
      </c>
      <c r="D99" s="149">
        <f t="shared" si="47"/>
        <v>316670289.22730732</v>
      </c>
      <c r="E99" s="149">
        <f t="shared" si="48"/>
        <v>2461847.8996270872</v>
      </c>
      <c r="F99" s="149">
        <f t="shared" si="40"/>
        <v>1593778.7735422552</v>
      </c>
      <c r="G99" s="149">
        <f t="shared" si="41"/>
        <v>1540652.81442418</v>
      </c>
      <c r="H99" s="149">
        <f t="shared" si="49"/>
        <v>53125.959118075203</v>
      </c>
      <c r="I99" s="149">
        <f t="shared" si="50"/>
        <v>868069.12608483201</v>
      </c>
      <c r="J99" s="147">
        <f t="shared" si="51"/>
        <v>4.4999999999999998E-2</v>
      </c>
      <c r="K99" s="175">
        <f t="shared" si="42"/>
        <v>3.8296430163020645E-3</v>
      </c>
      <c r="L99" s="149">
        <f t="shared" si="52"/>
        <v>1217396.3550589352</v>
      </c>
      <c r="M99" s="149">
        <f t="shared" si="53"/>
        <v>3626118.2955679474</v>
      </c>
      <c r="N99" s="149">
        <f t="shared" si="54"/>
        <v>2085465.4811437672</v>
      </c>
      <c r="P99" s="149">
        <f t="shared" si="55"/>
        <v>16670289.227307221</v>
      </c>
      <c r="Q99" s="149">
        <f t="shared" si="56"/>
        <v>90652.814424179785</v>
      </c>
      <c r="R99" s="176">
        <f t="shared" si="57"/>
        <v>2085465.4811437672</v>
      </c>
      <c r="S99" s="113">
        <f t="shared" si="58"/>
        <v>2176118.295567947</v>
      </c>
      <c r="T99" s="113">
        <f t="shared" si="43"/>
        <v>1503134.7987610181</v>
      </c>
      <c r="U99" s="114">
        <f t="shared" si="59"/>
        <v>12.833333333333334</v>
      </c>
      <c r="V99" s="114">
        <f t="shared" si="60"/>
        <v>7.511164304161295E-3</v>
      </c>
      <c r="W99" s="114">
        <f t="shared" si="61"/>
        <v>177.5277777777778</v>
      </c>
      <c r="X99" s="114"/>
      <c r="Y99" s="149">
        <f t="shared" si="62"/>
        <v>200000000</v>
      </c>
      <c r="Z99" s="149">
        <f t="shared" si="63"/>
        <v>966666.66666666674</v>
      </c>
      <c r="AA99" s="176">
        <f t="shared" si="64"/>
        <v>0</v>
      </c>
      <c r="AB99" s="113">
        <f t="shared" si="65"/>
        <v>966666.66666666674</v>
      </c>
      <c r="AC99" s="113">
        <f t="shared" si="44"/>
        <v>667716.59814098326</v>
      </c>
      <c r="AD99" s="114">
        <f t="shared" si="66"/>
        <v>12.833333333333334</v>
      </c>
      <c r="AE99" s="114">
        <f t="shared" si="67"/>
        <v>3.332962935223286E-3</v>
      </c>
      <c r="AF99" s="114">
        <f t="shared" si="68"/>
        <v>177.5277777777778</v>
      </c>
      <c r="AG99" s="114"/>
      <c r="AH99" s="176">
        <f t="shared" si="69"/>
        <v>100000000</v>
      </c>
      <c r="AI99" s="176">
        <f t="shared" si="70"/>
        <v>483333.33333333337</v>
      </c>
      <c r="AJ99" s="176">
        <f t="shared" si="71"/>
        <v>0</v>
      </c>
      <c r="AK99" s="113">
        <f t="shared" si="72"/>
        <v>483333.33333333337</v>
      </c>
      <c r="AL99" s="113">
        <f t="shared" si="45"/>
        <v>333858.29907049163</v>
      </c>
      <c r="AM99" s="114">
        <f t="shared" si="73"/>
        <v>12.833333333333334</v>
      </c>
      <c r="AN99" s="114">
        <f t="shared" si="74"/>
        <v>3.3306384517906786E-3</v>
      </c>
      <c r="AO99" s="114">
        <f t="shared" si="75"/>
        <v>177.5277777777778</v>
      </c>
    </row>
    <row r="100" spans="1:41" hidden="1" outlineLevel="1" x14ac:dyDescent="0.3">
      <c r="A100" s="146">
        <f t="shared" si="46"/>
        <v>78</v>
      </c>
      <c r="B100" s="147">
        <f t="shared" si="39"/>
        <v>207</v>
      </c>
      <c r="C100" s="147">
        <f t="shared" si="38"/>
        <v>153</v>
      </c>
      <c r="D100" s="149">
        <f t="shared" si="47"/>
        <v>314591814.83276194</v>
      </c>
      <c r="E100" s="149">
        <f t="shared" si="48"/>
        <v>2452419.9010110823</v>
      </c>
      <c r="F100" s="149">
        <f t="shared" si="40"/>
        <v>1583351.4461365365</v>
      </c>
      <c r="G100" s="149">
        <f t="shared" si="41"/>
        <v>1530573.0645986521</v>
      </c>
      <c r="H100" s="149">
        <f t="shared" si="49"/>
        <v>52778.381537884474</v>
      </c>
      <c r="I100" s="149">
        <f t="shared" si="50"/>
        <v>869068.4548745458</v>
      </c>
      <c r="J100" s="147">
        <f t="shared" si="51"/>
        <v>4.4999999999999998E-2</v>
      </c>
      <c r="K100" s="175">
        <f t="shared" si="42"/>
        <v>3.8296430163020645E-3</v>
      </c>
      <c r="L100" s="149">
        <f t="shared" si="52"/>
        <v>1209405.9396708135</v>
      </c>
      <c r="M100" s="149">
        <f t="shared" si="53"/>
        <v>3609047.4591440111</v>
      </c>
      <c r="N100" s="149">
        <f t="shared" si="54"/>
        <v>2078474.3945453593</v>
      </c>
      <c r="P100" s="149">
        <f t="shared" si="55"/>
        <v>14591814.832761861</v>
      </c>
      <c r="Q100" s="149">
        <f t="shared" si="56"/>
        <v>80573.064598651574</v>
      </c>
      <c r="R100" s="176">
        <f t="shared" si="57"/>
        <v>2078474.3945453593</v>
      </c>
      <c r="S100" s="113">
        <f t="shared" si="58"/>
        <v>2159047.4591440107</v>
      </c>
      <c r="T100" s="113">
        <f t="shared" si="43"/>
        <v>1484194.4566087825</v>
      </c>
      <c r="U100" s="114">
        <f t="shared" si="59"/>
        <v>13</v>
      </c>
      <c r="V100" s="114">
        <f t="shared" si="60"/>
        <v>7.4165194180208522E-3</v>
      </c>
      <c r="W100" s="114">
        <f t="shared" si="61"/>
        <v>182</v>
      </c>
      <c r="X100" s="114"/>
      <c r="Y100" s="149">
        <f t="shared" si="62"/>
        <v>200000000</v>
      </c>
      <c r="Z100" s="149">
        <f t="shared" si="63"/>
        <v>966666.66666666674</v>
      </c>
      <c r="AA100" s="176">
        <f t="shared" si="64"/>
        <v>0</v>
      </c>
      <c r="AB100" s="113">
        <f t="shared" si="65"/>
        <v>966666.66666666674</v>
      </c>
      <c r="AC100" s="113">
        <f t="shared" si="44"/>
        <v>664515.87341390597</v>
      </c>
      <c r="AD100" s="114">
        <f t="shared" si="66"/>
        <v>13</v>
      </c>
      <c r="AE100" s="114">
        <f t="shared" si="67"/>
        <v>3.3169862515360716E-3</v>
      </c>
      <c r="AF100" s="114">
        <f t="shared" si="68"/>
        <v>182</v>
      </c>
      <c r="AG100" s="114"/>
      <c r="AH100" s="176">
        <f t="shared" si="69"/>
        <v>100000000</v>
      </c>
      <c r="AI100" s="176">
        <f t="shared" si="70"/>
        <v>483333.33333333337</v>
      </c>
      <c r="AJ100" s="176">
        <f t="shared" si="71"/>
        <v>0</v>
      </c>
      <c r="AK100" s="113">
        <f t="shared" si="72"/>
        <v>483333.33333333337</v>
      </c>
      <c r="AL100" s="113">
        <f t="shared" si="45"/>
        <v>332257.93670695298</v>
      </c>
      <c r="AM100" s="114">
        <f t="shared" si="73"/>
        <v>13</v>
      </c>
      <c r="AN100" s="114">
        <f t="shared" si="74"/>
        <v>3.3146729106025741E-3</v>
      </c>
      <c r="AO100" s="114">
        <f t="shared" si="75"/>
        <v>182</v>
      </c>
    </row>
    <row r="101" spans="1:41" hidden="1" outlineLevel="1" x14ac:dyDescent="0.3">
      <c r="A101" s="146">
        <f t="shared" si="46"/>
        <v>79</v>
      </c>
      <c r="B101" s="147">
        <f t="shared" si="39"/>
        <v>206</v>
      </c>
      <c r="C101" s="147">
        <f t="shared" si="38"/>
        <v>154</v>
      </c>
      <c r="D101" s="149">
        <f t="shared" si="47"/>
        <v>312520303.60541874</v>
      </c>
      <c r="E101" s="149">
        <f t="shared" si="48"/>
        <v>2443028.0082641351</v>
      </c>
      <c r="F101" s="149">
        <f t="shared" si="40"/>
        <v>1572959.0741638097</v>
      </c>
      <c r="G101" s="149">
        <f t="shared" si="41"/>
        <v>1520527.1050250162</v>
      </c>
      <c r="H101" s="149">
        <f t="shared" si="49"/>
        <v>52431.969138793414</v>
      </c>
      <c r="I101" s="149">
        <f t="shared" si="50"/>
        <v>870068.93410032545</v>
      </c>
      <c r="J101" s="147">
        <f t="shared" si="51"/>
        <v>4.4999999999999998E-2</v>
      </c>
      <c r="K101" s="175">
        <f t="shared" si="42"/>
        <v>3.8296430163020645E-3</v>
      </c>
      <c r="L101" s="149">
        <f t="shared" si="52"/>
        <v>1201442.2932429004</v>
      </c>
      <c r="M101" s="149">
        <f t="shared" si="53"/>
        <v>3592038.3323682426</v>
      </c>
      <c r="N101" s="149">
        <f t="shared" si="54"/>
        <v>2071511.2273432259</v>
      </c>
      <c r="P101" s="149">
        <f t="shared" si="55"/>
        <v>12520303.605418636</v>
      </c>
      <c r="Q101" s="149">
        <f t="shared" si="56"/>
        <v>70527.10502501567</v>
      </c>
      <c r="R101" s="176">
        <f t="shared" si="57"/>
        <v>2071511.2273432259</v>
      </c>
      <c r="S101" s="113">
        <f t="shared" si="58"/>
        <v>2142038.3323682416</v>
      </c>
      <c r="T101" s="113">
        <f t="shared" si="43"/>
        <v>1465443.375638969</v>
      </c>
      <c r="U101" s="114">
        <f t="shared" si="59"/>
        <v>13.166666666666666</v>
      </c>
      <c r="V101" s="114">
        <f t="shared" si="60"/>
        <v>7.3228202699730576E-3</v>
      </c>
      <c r="W101" s="114">
        <f t="shared" si="61"/>
        <v>186.52777777777777</v>
      </c>
      <c r="X101" s="114"/>
      <c r="Y101" s="149">
        <f t="shared" si="62"/>
        <v>200000000</v>
      </c>
      <c r="Z101" s="149">
        <f t="shared" si="63"/>
        <v>966666.66666666674</v>
      </c>
      <c r="AA101" s="176">
        <f t="shared" si="64"/>
        <v>0</v>
      </c>
      <c r="AB101" s="113">
        <f t="shared" si="65"/>
        <v>966666.66666666674</v>
      </c>
      <c r="AC101" s="113">
        <f t="shared" si="44"/>
        <v>661330.49148167192</v>
      </c>
      <c r="AD101" s="114">
        <f t="shared" si="66"/>
        <v>13.166666666666666</v>
      </c>
      <c r="AE101" s="114">
        <f t="shared" si="67"/>
        <v>3.3010861526854146E-3</v>
      </c>
      <c r="AF101" s="114">
        <f t="shared" si="68"/>
        <v>186.52777777777777</v>
      </c>
      <c r="AG101" s="114"/>
      <c r="AH101" s="176">
        <f t="shared" si="69"/>
        <v>100000000</v>
      </c>
      <c r="AI101" s="176">
        <f t="shared" si="70"/>
        <v>483333.33333333337</v>
      </c>
      <c r="AJ101" s="176">
        <f t="shared" si="71"/>
        <v>0</v>
      </c>
      <c r="AK101" s="113">
        <f t="shared" si="72"/>
        <v>483333.33333333337</v>
      </c>
      <c r="AL101" s="113">
        <f t="shared" si="45"/>
        <v>330665.24574083596</v>
      </c>
      <c r="AM101" s="114">
        <f t="shared" si="73"/>
        <v>13.166666666666666</v>
      </c>
      <c r="AN101" s="114">
        <f t="shared" si="74"/>
        <v>3.2987839008390366E-3</v>
      </c>
      <c r="AO101" s="114">
        <f t="shared" si="75"/>
        <v>186.52777777777777</v>
      </c>
    </row>
    <row r="102" spans="1:41" hidden="1" outlineLevel="1" x14ac:dyDescent="0.3">
      <c r="A102" s="146">
        <f t="shared" si="46"/>
        <v>80</v>
      </c>
      <c r="B102" s="147">
        <f t="shared" si="39"/>
        <v>205</v>
      </c>
      <c r="C102" s="147">
        <f t="shared" si="38"/>
        <v>155</v>
      </c>
      <c r="D102" s="149">
        <f t="shared" si="47"/>
        <v>310455727.7314834</v>
      </c>
      <c r="E102" s="149">
        <f t="shared" si="48"/>
        <v>2433672.0831136559</v>
      </c>
      <c r="F102" s="149">
        <f t="shared" si="40"/>
        <v>1562601.5180270937</v>
      </c>
      <c r="G102" s="149">
        <f t="shared" si="41"/>
        <v>1510514.8007595241</v>
      </c>
      <c r="H102" s="149">
        <f t="shared" si="49"/>
        <v>52086.71726756962</v>
      </c>
      <c r="I102" s="149">
        <f t="shared" si="50"/>
        <v>871070.56508656219</v>
      </c>
      <c r="J102" s="147">
        <f t="shared" si="51"/>
        <v>4.4999999999999998E-2</v>
      </c>
      <c r="K102" s="175">
        <f t="shared" si="42"/>
        <v>3.8296430163020645E-3</v>
      </c>
      <c r="L102" s="149">
        <f t="shared" si="52"/>
        <v>1193505.3088488029</v>
      </c>
      <c r="M102" s="149">
        <f t="shared" si="53"/>
        <v>3575090.6746948892</v>
      </c>
      <c r="N102" s="149">
        <f t="shared" si="54"/>
        <v>2064575.8739353651</v>
      </c>
      <c r="P102" s="149">
        <f t="shared" si="55"/>
        <v>10455727.731483269</v>
      </c>
      <c r="Q102" s="149">
        <f t="shared" si="56"/>
        <v>60514.800759523408</v>
      </c>
      <c r="R102" s="176">
        <f t="shared" si="57"/>
        <v>2064575.8739353651</v>
      </c>
      <c r="S102" s="113">
        <f t="shared" si="58"/>
        <v>2125090.6746948883</v>
      </c>
      <c r="T102" s="113">
        <f t="shared" si="43"/>
        <v>1446879.8104523951</v>
      </c>
      <c r="U102" s="114">
        <f t="shared" si="59"/>
        <v>13.333333333333334</v>
      </c>
      <c r="V102" s="114">
        <f t="shared" si="60"/>
        <v>7.2300581382585263E-3</v>
      </c>
      <c r="W102" s="114">
        <f t="shared" si="61"/>
        <v>191.11111111111111</v>
      </c>
      <c r="X102" s="114"/>
      <c r="Y102" s="149">
        <f t="shared" si="62"/>
        <v>200000000</v>
      </c>
      <c r="Z102" s="149">
        <f t="shared" si="63"/>
        <v>966666.66666666674</v>
      </c>
      <c r="AA102" s="176">
        <f t="shared" si="64"/>
        <v>0</v>
      </c>
      <c r="AB102" s="113">
        <f t="shared" si="65"/>
        <v>966666.66666666674</v>
      </c>
      <c r="AC102" s="113">
        <f t="shared" si="44"/>
        <v>658160.37879801425</v>
      </c>
      <c r="AD102" s="114">
        <f t="shared" si="66"/>
        <v>13.333333333333334</v>
      </c>
      <c r="AE102" s="114">
        <f t="shared" si="67"/>
        <v>3.2852622715590068E-3</v>
      </c>
      <c r="AF102" s="114">
        <f t="shared" si="68"/>
        <v>191.11111111111111</v>
      </c>
      <c r="AG102" s="114"/>
      <c r="AH102" s="176">
        <f t="shared" si="69"/>
        <v>100000000</v>
      </c>
      <c r="AI102" s="176">
        <f t="shared" si="70"/>
        <v>483333.33333333337</v>
      </c>
      <c r="AJ102" s="176">
        <f t="shared" si="71"/>
        <v>0</v>
      </c>
      <c r="AK102" s="113">
        <f t="shared" si="72"/>
        <v>483333.33333333337</v>
      </c>
      <c r="AL102" s="113">
        <f t="shared" si="45"/>
        <v>329080.18939900713</v>
      </c>
      <c r="AM102" s="114">
        <f t="shared" si="73"/>
        <v>13.333333333333334</v>
      </c>
      <c r="AN102" s="114">
        <f t="shared" si="74"/>
        <v>3.2829710556437908E-3</v>
      </c>
      <c r="AO102" s="114">
        <f t="shared" si="75"/>
        <v>191.11111111111111</v>
      </c>
    </row>
    <row r="103" spans="1:41" hidden="1" outlineLevel="1" x14ac:dyDescent="0.3">
      <c r="A103" s="146">
        <f t="shared" si="46"/>
        <v>81</v>
      </c>
      <c r="B103" s="147">
        <f t="shared" si="39"/>
        <v>204</v>
      </c>
      <c r="C103" s="147">
        <f t="shared" si="38"/>
        <v>156</v>
      </c>
      <c r="D103" s="149">
        <f t="shared" si="47"/>
        <v>308398059.50235766</v>
      </c>
      <c r="E103" s="149">
        <f t="shared" si="48"/>
        <v>2424351.9878165904</v>
      </c>
      <c r="F103" s="149">
        <f t="shared" si="40"/>
        <v>1552278.6386574169</v>
      </c>
      <c r="G103" s="149">
        <f t="shared" si="41"/>
        <v>1500536.0173688366</v>
      </c>
      <c r="H103" s="149">
        <f t="shared" si="49"/>
        <v>51742.621288580354</v>
      </c>
      <c r="I103" s="149">
        <f t="shared" si="50"/>
        <v>872073.34915917343</v>
      </c>
      <c r="J103" s="147">
        <f t="shared" si="51"/>
        <v>4.4999999999999998E-2</v>
      </c>
      <c r="K103" s="175">
        <f t="shared" si="42"/>
        <v>3.8296430163020645E-3</v>
      </c>
      <c r="L103" s="149">
        <f t="shared" si="52"/>
        <v>1185594.87996654</v>
      </c>
      <c r="M103" s="149">
        <f t="shared" si="53"/>
        <v>3558204.2464945503</v>
      </c>
      <c r="N103" s="149">
        <f t="shared" si="54"/>
        <v>2057668.2291257135</v>
      </c>
      <c r="P103" s="149">
        <f t="shared" si="55"/>
        <v>8398059.5023575556</v>
      </c>
      <c r="Q103" s="149">
        <f t="shared" si="56"/>
        <v>50536.017368835805</v>
      </c>
      <c r="R103" s="176">
        <f t="shared" si="57"/>
        <v>2057668.2291257135</v>
      </c>
      <c r="S103" s="113">
        <f t="shared" si="58"/>
        <v>2108204.2464945493</v>
      </c>
      <c r="T103" s="113">
        <f t="shared" si="43"/>
        <v>1428502.0311954422</v>
      </c>
      <c r="U103" s="114">
        <f t="shared" si="59"/>
        <v>13.5</v>
      </c>
      <c r="V103" s="114">
        <f t="shared" si="60"/>
        <v>7.1382243787990541E-3</v>
      </c>
      <c r="W103" s="114">
        <f t="shared" si="61"/>
        <v>195.75</v>
      </c>
      <c r="X103" s="114"/>
      <c r="Y103" s="149">
        <f t="shared" si="62"/>
        <v>200000000</v>
      </c>
      <c r="Z103" s="149">
        <f t="shared" si="63"/>
        <v>966666.66666666674</v>
      </c>
      <c r="AA103" s="176">
        <f t="shared" si="64"/>
        <v>0</v>
      </c>
      <c r="AB103" s="113">
        <f t="shared" si="65"/>
        <v>966666.66666666674</v>
      </c>
      <c r="AC103" s="113">
        <f t="shared" si="44"/>
        <v>655005.46216921357</v>
      </c>
      <c r="AD103" s="114">
        <f t="shared" si="66"/>
        <v>13.5</v>
      </c>
      <c r="AE103" s="114">
        <f t="shared" si="67"/>
        <v>3.2695142428043104E-3</v>
      </c>
      <c r="AF103" s="114">
        <f t="shared" si="68"/>
        <v>195.75</v>
      </c>
      <c r="AG103" s="114"/>
      <c r="AH103" s="176">
        <f t="shared" si="69"/>
        <v>100000000</v>
      </c>
      <c r="AI103" s="176">
        <f t="shared" si="70"/>
        <v>483333.33333333337</v>
      </c>
      <c r="AJ103" s="176">
        <f t="shared" si="71"/>
        <v>0</v>
      </c>
      <c r="AK103" s="113">
        <f t="shared" si="72"/>
        <v>483333.33333333337</v>
      </c>
      <c r="AL103" s="113">
        <f t="shared" si="45"/>
        <v>327502.73108460678</v>
      </c>
      <c r="AM103" s="114">
        <f t="shared" si="73"/>
        <v>13.5</v>
      </c>
      <c r="AN103" s="114">
        <f t="shared" si="74"/>
        <v>3.2672340099191032E-3</v>
      </c>
      <c r="AO103" s="114">
        <f t="shared" si="75"/>
        <v>195.75</v>
      </c>
    </row>
    <row r="104" spans="1:41" hidden="1" outlineLevel="1" x14ac:dyDescent="0.3">
      <c r="A104" s="146">
        <f t="shared" si="46"/>
        <v>82</v>
      </c>
      <c r="B104" s="147">
        <f t="shared" si="39"/>
        <v>203</v>
      </c>
      <c r="C104" s="147">
        <f t="shared" si="38"/>
        <v>157</v>
      </c>
      <c r="D104" s="149">
        <f t="shared" si="47"/>
        <v>306347271.31423509</v>
      </c>
      <c r="E104" s="149">
        <f t="shared" si="48"/>
        <v>2415067.5851573907</v>
      </c>
      <c r="F104" s="149">
        <f t="shared" si="40"/>
        <v>1541990.2975117883</v>
      </c>
      <c r="G104" s="149">
        <f t="shared" si="41"/>
        <v>1490590.6209280621</v>
      </c>
      <c r="H104" s="149">
        <f t="shared" si="49"/>
        <v>51399.676583726192</v>
      </c>
      <c r="I104" s="149">
        <f t="shared" si="50"/>
        <v>873077.28764560237</v>
      </c>
      <c r="J104" s="147">
        <f t="shared" si="51"/>
        <v>4.4999999999999998E-2</v>
      </c>
      <c r="K104" s="175">
        <f t="shared" si="42"/>
        <v>3.8296430163020645E-3</v>
      </c>
      <c r="L104" s="149">
        <f t="shared" si="52"/>
        <v>1177710.9004769886</v>
      </c>
      <c r="M104" s="149">
        <f t="shared" si="53"/>
        <v>3541378.8090506531</v>
      </c>
      <c r="N104" s="149">
        <f t="shared" si="54"/>
        <v>2050788.188122591</v>
      </c>
      <c r="P104" s="149">
        <f t="shared" si="55"/>
        <v>6347271.3142349645</v>
      </c>
      <c r="Q104" s="149">
        <f t="shared" si="56"/>
        <v>40590.620928061522</v>
      </c>
      <c r="R104" s="176">
        <f t="shared" si="57"/>
        <v>2050788.188122591</v>
      </c>
      <c r="S104" s="113">
        <f t="shared" si="58"/>
        <v>2091378.8090506524</v>
      </c>
      <c r="T104" s="113">
        <f t="shared" si="43"/>
        <v>1410308.3234238783</v>
      </c>
      <c r="U104" s="114">
        <f t="shared" si="59"/>
        <v>13.666666666666666</v>
      </c>
      <c r="V104" s="114">
        <f t="shared" si="60"/>
        <v>7.0473104245171404E-3</v>
      </c>
      <c r="W104" s="114">
        <f t="shared" si="61"/>
        <v>200.44444444444443</v>
      </c>
      <c r="X104" s="114"/>
      <c r="Y104" s="149">
        <f t="shared" si="62"/>
        <v>200000000</v>
      </c>
      <c r="Z104" s="149">
        <f t="shared" si="63"/>
        <v>966666.66666666674</v>
      </c>
      <c r="AA104" s="176">
        <f t="shared" si="64"/>
        <v>0</v>
      </c>
      <c r="AB104" s="113">
        <f t="shared" si="65"/>
        <v>966666.66666666674</v>
      </c>
      <c r="AC104" s="113">
        <f t="shared" si="44"/>
        <v>651865.66875240696</v>
      </c>
      <c r="AD104" s="114">
        <f t="shared" si="66"/>
        <v>13.666666666666666</v>
      </c>
      <c r="AE104" s="114">
        <f t="shared" si="67"/>
        <v>3.2538417028201167E-3</v>
      </c>
      <c r="AF104" s="114">
        <f t="shared" si="68"/>
        <v>200.44444444444443</v>
      </c>
      <c r="AG104" s="114"/>
      <c r="AH104" s="176">
        <f t="shared" si="69"/>
        <v>100000000</v>
      </c>
      <c r="AI104" s="176">
        <f t="shared" si="70"/>
        <v>483333.33333333337</v>
      </c>
      <c r="AJ104" s="176">
        <f t="shared" si="71"/>
        <v>0</v>
      </c>
      <c r="AK104" s="113">
        <f t="shared" si="72"/>
        <v>483333.33333333337</v>
      </c>
      <c r="AL104" s="113">
        <f t="shared" si="45"/>
        <v>325932.83437620348</v>
      </c>
      <c r="AM104" s="114">
        <f t="shared" si="73"/>
        <v>13.666666666666666</v>
      </c>
      <c r="AN104" s="114">
        <f t="shared" si="74"/>
        <v>3.2515724003173495E-3</v>
      </c>
      <c r="AO104" s="114">
        <f t="shared" si="75"/>
        <v>200.44444444444443</v>
      </c>
    </row>
    <row r="105" spans="1:41" hidden="1" outlineLevel="1" x14ac:dyDescent="0.3">
      <c r="A105" s="146">
        <f t="shared" si="46"/>
        <v>83</v>
      </c>
      <c r="B105" s="147">
        <f t="shared" si="39"/>
        <v>202</v>
      </c>
      <c r="C105" s="147">
        <f t="shared" si="38"/>
        <v>158</v>
      </c>
      <c r="D105" s="149">
        <f t="shared" si="47"/>
        <v>304303335.66769797</v>
      </c>
      <c r="E105" s="149">
        <f t="shared" si="48"/>
        <v>2405818.7384459954</v>
      </c>
      <c r="F105" s="149">
        <f t="shared" si="40"/>
        <v>1531736.3565711754</v>
      </c>
      <c r="G105" s="149">
        <f t="shared" si="41"/>
        <v>1480678.4780188031</v>
      </c>
      <c r="H105" s="149">
        <f t="shared" si="49"/>
        <v>51057.878552372335</v>
      </c>
      <c r="I105" s="149">
        <f t="shared" si="50"/>
        <v>874082.38187481998</v>
      </c>
      <c r="J105" s="147">
        <f t="shared" si="51"/>
        <v>4.4999999999999998E-2</v>
      </c>
      <c r="K105" s="175">
        <f t="shared" si="42"/>
        <v>3.8296430163020645E-3</v>
      </c>
      <c r="L105" s="149">
        <f t="shared" si="52"/>
        <v>1169853.2646623347</v>
      </c>
      <c r="M105" s="149">
        <f t="shared" si="53"/>
        <v>3524614.1245559575</v>
      </c>
      <c r="N105" s="149">
        <f t="shared" si="54"/>
        <v>2043935.6465371547</v>
      </c>
      <c r="P105" s="149">
        <f t="shared" si="55"/>
        <v>4303335.6676978096</v>
      </c>
      <c r="Q105" s="149">
        <f t="shared" si="56"/>
        <v>30678.478018802329</v>
      </c>
      <c r="R105" s="176">
        <f t="shared" si="57"/>
        <v>2043935.6465371547</v>
      </c>
      <c r="S105" s="113">
        <f t="shared" si="58"/>
        <v>2074614.124555957</v>
      </c>
      <c r="T105" s="113">
        <f t="shared" si="43"/>
        <v>1392296.9879678753</v>
      </c>
      <c r="U105" s="114">
        <f t="shared" si="59"/>
        <v>13.833333333333334</v>
      </c>
      <c r="V105" s="114">
        <f t="shared" si="60"/>
        <v>6.9573077846614767E-3</v>
      </c>
      <c r="W105" s="114">
        <f t="shared" si="61"/>
        <v>205.19444444444446</v>
      </c>
      <c r="X105" s="114"/>
      <c r="Y105" s="149">
        <f t="shared" si="62"/>
        <v>200000000</v>
      </c>
      <c r="Z105" s="149">
        <f t="shared" si="63"/>
        <v>966666.66666666674</v>
      </c>
      <c r="AA105" s="176">
        <f t="shared" si="64"/>
        <v>0</v>
      </c>
      <c r="AB105" s="113">
        <f t="shared" si="65"/>
        <v>966666.66666666674</v>
      </c>
      <c r="AC105" s="113">
        <f t="shared" si="44"/>
        <v>648740.92605390656</v>
      </c>
      <c r="AD105" s="114">
        <f t="shared" si="66"/>
        <v>13.833333333333334</v>
      </c>
      <c r="AE105" s="114">
        <f t="shared" si="67"/>
        <v>3.2382442897481525E-3</v>
      </c>
      <c r="AF105" s="114">
        <f t="shared" si="68"/>
        <v>205.19444444444446</v>
      </c>
      <c r="AG105" s="114"/>
      <c r="AH105" s="176">
        <f t="shared" si="69"/>
        <v>100000000</v>
      </c>
      <c r="AI105" s="176">
        <f t="shared" si="70"/>
        <v>483333.33333333337</v>
      </c>
      <c r="AJ105" s="176">
        <f t="shared" si="71"/>
        <v>0</v>
      </c>
      <c r="AK105" s="113">
        <f t="shared" si="72"/>
        <v>483333.33333333337</v>
      </c>
      <c r="AL105" s="113">
        <f t="shared" si="45"/>
        <v>324370.46302695328</v>
      </c>
      <c r="AM105" s="114">
        <f t="shared" si="73"/>
        <v>13.833333333333334</v>
      </c>
      <c r="AN105" s="114">
        <f t="shared" si="74"/>
        <v>3.2359858652326245E-3</v>
      </c>
      <c r="AO105" s="114">
        <f t="shared" si="75"/>
        <v>205.19444444444446</v>
      </c>
    </row>
    <row r="106" spans="1:41" collapsed="1" x14ac:dyDescent="0.3">
      <c r="A106" s="146">
        <f t="shared" si="46"/>
        <v>84</v>
      </c>
      <c r="B106" s="147">
        <f t="shared" si="39"/>
        <v>201</v>
      </c>
      <c r="C106" s="147">
        <f t="shared" si="38"/>
        <v>159</v>
      </c>
      <c r="D106" s="149">
        <f t="shared" si="47"/>
        <v>302266225.16731608</v>
      </c>
      <c r="E106" s="149">
        <f t="shared" si="48"/>
        <v>2396605.311515817</v>
      </c>
      <c r="F106" s="149">
        <f t="shared" si="40"/>
        <v>1521516.67833849</v>
      </c>
      <c r="G106" s="149">
        <f t="shared" si="41"/>
        <v>1470799.455727207</v>
      </c>
      <c r="H106" s="149">
        <f t="shared" si="49"/>
        <v>50717.222611282952</v>
      </c>
      <c r="I106" s="149">
        <f t="shared" si="50"/>
        <v>875088.63317732699</v>
      </c>
      <c r="J106" s="147">
        <f t="shared" si="51"/>
        <v>4.4999999999999998E-2</v>
      </c>
      <c r="K106" s="175">
        <f t="shared" si="42"/>
        <v>3.8296430163020645E-3</v>
      </c>
      <c r="L106" s="149">
        <f t="shared" si="52"/>
        <v>1162021.8672045295</v>
      </c>
      <c r="M106" s="149">
        <f t="shared" si="53"/>
        <v>3507909.9561090637</v>
      </c>
      <c r="N106" s="149">
        <f t="shared" si="54"/>
        <v>2037110.5003818565</v>
      </c>
      <c r="P106" s="149">
        <f t="shared" si="55"/>
        <v>2266225.1673159534</v>
      </c>
      <c r="Q106" s="149">
        <f t="shared" si="56"/>
        <v>20799.455727206081</v>
      </c>
      <c r="R106" s="176">
        <f t="shared" si="57"/>
        <v>2037110.5003818565</v>
      </c>
      <c r="S106" s="113">
        <f t="shared" si="58"/>
        <v>2057909.9561090625</v>
      </c>
      <c r="T106" s="113">
        <f t="shared" si="43"/>
        <v>1374466.3407981915</v>
      </c>
      <c r="U106" s="114">
        <f t="shared" si="59"/>
        <v>14</v>
      </c>
      <c r="V106" s="114">
        <f t="shared" si="60"/>
        <v>6.8682080441382597E-3</v>
      </c>
      <c r="W106" s="114">
        <f t="shared" si="61"/>
        <v>210</v>
      </c>
      <c r="X106" s="114"/>
      <c r="Y106" s="149">
        <f t="shared" si="62"/>
        <v>200000000</v>
      </c>
      <c r="Z106" s="149">
        <f t="shared" si="63"/>
        <v>966666.66666666674</v>
      </c>
      <c r="AA106" s="176">
        <f t="shared" si="64"/>
        <v>0</v>
      </c>
      <c r="AB106" s="113">
        <f t="shared" si="65"/>
        <v>966666.66666666674</v>
      </c>
      <c r="AC106" s="113">
        <f t="shared" si="44"/>
        <v>645631.16192752623</v>
      </c>
      <c r="AD106" s="114">
        <f t="shared" si="66"/>
        <v>14</v>
      </c>
      <c r="AE106" s="114">
        <f t="shared" si="67"/>
        <v>3.2227216434647303E-3</v>
      </c>
      <c r="AF106" s="114">
        <f t="shared" si="68"/>
        <v>210</v>
      </c>
      <c r="AG106" s="114"/>
      <c r="AH106" s="176">
        <f t="shared" si="69"/>
        <v>100000000</v>
      </c>
      <c r="AI106" s="176">
        <f t="shared" si="70"/>
        <v>483333.33333333337</v>
      </c>
      <c r="AJ106" s="176">
        <f t="shared" si="71"/>
        <v>0</v>
      </c>
      <c r="AK106" s="113">
        <f t="shared" si="72"/>
        <v>483333.33333333337</v>
      </c>
      <c r="AL106" s="113">
        <f t="shared" si="45"/>
        <v>322815.58096376312</v>
      </c>
      <c r="AM106" s="114">
        <f t="shared" si="73"/>
        <v>14</v>
      </c>
      <c r="AN106" s="114">
        <f t="shared" si="74"/>
        <v>3.2204740447923982E-3</v>
      </c>
      <c r="AO106" s="114">
        <f t="shared" si="75"/>
        <v>210</v>
      </c>
    </row>
    <row r="107" spans="1:41" x14ac:dyDescent="0.3">
      <c r="A107" s="146">
        <f t="shared" si="46"/>
        <v>85</v>
      </c>
      <c r="B107" s="147">
        <f t="shared" si="39"/>
        <v>200</v>
      </c>
      <c r="C107" s="147">
        <f t="shared" si="38"/>
        <v>160</v>
      </c>
      <c r="D107" s="149">
        <f t="shared" si="47"/>
        <v>300235912.52124715</v>
      </c>
      <c r="E107" s="149">
        <f t="shared" si="48"/>
        <v>2387427.1687217378</v>
      </c>
      <c r="F107" s="149">
        <f t="shared" si="40"/>
        <v>1511331.1258365805</v>
      </c>
      <c r="G107" s="149">
        <f t="shared" si="41"/>
        <v>1460953.4216420278</v>
      </c>
      <c r="H107" s="149">
        <f t="shared" si="49"/>
        <v>50377.704194552731</v>
      </c>
      <c r="I107" s="149">
        <f t="shared" si="50"/>
        <v>876096.04288515728</v>
      </c>
      <c r="J107" s="147">
        <f t="shared" si="51"/>
        <v>4.4999999999999998E-2</v>
      </c>
      <c r="K107" s="175">
        <f t="shared" si="42"/>
        <v>3.8296430163020645E-3</v>
      </c>
      <c r="L107" s="149">
        <f t="shared" si="52"/>
        <v>1154216.6031837543</v>
      </c>
      <c r="M107" s="149">
        <f t="shared" si="53"/>
        <v>3491266.0677109393</v>
      </c>
      <c r="N107" s="149">
        <f t="shared" si="54"/>
        <v>2030312.6460689115</v>
      </c>
      <c r="P107" s="149">
        <f t="shared" si="55"/>
        <v>235912.52124704188</v>
      </c>
      <c r="Q107" s="149">
        <f t="shared" si="56"/>
        <v>10953.42164202711</v>
      </c>
      <c r="R107" s="176">
        <f t="shared" si="57"/>
        <v>2030312.6460689115</v>
      </c>
      <c r="S107" s="113">
        <f t="shared" si="58"/>
        <v>2041266.0677109386</v>
      </c>
      <c r="T107" s="113">
        <f t="shared" si="43"/>
        <v>1356814.7128935219</v>
      </c>
      <c r="U107" s="114">
        <f t="shared" si="59"/>
        <v>14.166666666666666</v>
      </c>
      <c r="V107" s="114">
        <f t="shared" si="60"/>
        <v>6.7800028628483477E-3</v>
      </c>
      <c r="W107" s="114">
        <f t="shared" si="61"/>
        <v>214.86111111111109</v>
      </c>
      <c r="X107" s="114"/>
      <c r="Y107" s="149">
        <f t="shared" si="62"/>
        <v>200000000</v>
      </c>
      <c r="Z107" s="149">
        <f t="shared" si="63"/>
        <v>966666.66666666674</v>
      </c>
      <c r="AA107" s="176">
        <f t="shared" si="64"/>
        <v>0</v>
      </c>
      <c r="AB107" s="113">
        <f t="shared" si="65"/>
        <v>966666.66666666674</v>
      </c>
      <c r="AC107" s="113">
        <f t="shared" si="44"/>
        <v>642536.30457291449</v>
      </c>
      <c r="AD107" s="114">
        <f t="shared" si="66"/>
        <v>14.166666666666666</v>
      </c>
      <c r="AE107" s="114">
        <f t="shared" si="67"/>
        <v>3.2072734055724229E-3</v>
      </c>
      <c r="AF107" s="114">
        <f t="shared" si="68"/>
        <v>214.86111111111109</v>
      </c>
      <c r="AG107" s="114"/>
      <c r="AH107" s="176">
        <f t="shared" si="69"/>
        <v>100000000</v>
      </c>
      <c r="AI107" s="176">
        <f t="shared" si="70"/>
        <v>483333.33333333337</v>
      </c>
      <c r="AJ107" s="176">
        <f t="shared" si="71"/>
        <v>0</v>
      </c>
      <c r="AK107" s="113">
        <f t="shared" si="72"/>
        <v>483333.33333333337</v>
      </c>
      <c r="AL107" s="113">
        <f t="shared" si="45"/>
        <v>321268.15228645725</v>
      </c>
      <c r="AM107" s="114">
        <f t="shared" si="73"/>
        <v>14.166666666666666</v>
      </c>
      <c r="AN107" s="114">
        <f t="shared" si="74"/>
        <v>3.2050365808491991E-3</v>
      </c>
      <c r="AO107" s="114">
        <f t="shared" si="75"/>
        <v>214.86111111111109</v>
      </c>
    </row>
    <row r="108" spans="1:41" x14ac:dyDescent="0.3">
      <c r="A108" s="188">
        <f t="shared" si="46"/>
        <v>86</v>
      </c>
      <c r="B108" s="189">
        <f t="shared" si="39"/>
        <v>199</v>
      </c>
      <c r="C108" s="189">
        <f t="shared" si="38"/>
        <v>161</v>
      </c>
      <c r="D108" s="190">
        <f t="shared" si="47"/>
        <v>298212370.54083842</v>
      </c>
      <c r="E108" s="190">
        <f t="shared" si="48"/>
        <v>2378284.174938113</v>
      </c>
      <c r="F108" s="190">
        <f t="shared" si="40"/>
        <v>1501179.5626062357</v>
      </c>
      <c r="G108" s="190">
        <f t="shared" si="41"/>
        <v>1451140.2438526945</v>
      </c>
      <c r="H108" s="190">
        <f t="shared" si="49"/>
        <v>50039.318753541214</v>
      </c>
      <c r="I108" s="190">
        <f t="shared" si="50"/>
        <v>877104.61233187723</v>
      </c>
      <c r="J108" s="189">
        <f t="shared" si="51"/>
        <v>4.4999999999999998E-2</v>
      </c>
      <c r="K108" s="191">
        <f t="shared" si="42"/>
        <v>3.8296430163020645E-3</v>
      </c>
      <c r="L108" s="190">
        <f t="shared" si="52"/>
        <v>1146437.3680768886</v>
      </c>
      <c r="M108" s="190">
        <f t="shared" si="53"/>
        <v>3474682.2242614608</v>
      </c>
      <c r="N108" s="190">
        <f t="shared" si="54"/>
        <v>2023541.9804087658</v>
      </c>
      <c r="O108" s="189"/>
      <c r="P108" s="190">
        <f t="shared" si="55"/>
        <v>0</v>
      </c>
      <c r="Q108" s="190">
        <f>IF($A108&gt;$B$4,"",IF(P107&gt;0,$H$6*P107,0))</f>
        <v>1140.2438526940357</v>
      </c>
      <c r="R108" s="192">
        <f t="shared" si="57"/>
        <v>235912.52124704188</v>
      </c>
      <c r="S108" s="193">
        <f t="shared" si="58"/>
        <v>237052.7650997359</v>
      </c>
      <c r="T108" s="193">
        <f t="shared" si="43"/>
        <v>156811.94476040528</v>
      </c>
      <c r="U108" s="194">
        <f t="shared" si="59"/>
        <v>14.333333333333334</v>
      </c>
      <c r="V108" s="194">
        <f t="shared" si="60"/>
        <v>7.8358925820979058E-4</v>
      </c>
      <c r="W108" s="194">
        <f t="shared" si="61"/>
        <v>219.7777777777778</v>
      </c>
      <c r="X108" s="194"/>
      <c r="Y108" s="190">
        <f t="shared" si="62"/>
        <v>198212370.54083827</v>
      </c>
      <c r="Z108" s="190">
        <f>IF($A108&gt;$B$4,"",IF(Y107&gt;0,$H$7*Y107,0))</f>
        <v>966666.66666666674</v>
      </c>
      <c r="AA108" s="192">
        <f>IF($A108&gt;$B$4,"",IF(P108&gt;0,0,MIN(Y107,$N108-R108)))</f>
        <v>1787629.459161724</v>
      </c>
      <c r="AB108" s="193">
        <f t="shared" si="65"/>
        <v>2754296.1258283909</v>
      </c>
      <c r="AC108" s="193">
        <f t="shared" si="44"/>
        <v>1821984.7878824894</v>
      </c>
      <c r="AD108" s="194">
        <f t="shared" si="66"/>
        <v>14.333333333333334</v>
      </c>
      <c r="AE108" s="194">
        <f t="shared" si="67"/>
        <v>9.0945886075918889E-3</v>
      </c>
      <c r="AF108" s="194">
        <f t="shared" si="68"/>
        <v>219.7777777777778</v>
      </c>
      <c r="AG108" s="114"/>
      <c r="AH108" s="176">
        <f t="shared" si="69"/>
        <v>100000000</v>
      </c>
      <c r="AI108" s="176">
        <f t="shared" si="70"/>
        <v>483333.33333333337</v>
      </c>
      <c r="AJ108" s="176">
        <f t="shared" si="71"/>
        <v>0</v>
      </c>
      <c r="AK108" s="113">
        <f t="shared" si="72"/>
        <v>483333.33333333337</v>
      </c>
      <c r="AL108" s="113">
        <f t="shared" si="45"/>
        <v>319728.14126694895</v>
      </c>
      <c r="AM108" s="114">
        <f t="shared" si="73"/>
        <v>14.333333333333334</v>
      </c>
      <c r="AN108" s="114">
        <f t="shared" si="74"/>
        <v>3.1896731169723503E-3</v>
      </c>
      <c r="AO108" s="114">
        <f t="shared" si="75"/>
        <v>219.7777777777778</v>
      </c>
    </row>
    <row r="109" spans="1:41" x14ac:dyDescent="0.3">
      <c r="A109" s="146">
        <f t="shared" si="46"/>
        <v>87</v>
      </c>
      <c r="B109" s="147">
        <f t="shared" si="39"/>
        <v>198</v>
      </c>
      <c r="C109" s="147">
        <f t="shared" si="38"/>
        <v>162</v>
      </c>
      <c r="D109" s="149">
        <f t="shared" si="47"/>
        <v>296195572.14022982</v>
      </c>
      <c r="E109" s="149">
        <f t="shared" si="48"/>
        <v>2369176.1955567794</v>
      </c>
      <c r="F109" s="149">
        <f t="shared" si="40"/>
        <v>1491061.852704192</v>
      </c>
      <c r="G109" s="149">
        <f t="shared" si="41"/>
        <v>1441359.7909473858</v>
      </c>
      <c r="H109" s="149">
        <f t="shared" si="49"/>
        <v>49702.061756806215</v>
      </c>
      <c r="I109" s="149">
        <f t="shared" si="50"/>
        <v>878114.34285258735</v>
      </c>
      <c r="J109" s="147">
        <f t="shared" si="51"/>
        <v>4.4999999999999998E-2</v>
      </c>
      <c r="K109" s="175">
        <f t="shared" si="42"/>
        <v>3.8296430163020645E-3</v>
      </c>
      <c r="L109" s="149">
        <f t="shared" si="52"/>
        <v>1138684.0577559853</v>
      </c>
      <c r="M109" s="149">
        <f t="shared" si="53"/>
        <v>3458158.1915559582</v>
      </c>
      <c r="N109" s="149">
        <f t="shared" si="54"/>
        <v>2016798.4006085726</v>
      </c>
      <c r="P109" s="149">
        <f t="shared" si="55"/>
        <v>0</v>
      </c>
      <c r="Q109" s="149">
        <f t="shared" si="56"/>
        <v>0</v>
      </c>
      <c r="R109" s="176">
        <f t="shared" si="57"/>
        <v>0</v>
      </c>
      <c r="S109" s="113">
        <f t="shared" si="58"/>
        <v>0</v>
      </c>
      <c r="T109" s="113">
        <f t="shared" si="43"/>
        <v>0</v>
      </c>
      <c r="U109" s="114">
        <f t="shared" si="59"/>
        <v>14.5</v>
      </c>
      <c r="V109" s="114">
        <f t="shared" si="60"/>
        <v>0</v>
      </c>
      <c r="W109" s="114">
        <f t="shared" si="61"/>
        <v>224.75</v>
      </c>
      <c r="X109" s="114"/>
      <c r="Y109" s="149">
        <f t="shared" si="62"/>
        <v>196195572.1402297</v>
      </c>
      <c r="Z109" s="149">
        <f t="shared" si="63"/>
        <v>958026.45761405164</v>
      </c>
      <c r="AA109" s="176">
        <f t="shared" si="64"/>
        <v>2016798.4006085726</v>
      </c>
      <c r="AB109" s="113">
        <f t="shared" si="65"/>
        <v>2974824.8582226243</v>
      </c>
      <c r="AC109" s="113">
        <f t="shared" si="44"/>
        <v>1958432.9377426573</v>
      </c>
      <c r="AD109" s="114">
        <f t="shared" si="66"/>
        <v>14.5</v>
      </c>
      <c r="AE109" s="114">
        <f t="shared" si="67"/>
        <v>9.7756808963411785E-3</v>
      </c>
      <c r="AF109" s="114">
        <f t="shared" si="68"/>
        <v>224.75</v>
      </c>
      <c r="AG109" s="114"/>
      <c r="AH109" s="176">
        <f t="shared" si="69"/>
        <v>100000000</v>
      </c>
      <c r="AI109" s="176">
        <f t="shared" si="70"/>
        <v>483333.33333333337</v>
      </c>
      <c r="AJ109" s="176">
        <f t="shared" si="71"/>
        <v>0</v>
      </c>
      <c r="AK109" s="113">
        <f t="shared" si="72"/>
        <v>483333.33333333337</v>
      </c>
      <c r="AL109" s="113">
        <f t="shared" si="45"/>
        <v>318195.51234841574</v>
      </c>
      <c r="AM109" s="114">
        <f t="shared" si="73"/>
        <v>14.5</v>
      </c>
      <c r="AN109" s="114">
        <f t="shared" si="74"/>
        <v>3.1743832984397419E-3</v>
      </c>
      <c r="AO109" s="114">
        <f t="shared" si="75"/>
        <v>224.75</v>
      </c>
    </row>
    <row r="110" spans="1:41" x14ac:dyDescent="0.3">
      <c r="A110" s="146">
        <f t="shared" si="46"/>
        <v>88</v>
      </c>
      <c r="B110" s="147">
        <f t="shared" si="39"/>
        <v>197</v>
      </c>
      <c r="C110" s="147">
        <f t="shared" si="38"/>
        <v>163</v>
      </c>
      <c r="D110" s="149">
        <f t="shared" si="47"/>
        <v>294185490.33595914</v>
      </c>
      <c r="E110" s="149">
        <f t="shared" si="48"/>
        <v>2360103.0964850765</v>
      </c>
      <c r="F110" s="149">
        <f t="shared" si="40"/>
        <v>1480977.8607011491</v>
      </c>
      <c r="G110" s="149">
        <f t="shared" si="41"/>
        <v>1431611.9320111109</v>
      </c>
      <c r="H110" s="149">
        <f t="shared" si="49"/>
        <v>49365.928690038156</v>
      </c>
      <c r="I110" s="149">
        <f t="shared" si="50"/>
        <v>879125.23578392738</v>
      </c>
      <c r="J110" s="147">
        <f t="shared" si="51"/>
        <v>4.4999999999999998E-2</v>
      </c>
      <c r="K110" s="175">
        <f t="shared" si="42"/>
        <v>3.8296430163020645E-3</v>
      </c>
      <c r="L110" s="149">
        <f t="shared" si="52"/>
        <v>1130956.5684867506</v>
      </c>
      <c r="M110" s="149">
        <f t="shared" si="53"/>
        <v>3441693.7362817889</v>
      </c>
      <c r="N110" s="149">
        <f t="shared" si="54"/>
        <v>2010081.804270678</v>
      </c>
      <c r="P110" s="149">
        <f t="shared" si="55"/>
        <v>0</v>
      </c>
      <c r="Q110" s="149">
        <f t="shared" si="56"/>
        <v>0</v>
      </c>
      <c r="R110" s="176">
        <f t="shared" si="57"/>
        <v>0</v>
      </c>
      <c r="S110" s="113">
        <f t="shared" si="58"/>
        <v>0</v>
      </c>
      <c r="T110" s="113">
        <f t="shared" si="43"/>
        <v>0</v>
      </c>
      <c r="U110" s="114">
        <f t="shared" si="59"/>
        <v>14.666666666666666</v>
      </c>
      <c r="V110" s="114">
        <f t="shared" si="60"/>
        <v>0</v>
      </c>
      <c r="W110" s="114">
        <f t="shared" si="61"/>
        <v>229.77777777777777</v>
      </c>
      <c r="X110" s="114"/>
      <c r="Y110" s="149">
        <f t="shared" si="62"/>
        <v>194185490.33595902</v>
      </c>
      <c r="Z110" s="149">
        <f t="shared" si="63"/>
        <v>948278.59867777699</v>
      </c>
      <c r="AA110" s="176">
        <f t="shared" si="64"/>
        <v>2010081.804270678</v>
      </c>
      <c r="AB110" s="113">
        <f t="shared" si="65"/>
        <v>2958360.402948455</v>
      </c>
      <c r="AC110" s="113">
        <f t="shared" si="44"/>
        <v>1938257.9372110274</v>
      </c>
      <c r="AD110" s="114">
        <f t="shared" si="66"/>
        <v>14.666666666666666</v>
      </c>
      <c r="AE110" s="114">
        <f t="shared" si="67"/>
        <v>9.6749757031840133E-3</v>
      </c>
      <c r="AF110" s="114">
        <f t="shared" si="68"/>
        <v>229.77777777777777</v>
      </c>
      <c r="AG110" s="114"/>
      <c r="AH110" s="176">
        <f t="shared" si="69"/>
        <v>100000000</v>
      </c>
      <c r="AI110" s="176">
        <f t="shared" si="70"/>
        <v>483333.33333333337</v>
      </c>
      <c r="AJ110" s="176">
        <f t="shared" si="71"/>
        <v>0</v>
      </c>
      <c r="AK110" s="113">
        <f t="shared" si="72"/>
        <v>483333.33333333337</v>
      </c>
      <c r="AL110" s="113">
        <f t="shared" si="45"/>
        <v>316670.23014447757</v>
      </c>
      <c r="AM110" s="114">
        <f t="shared" si="73"/>
        <v>14.666666666666666</v>
      </c>
      <c r="AN110" s="114">
        <f t="shared" si="74"/>
        <v>3.1591667722296332E-3</v>
      </c>
      <c r="AO110" s="114">
        <f t="shared" si="75"/>
        <v>229.77777777777777</v>
      </c>
    </row>
    <row r="111" spans="1:41" hidden="1" outlineLevel="1" x14ac:dyDescent="0.3">
      <c r="A111" s="146">
        <f t="shared" si="46"/>
        <v>89</v>
      </c>
      <c r="B111" s="147">
        <f t="shared" si="39"/>
        <v>196</v>
      </c>
      <c r="C111" s="147">
        <f t="shared" si="38"/>
        <v>164</v>
      </c>
      <c r="D111" s="149">
        <f t="shared" si="47"/>
        <v>292182098.24656802</v>
      </c>
      <c r="E111" s="149">
        <f t="shared" si="48"/>
        <v>2351064.7441438697</v>
      </c>
      <c r="F111" s="149">
        <f t="shared" si="40"/>
        <v>1470927.4516797957</v>
      </c>
      <c r="G111" s="149">
        <f t="shared" si="41"/>
        <v>1421896.5366238025</v>
      </c>
      <c r="H111" s="149">
        <f t="shared" si="49"/>
        <v>49030.915055993246</v>
      </c>
      <c r="I111" s="149">
        <f t="shared" si="50"/>
        <v>880137.29246407398</v>
      </c>
      <c r="J111" s="147">
        <f t="shared" si="51"/>
        <v>4.4999999999999998E-2</v>
      </c>
      <c r="K111" s="175">
        <f t="shared" si="42"/>
        <v>3.8296430163020645E-3</v>
      </c>
      <c r="L111" s="149">
        <f t="shared" si="52"/>
        <v>1123254.7969270323</v>
      </c>
      <c r="M111" s="149">
        <f t="shared" si="53"/>
        <v>3425288.6260149088</v>
      </c>
      <c r="N111" s="149">
        <f t="shared" si="54"/>
        <v>2003392.0893911063</v>
      </c>
      <c r="P111" s="149">
        <f t="shared" si="55"/>
        <v>0</v>
      </c>
      <c r="Q111" s="149">
        <f t="shared" si="56"/>
        <v>0</v>
      </c>
      <c r="R111" s="176">
        <f t="shared" si="57"/>
        <v>0</v>
      </c>
      <c r="S111" s="113">
        <f t="shared" si="58"/>
        <v>0</v>
      </c>
      <c r="T111" s="113">
        <f t="shared" si="43"/>
        <v>0</v>
      </c>
      <c r="U111" s="114">
        <f t="shared" si="59"/>
        <v>14.833333333333334</v>
      </c>
      <c r="V111" s="114">
        <f t="shared" si="60"/>
        <v>0</v>
      </c>
      <c r="W111" s="114">
        <f t="shared" si="61"/>
        <v>234.86111111111114</v>
      </c>
      <c r="X111" s="114"/>
      <c r="Y111" s="149">
        <f t="shared" si="62"/>
        <v>192182098.2465679</v>
      </c>
      <c r="Z111" s="149">
        <f t="shared" si="63"/>
        <v>938563.20329046866</v>
      </c>
      <c r="AA111" s="176">
        <f t="shared" si="64"/>
        <v>2003392.0893911063</v>
      </c>
      <c r="AB111" s="113">
        <f t="shared" si="65"/>
        <v>2941955.2926815748</v>
      </c>
      <c r="AC111" s="113">
        <f t="shared" si="44"/>
        <v>1918270.0503213124</v>
      </c>
      <c r="AD111" s="114">
        <f t="shared" si="66"/>
        <v>14.833333333333334</v>
      </c>
      <c r="AE111" s="114">
        <f t="shared" si="67"/>
        <v>9.575204503333162E-3</v>
      </c>
      <c r="AF111" s="114">
        <f t="shared" si="68"/>
        <v>234.86111111111114</v>
      </c>
      <c r="AG111" s="114"/>
      <c r="AH111" s="176">
        <f t="shared" si="69"/>
        <v>100000000</v>
      </c>
      <c r="AI111" s="176">
        <f t="shared" si="70"/>
        <v>483333.33333333337</v>
      </c>
      <c r="AJ111" s="176">
        <f t="shared" si="71"/>
        <v>0</v>
      </c>
      <c r="AK111" s="113">
        <f t="shared" si="72"/>
        <v>483333.33333333337</v>
      </c>
      <c r="AL111" s="113">
        <f t="shared" si="45"/>
        <v>315152.25943838077</v>
      </c>
      <c r="AM111" s="114">
        <f t="shared" si="73"/>
        <v>14.833333333333334</v>
      </c>
      <c r="AN111" s="114">
        <f t="shared" si="74"/>
        <v>3.1440231870125098E-3</v>
      </c>
      <c r="AO111" s="114">
        <f t="shared" si="75"/>
        <v>234.86111111111114</v>
      </c>
    </row>
    <row r="112" spans="1:41" hidden="1" outlineLevel="1" x14ac:dyDescent="0.3">
      <c r="A112" s="146">
        <f t="shared" si="46"/>
        <v>90</v>
      </c>
      <c r="B112" s="147">
        <f t="shared" si="39"/>
        <v>195</v>
      </c>
      <c r="C112" s="147">
        <f t="shared" si="38"/>
        <v>165</v>
      </c>
      <c r="D112" s="149">
        <f t="shared" si="47"/>
        <v>290185369.09220994</v>
      </c>
      <c r="E112" s="149">
        <f t="shared" si="48"/>
        <v>2342061.0054655853</v>
      </c>
      <c r="F112" s="149">
        <f t="shared" si="40"/>
        <v>1460910.4912328401</v>
      </c>
      <c r="G112" s="149">
        <f t="shared" si="41"/>
        <v>1412213.4748584123</v>
      </c>
      <c r="H112" s="149">
        <f t="shared" si="49"/>
        <v>48697.016374427825</v>
      </c>
      <c r="I112" s="149">
        <f t="shared" si="50"/>
        <v>881150.51423274516</v>
      </c>
      <c r="J112" s="147">
        <f t="shared" si="51"/>
        <v>4.4999999999999998E-2</v>
      </c>
      <c r="K112" s="175">
        <f t="shared" si="42"/>
        <v>3.8296430163020645E-3</v>
      </c>
      <c r="L112" s="149">
        <f t="shared" si="52"/>
        <v>1115578.6401253105</v>
      </c>
      <c r="M112" s="149">
        <f t="shared" si="53"/>
        <v>3408942.629216468</v>
      </c>
      <c r="N112" s="149">
        <f t="shared" si="54"/>
        <v>1996729.1543580557</v>
      </c>
      <c r="P112" s="149">
        <f t="shared" si="55"/>
        <v>0</v>
      </c>
      <c r="Q112" s="149">
        <f t="shared" si="56"/>
        <v>0</v>
      </c>
      <c r="R112" s="176">
        <f t="shared" si="57"/>
        <v>0</v>
      </c>
      <c r="S112" s="113">
        <f t="shared" si="58"/>
        <v>0</v>
      </c>
      <c r="T112" s="113">
        <f t="shared" si="43"/>
        <v>0</v>
      </c>
      <c r="U112" s="114">
        <f t="shared" si="59"/>
        <v>15</v>
      </c>
      <c r="V112" s="114">
        <f t="shared" si="60"/>
        <v>0</v>
      </c>
      <c r="W112" s="114">
        <f t="shared" si="61"/>
        <v>240</v>
      </c>
      <c r="X112" s="114"/>
      <c r="Y112" s="149">
        <f t="shared" si="62"/>
        <v>190185369.09220985</v>
      </c>
      <c r="Z112" s="149">
        <f t="shared" si="63"/>
        <v>928880.14152507822</v>
      </c>
      <c r="AA112" s="176">
        <f t="shared" si="64"/>
        <v>1996729.1543580557</v>
      </c>
      <c r="AB112" s="113">
        <f t="shared" si="65"/>
        <v>2925609.295883134</v>
      </c>
      <c r="AC112" s="113">
        <f t="shared" si="44"/>
        <v>1898467.6110462088</v>
      </c>
      <c r="AD112" s="114">
        <f t="shared" si="66"/>
        <v>15</v>
      </c>
      <c r="AE112" s="114">
        <f t="shared" si="67"/>
        <v>9.4763589806747678E-3</v>
      </c>
      <c r="AF112" s="114">
        <f t="shared" si="68"/>
        <v>240</v>
      </c>
      <c r="AG112" s="114"/>
      <c r="AH112" s="176">
        <f t="shared" si="69"/>
        <v>100000000</v>
      </c>
      <c r="AI112" s="176">
        <f t="shared" si="70"/>
        <v>483333.33333333337</v>
      </c>
      <c r="AJ112" s="176">
        <f t="shared" si="71"/>
        <v>0</v>
      </c>
      <c r="AK112" s="113">
        <f t="shared" si="72"/>
        <v>483333.33333333337</v>
      </c>
      <c r="AL112" s="113">
        <f t="shared" si="45"/>
        <v>313641.56518218428</v>
      </c>
      <c r="AM112" s="114">
        <f t="shared" si="73"/>
        <v>15</v>
      </c>
      <c r="AN112" s="114">
        <f t="shared" si="74"/>
        <v>3.1289521931429668E-3</v>
      </c>
      <c r="AO112" s="114">
        <f t="shared" si="75"/>
        <v>240</v>
      </c>
    </row>
    <row r="113" spans="1:41" hidden="1" outlineLevel="1" x14ac:dyDescent="0.3">
      <c r="A113" s="146">
        <f t="shared" si="46"/>
        <v>91</v>
      </c>
      <c r="B113" s="147">
        <f t="shared" si="39"/>
        <v>194</v>
      </c>
      <c r="C113" s="147">
        <f t="shared" si="38"/>
        <v>166</v>
      </c>
      <c r="D113" s="149">
        <f t="shared" si="47"/>
        <v>288195276.19425952</v>
      </c>
      <c r="E113" s="149">
        <f t="shared" si="48"/>
        <v>2333091.7478922508</v>
      </c>
      <c r="F113" s="149">
        <f t="shared" si="40"/>
        <v>1450926.8454610498</v>
      </c>
      <c r="G113" s="149">
        <f t="shared" si="41"/>
        <v>1402562.6172790148</v>
      </c>
      <c r="H113" s="149">
        <f t="shared" si="49"/>
        <v>48364.228182035033</v>
      </c>
      <c r="I113" s="149">
        <f t="shared" si="50"/>
        <v>882164.90243120096</v>
      </c>
      <c r="J113" s="147">
        <f t="shared" si="51"/>
        <v>4.4999999999999998E-2</v>
      </c>
      <c r="K113" s="175">
        <f t="shared" si="42"/>
        <v>3.8296430163020645E-3</v>
      </c>
      <c r="L113" s="149">
        <f t="shared" si="52"/>
        <v>1107927.9955191964</v>
      </c>
      <c r="M113" s="149">
        <f t="shared" si="53"/>
        <v>3392655.5152294124</v>
      </c>
      <c r="N113" s="149">
        <f t="shared" si="54"/>
        <v>1990092.8979503973</v>
      </c>
      <c r="P113" s="149">
        <f t="shared" si="55"/>
        <v>0</v>
      </c>
      <c r="Q113" s="149">
        <f t="shared" si="56"/>
        <v>0</v>
      </c>
      <c r="R113" s="176">
        <f t="shared" si="57"/>
        <v>0</v>
      </c>
      <c r="S113" s="113">
        <f t="shared" si="58"/>
        <v>0</v>
      </c>
      <c r="T113" s="113">
        <f t="shared" si="43"/>
        <v>0</v>
      </c>
      <c r="U113" s="114">
        <f t="shared" si="59"/>
        <v>15.166666666666666</v>
      </c>
      <c r="V113" s="114">
        <f t="shared" si="60"/>
        <v>0</v>
      </c>
      <c r="W113" s="114">
        <f t="shared" si="61"/>
        <v>245.1944444444444</v>
      </c>
      <c r="X113" s="114"/>
      <c r="Y113" s="149">
        <f t="shared" si="62"/>
        <v>188195276.19425943</v>
      </c>
      <c r="Z113" s="149">
        <f t="shared" si="63"/>
        <v>919229.28394568095</v>
      </c>
      <c r="AA113" s="176">
        <f t="shared" si="64"/>
        <v>1990092.8979503973</v>
      </c>
      <c r="AB113" s="113">
        <f t="shared" si="65"/>
        <v>2909322.1818960784</v>
      </c>
      <c r="AC113" s="113">
        <f t="shared" si="44"/>
        <v>1878848.9679302953</v>
      </c>
      <c r="AD113" s="114">
        <f t="shared" si="66"/>
        <v>15.166666666666666</v>
      </c>
      <c r="AE113" s="114">
        <f t="shared" si="67"/>
        <v>9.3784308918317422E-3</v>
      </c>
      <c r="AF113" s="114">
        <f t="shared" si="68"/>
        <v>245.1944444444444</v>
      </c>
      <c r="AG113" s="114"/>
      <c r="AH113" s="176">
        <f t="shared" si="69"/>
        <v>100000000</v>
      </c>
      <c r="AI113" s="176">
        <f t="shared" si="70"/>
        <v>483333.33333333337</v>
      </c>
      <c r="AJ113" s="176">
        <f t="shared" si="71"/>
        <v>0</v>
      </c>
      <c r="AK113" s="113">
        <f t="shared" si="72"/>
        <v>483333.33333333337</v>
      </c>
      <c r="AL113" s="113">
        <f t="shared" si="45"/>
        <v>312138.11249595066</v>
      </c>
      <c r="AM113" s="114">
        <f t="shared" si="73"/>
        <v>15.166666666666666</v>
      </c>
      <c r="AN113" s="114">
        <f t="shared" si="74"/>
        <v>3.1139534426516385E-3</v>
      </c>
      <c r="AO113" s="114">
        <f t="shared" si="75"/>
        <v>245.1944444444444</v>
      </c>
    </row>
    <row r="114" spans="1:41" hidden="1" outlineLevel="1" x14ac:dyDescent="0.3">
      <c r="A114" s="146">
        <f t="shared" si="46"/>
        <v>92</v>
      </c>
      <c r="B114" s="147">
        <f t="shared" si="39"/>
        <v>193</v>
      </c>
      <c r="C114" s="147">
        <f t="shared" si="38"/>
        <v>167</v>
      </c>
      <c r="D114" s="149">
        <f t="shared" si="47"/>
        <v>286211792.97492337</v>
      </c>
      <c r="E114" s="149">
        <f t="shared" si="48"/>
        <v>2324156.8393735434</v>
      </c>
      <c r="F114" s="149">
        <f t="shared" si="40"/>
        <v>1440976.3809712976</v>
      </c>
      <c r="G114" s="149">
        <f t="shared" si="41"/>
        <v>1392943.834938921</v>
      </c>
      <c r="H114" s="149">
        <f t="shared" si="49"/>
        <v>48032.546032376587</v>
      </c>
      <c r="I114" s="149">
        <f t="shared" si="50"/>
        <v>883180.45840224577</v>
      </c>
      <c r="J114" s="147">
        <f t="shared" si="51"/>
        <v>4.4999999999999998E-2</v>
      </c>
      <c r="K114" s="175">
        <f t="shared" si="42"/>
        <v>3.8296430163020645E-3</v>
      </c>
      <c r="L114" s="149">
        <f t="shared" si="52"/>
        <v>1100302.7609339361</v>
      </c>
      <c r="M114" s="149">
        <f t="shared" si="53"/>
        <v>3376427.0542751029</v>
      </c>
      <c r="N114" s="149">
        <f t="shared" si="54"/>
        <v>1983483.2193361819</v>
      </c>
      <c r="P114" s="149">
        <f t="shared" si="55"/>
        <v>0</v>
      </c>
      <c r="Q114" s="149">
        <f t="shared" si="56"/>
        <v>0</v>
      </c>
      <c r="R114" s="176">
        <f t="shared" si="57"/>
        <v>0</v>
      </c>
      <c r="S114" s="113">
        <f t="shared" si="58"/>
        <v>0</v>
      </c>
      <c r="T114" s="113">
        <f t="shared" si="43"/>
        <v>0</v>
      </c>
      <c r="U114" s="114">
        <f t="shared" si="59"/>
        <v>15.333333333333334</v>
      </c>
      <c r="V114" s="114">
        <f t="shared" si="60"/>
        <v>0</v>
      </c>
      <c r="W114" s="114">
        <f t="shared" si="61"/>
        <v>250.44444444444449</v>
      </c>
      <c r="X114" s="114"/>
      <c r="Y114" s="149">
        <f t="shared" si="62"/>
        <v>186211792.97492325</v>
      </c>
      <c r="Z114" s="149">
        <f t="shared" si="63"/>
        <v>909610.50160558731</v>
      </c>
      <c r="AA114" s="176">
        <f t="shared" si="64"/>
        <v>1983483.2193361819</v>
      </c>
      <c r="AB114" s="113">
        <f t="shared" si="65"/>
        <v>2893093.720941769</v>
      </c>
      <c r="AC114" s="113">
        <f t="shared" si="44"/>
        <v>1859412.483963636</v>
      </c>
      <c r="AD114" s="114">
        <f t="shared" si="66"/>
        <v>15.333333333333334</v>
      </c>
      <c r="AE114" s="114">
        <f t="shared" si="67"/>
        <v>9.2814120655328354E-3</v>
      </c>
      <c r="AF114" s="114">
        <f t="shared" si="68"/>
        <v>250.44444444444449</v>
      </c>
      <c r="AG114" s="114"/>
      <c r="AH114" s="176">
        <f t="shared" si="69"/>
        <v>100000000</v>
      </c>
      <c r="AI114" s="176">
        <f t="shared" si="70"/>
        <v>483333.33333333337</v>
      </c>
      <c r="AJ114" s="176">
        <f t="shared" si="71"/>
        <v>0</v>
      </c>
      <c r="AK114" s="113">
        <f t="shared" si="72"/>
        <v>483333.33333333337</v>
      </c>
      <c r="AL114" s="113">
        <f t="shared" si="45"/>
        <v>310641.86666694109</v>
      </c>
      <c r="AM114" s="114">
        <f t="shared" si="73"/>
        <v>15.333333333333334</v>
      </c>
      <c r="AN114" s="114">
        <f t="shared" si="74"/>
        <v>3.0990265892371647E-3</v>
      </c>
      <c r="AO114" s="114">
        <f t="shared" si="75"/>
        <v>250.44444444444449</v>
      </c>
    </row>
    <row r="115" spans="1:41" hidden="1" outlineLevel="1" x14ac:dyDescent="0.3">
      <c r="A115" s="146">
        <f t="shared" si="46"/>
        <v>93</v>
      </c>
      <c r="B115" s="147">
        <f t="shared" si="39"/>
        <v>192</v>
      </c>
      <c r="C115" s="147">
        <f t="shared" si="38"/>
        <v>168</v>
      </c>
      <c r="D115" s="149">
        <f t="shared" si="47"/>
        <v>284234892.95685226</v>
      </c>
      <c r="E115" s="149">
        <f t="shared" si="48"/>
        <v>2315256.1483648457</v>
      </c>
      <c r="F115" s="149">
        <f t="shared" si="40"/>
        <v>1431058.9648746168</v>
      </c>
      <c r="G115" s="149">
        <f t="shared" si="41"/>
        <v>1383356.9993787964</v>
      </c>
      <c r="H115" s="149">
        <f t="shared" si="49"/>
        <v>47701.96549582039</v>
      </c>
      <c r="I115" s="149">
        <f t="shared" si="50"/>
        <v>884197.18349022884</v>
      </c>
      <c r="J115" s="147">
        <f t="shared" si="51"/>
        <v>4.4999999999999998E-2</v>
      </c>
      <c r="K115" s="175">
        <f t="shared" si="42"/>
        <v>3.8296430163020645E-3</v>
      </c>
      <c r="L115" s="149">
        <f t="shared" si="52"/>
        <v>1092702.8345809204</v>
      </c>
      <c r="M115" s="149">
        <f t="shared" si="53"/>
        <v>3360257.0174499461</v>
      </c>
      <c r="N115" s="149">
        <f t="shared" si="54"/>
        <v>1976900.0180711492</v>
      </c>
      <c r="P115" s="149">
        <f t="shared" si="55"/>
        <v>0</v>
      </c>
      <c r="Q115" s="149">
        <f t="shared" si="56"/>
        <v>0</v>
      </c>
      <c r="R115" s="176">
        <f t="shared" si="57"/>
        <v>0</v>
      </c>
      <c r="S115" s="113">
        <f t="shared" si="58"/>
        <v>0</v>
      </c>
      <c r="T115" s="113">
        <f t="shared" si="43"/>
        <v>0</v>
      </c>
      <c r="U115" s="114">
        <f t="shared" si="59"/>
        <v>15.5</v>
      </c>
      <c r="V115" s="114">
        <f t="shared" si="60"/>
        <v>0</v>
      </c>
      <c r="W115" s="114">
        <f t="shared" si="61"/>
        <v>255.75</v>
      </c>
      <c r="X115" s="114"/>
      <c r="Y115" s="149">
        <f t="shared" si="62"/>
        <v>184234892.95685211</v>
      </c>
      <c r="Z115" s="149">
        <f t="shared" si="63"/>
        <v>900023.66604546248</v>
      </c>
      <c r="AA115" s="176">
        <f t="shared" si="64"/>
        <v>1976900.0180711492</v>
      </c>
      <c r="AB115" s="113">
        <f t="shared" si="65"/>
        <v>2876923.6841166117</v>
      </c>
      <c r="AC115" s="113">
        <f t="shared" si="44"/>
        <v>1840156.5364564636</v>
      </c>
      <c r="AD115" s="114">
        <f t="shared" si="66"/>
        <v>15.5</v>
      </c>
      <c r="AE115" s="114">
        <f t="shared" si="67"/>
        <v>9.1852944019871104E-3</v>
      </c>
      <c r="AF115" s="114">
        <f t="shared" si="68"/>
        <v>255.75</v>
      </c>
      <c r="AG115" s="114"/>
      <c r="AH115" s="176">
        <f t="shared" si="69"/>
        <v>100000000</v>
      </c>
      <c r="AI115" s="176">
        <f t="shared" si="70"/>
        <v>483333.33333333337</v>
      </c>
      <c r="AJ115" s="176">
        <f t="shared" si="71"/>
        <v>0</v>
      </c>
      <c r="AK115" s="113">
        <f t="shared" si="72"/>
        <v>483333.33333333337</v>
      </c>
      <c r="AL115" s="113">
        <f t="shared" si="45"/>
        <v>309152.79314881307</v>
      </c>
      <c r="AM115" s="114">
        <f t="shared" si="73"/>
        <v>15.5</v>
      </c>
      <c r="AN115" s="114">
        <f t="shared" si="74"/>
        <v>3.0841712882581909E-3</v>
      </c>
      <c r="AO115" s="114">
        <f t="shared" si="75"/>
        <v>255.75</v>
      </c>
    </row>
    <row r="116" spans="1:41" hidden="1" outlineLevel="1" x14ac:dyDescent="0.3">
      <c r="A116" s="146">
        <f t="shared" si="46"/>
        <v>94</v>
      </c>
      <c r="B116" s="147">
        <f t="shared" si="39"/>
        <v>191</v>
      </c>
      <c r="C116" s="147">
        <f t="shared" si="38"/>
        <v>169</v>
      </c>
      <c r="D116" s="149">
        <f t="shared" si="47"/>
        <v>282264549.76275498</v>
      </c>
      <c r="E116" s="149">
        <f t="shared" si="48"/>
        <v>2306389.5438253097</v>
      </c>
      <c r="F116" s="149">
        <f t="shared" si="40"/>
        <v>1421174.4647842613</v>
      </c>
      <c r="G116" s="149">
        <f t="shared" si="41"/>
        <v>1373801.982624786</v>
      </c>
      <c r="H116" s="149">
        <f t="shared" si="49"/>
        <v>47372.48215947533</v>
      </c>
      <c r="I116" s="149">
        <f t="shared" si="50"/>
        <v>885215.07904104842</v>
      </c>
      <c r="J116" s="147">
        <f t="shared" si="51"/>
        <v>4.4999999999999998E-2</v>
      </c>
      <c r="K116" s="175">
        <f t="shared" si="42"/>
        <v>3.8296430163020645E-3</v>
      </c>
      <c r="L116" s="149">
        <f t="shared" si="52"/>
        <v>1085128.1150561993</v>
      </c>
      <c r="M116" s="149">
        <f t="shared" si="53"/>
        <v>3344145.1767220339</v>
      </c>
      <c r="N116" s="149">
        <f t="shared" si="54"/>
        <v>1970343.1940972477</v>
      </c>
      <c r="P116" s="149">
        <f t="shared" si="55"/>
        <v>0</v>
      </c>
      <c r="Q116" s="149">
        <f t="shared" si="56"/>
        <v>0</v>
      </c>
      <c r="R116" s="176">
        <f t="shared" si="57"/>
        <v>0</v>
      </c>
      <c r="S116" s="113">
        <f t="shared" si="58"/>
        <v>0</v>
      </c>
      <c r="T116" s="113">
        <f t="shared" si="43"/>
        <v>0</v>
      </c>
      <c r="U116" s="114">
        <f t="shared" si="59"/>
        <v>15.666666666666666</v>
      </c>
      <c r="V116" s="114">
        <f t="shared" si="60"/>
        <v>0</v>
      </c>
      <c r="W116" s="114">
        <f t="shared" si="61"/>
        <v>261.11111111111109</v>
      </c>
      <c r="X116" s="114"/>
      <c r="Y116" s="149">
        <f t="shared" si="62"/>
        <v>182264549.76275486</v>
      </c>
      <c r="Z116" s="149">
        <f t="shared" si="63"/>
        <v>890468.6492914519</v>
      </c>
      <c r="AA116" s="176">
        <f t="shared" si="64"/>
        <v>1970343.1940972477</v>
      </c>
      <c r="AB116" s="113">
        <f t="shared" si="65"/>
        <v>2860811.8433886995</v>
      </c>
      <c r="AC116" s="113">
        <f t="shared" si="44"/>
        <v>1821079.5169149551</v>
      </c>
      <c r="AD116" s="114">
        <f t="shared" si="66"/>
        <v>15.666666666666666</v>
      </c>
      <c r="AE116" s="114">
        <f t="shared" si="67"/>
        <v>9.090069872263868E-3</v>
      </c>
      <c r="AF116" s="114">
        <f t="shared" si="68"/>
        <v>261.11111111111109</v>
      </c>
      <c r="AG116" s="114"/>
      <c r="AH116" s="176">
        <f t="shared" si="69"/>
        <v>100000000</v>
      </c>
      <c r="AI116" s="176">
        <f t="shared" si="70"/>
        <v>483333.33333333337</v>
      </c>
      <c r="AJ116" s="176">
        <f t="shared" si="71"/>
        <v>0</v>
      </c>
      <c r="AK116" s="113">
        <f t="shared" si="72"/>
        <v>483333.33333333337</v>
      </c>
      <c r="AL116" s="113">
        <f t="shared" si="45"/>
        <v>307670.85756082361</v>
      </c>
      <c r="AM116" s="114">
        <f t="shared" si="73"/>
        <v>15.666666666666666</v>
      </c>
      <c r="AN116" s="114">
        <f t="shared" si="74"/>
        <v>3.0693871967254161E-3</v>
      </c>
      <c r="AO116" s="114">
        <f t="shared" si="75"/>
        <v>261.11111111111109</v>
      </c>
    </row>
    <row r="117" spans="1:41" hidden="1" outlineLevel="1" x14ac:dyDescent="0.3">
      <c r="A117" s="146">
        <f t="shared" si="46"/>
        <v>95</v>
      </c>
      <c r="B117" s="147">
        <f t="shared" si="39"/>
        <v>190</v>
      </c>
      <c r="C117" s="147">
        <f t="shared" si="38"/>
        <v>170</v>
      </c>
      <c r="D117" s="149">
        <f t="shared" si="47"/>
        <v>280300737.11501378</v>
      </c>
      <c r="E117" s="149">
        <f t="shared" si="48"/>
        <v>2297556.8952159272</v>
      </c>
      <c r="F117" s="149">
        <f t="shared" si="40"/>
        <v>1411322.7488137749</v>
      </c>
      <c r="G117" s="149">
        <f t="shared" si="41"/>
        <v>1364278.657186649</v>
      </c>
      <c r="H117" s="149">
        <f t="shared" si="49"/>
        <v>47044.091627125861</v>
      </c>
      <c r="I117" s="149">
        <f t="shared" si="50"/>
        <v>886234.14640215226</v>
      </c>
      <c r="J117" s="147">
        <f t="shared" si="51"/>
        <v>4.4999999999999998E-2</v>
      </c>
      <c r="K117" s="175">
        <f t="shared" si="42"/>
        <v>3.8296430163020645E-3</v>
      </c>
      <c r="L117" s="149">
        <f t="shared" si="52"/>
        <v>1077578.5013390037</v>
      </c>
      <c r="M117" s="149">
        <f t="shared" si="53"/>
        <v>3328091.3049278045</v>
      </c>
      <c r="N117" s="149">
        <f t="shared" si="54"/>
        <v>1963812.6477411559</v>
      </c>
      <c r="P117" s="149">
        <f t="shared" si="55"/>
        <v>0</v>
      </c>
      <c r="Q117" s="149">
        <f t="shared" si="56"/>
        <v>0</v>
      </c>
      <c r="R117" s="176">
        <f t="shared" si="57"/>
        <v>0</v>
      </c>
      <c r="S117" s="113">
        <f t="shared" si="58"/>
        <v>0</v>
      </c>
      <c r="T117" s="113">
        <f t="shared" si="43"/>
        <v>0</v>
      </c>
      <c r="U117" s="114">
        <f t="shared" si="59"/>
        <v>15.833333333333334</v>
      </c>
      <c r="V117" s="114">
        <f t="shared" si="60"/>
        <v>0</v>
      </c>
      <c r="W117" s="114">
        <f t="shared" si="61"/>
        <v>266.52777777777783</v>
      </c>
      <c r="X117" s="114"/>
      <c r="Y117" s="149">
        <f t="shared" si="62"/>
        <v>180300737.11501369</v>
      </c>
      <c r="Z117" s="149">
        <f t="shared" si="63"/>
        <v>880945.3238533152</v>
      </c>
      <c r="AA117" s="176">
        <f t="shared" si="64"/>
        <v>1963812.6477411559</v>
      </c>
      <c r="AB117" s="113">
        <f t="shared" si="65"/>
        <v>2844757.971594471</v>
      </c>
      <c r="AC117" s="113">
        <f t="shared" si="44"/>
        <v>1802179.8309180795</v>
      </c>
      <c r="AD117" s="114">
        <f t="shared" si="66"/>
        <v>15.833333333333334</v>
      </c>
      <c r="AE117" s="114">
        <f t="shared" si="67"/>
        <v>8.99573051767792E-3</v>
      </c>
      <c r="AF117" s="114">
        <f t="shared" si="68"/>
        <v>266.52777777777783</v>
      </c>
      <c r="AG117" s="114"/>
      <c r="AH117" s="176">
        <f t="shared" si="69"/>
        <v>100000000</v>
      </c>
      <c r="AI117" s="176">
        <f t="shared" si="70"/>
        <v>483333.33333333337</v>
      </c>
      <c r="AJ117" s="176">
        <f t="shared" si="71"/>
        <v>0</v>
      </c>
      <c r="AK117" s="113">
        <f t="shared" si="72"/>
        <v>483333.33333333337</v>
      </c>
      <c r="AL117" s="113">
        <f t="shared" si="45"/>
        <v>306196.02568703511</v>
      </c>
      <c r="AM117" s="114">
        <f t="shared" si="73"/>
        <v>15.833333333333334</v>
      </c>
      <c r="AN117" s="114">
        <f t="shared" si="74"/>
        <v>3.0546739732936713E-3</v>
      </c>
      <c r="AO117" s="114">
        <f t="shared" si="75"/>
        <v>266.52777777777783</v>
      </c>
    </row>
    <row r="118" spans="1:41" hidden="1" outlineLevel="1" x14ac:dyDescent="0.3">
      <c r="A118" s="146">
        <f t="shared" si="46"/>
        <v>96</v>
      </c>
      <c r="B118" s="147">
        <f t="shared" si="39"/>
        <v>189</v>
      </c>
      <c r="C118" s="147">
        <f t="shared" si="38"/>
        <v>171</v>
      </c>
      <c r="D118" s="149">
        <f t="shared" si="47"/>
        <v>278343428.83530098</v>
      </c>
      <c r="E118" s="149">
        <f t="shared" si="48"/>
        <v>2288758.0724976067</v>
      </c>
      <c r="F118" s="149">
        <f t="shared" si="40"/>
        <v>1401503.6855750689</v>
      </c>
      <c r="G118" s="149">
        <f t="shared" si="41"/>
        <v>1354786.8960559</v>
      </c>
      <c r="H118" s="149">
        <f t="shared" si="49"/>
        <v>46716.789519168902</v>
      </c>
      <c r="I118" s="149">
        <f t="shared" si="50"/>
        <v>887254.38692253781</v>
      </c>
      <c r="J118" s="147">
        <f t="shared" si="51"/>
        <v>4.4999999999999998E-2</v>
      </c>
      <c r="K118" s="175">
        <f t="shared" si="42"/>
        <v>3.8296430163020645E-3</v>
      </c>
      <c r="L118" s="149">
        <f t="shared" si="52"/>
        <v>1070053.8927902721</v>
      </c>
      <c r="M118" s="149">
        <f t="shared" si="53"/>
        <v>3312095.1757687097</v>
      </c>
      <c r="N118" s="149">
        <f t="shared" si="54"/>
        <v>1957308.2797128099</v>
      </c>
      <c r="P118" s="149">
        <f t="shared" si="55"/>
        <v>0</v>
      </c>
      <c r="Q118" s="149">
        <f t="shared" si="56"/>
        <v>0</v>
      </c>
      <c r="R118" s="176">
        <f t="shared" si="57"/>
        <v>0</v>
      </c>
      <c r="S118" s="113">
        <f t="shared" si="58"/>
        <v>0</v>
      </c>
      <c r="T118" s="113">
        <f t="shared" si="43"/>
        <v>0</v>
      </c>
      <c r="U118" s="114">
        <f t="shared" si="59"/>
        <v>16</v>
      </c>
      <c r="V118" s="114">
        <f t="shared" si="60"/>
        <v>0</v>
      </c>
      <c r="W118" s="114">
        <f t="shared" si="61"/>
        <v>272</v>
      </c>
      <c r="X118" s="114"/>
      <c r="Y118" s="149">
        <f t="shared" si="62"/>
        <v>178343428.83530089</v>
      </c>
      <c r="Z118" s="149">
        <f t="shared" si="63"/>
        <v>871453.56272256619</v>
      </c>
      <c r="AA118" s="176">
        <f t="shared" si="64"/>
        <v>1957308.2797128099</v>
      </c>
      <c r="AB118" s="113">
        <f t="shared" si="65"/>
        <v>2828761.8424353763</v>
      </c>
      <c r="AC118" s="113">
        <f t="shared" si="44"/>
        <v>1783455.8979955025</v>
      </c>
      <c r="AD118" s="114">
        <f t="shared" si="66"/>
        <v>16</v>
      </c>
      <c r="AE118" s="114">
        <f t="shared" si="67"/>
        <v>8.9022684491801424E-3</v>
      </c>
      <c r="AF118" s="114">
        <f t="shared" si="68"/>
        <v>272</v>
      </c>
      <c r="AG118" s="114"/>
      <c r="AH118" s="176">
        <f t="shared" si="69"/>
        <v>100000000</v>
      </c>
      <c r="AI118" s="176">
        <f t="shared" si="70"/>
        <v>483333.33333333337</v>
      </c>
      <c r="AJ118" s="176">
        <f t="shared" si="71"/>
        <v>0</v>
      </c>
      <c r="AK118" s="113">
        <f t="shared" si="72"/>
        <v>483333.33333333337</v>
      </c>
      <c r="AL118" s="113">
        <f t="shared" si="45"/>
        <v>304728.26347552525</v>
      </c>
      <c r="AM118" s="114">
        <f t="shared" si="73"/>
        <v>16</v>
      </c>
      <c r="AN118" s="114">
        <f t="shared" si="74"/>
        <v>3.0400312782540373E-3</v>
      </c>
      <c r="AO118" s="114">
        <f t="shared" si="75"/>
        <v>272</v>
      </c>
    </row>
    <row r="119" spans="1:41" hidden="1" outlineLevel="1" x14ac:dyDescent="0.3">
      <c r="A119" s="146">
        <f t="shared" si="46"/>
        <v>97</v>
      </c>
      <c r="B119" s="147">
        <f t="shared" si="39"/>
        <v>188</v>
      </c>
      <c r="C119" s="147">
        <f t="shared" si="38"/>
        <v>172</v>
      </c>
      <c r="D119" s="149">
        <f t="shared" si="47"/>
        <v>276392598.84419703</v>
      </c>
      <c r="E119" s="149">
        <f t="shared" si="48"/>
        <v>2279992.9461292615</v>
      </c>
      <c r="F119" s="149">
        <f t="shared" si="40"/>
        <v>1391717.144176505</v>
      </c>
      <c r="G119" s="149">
        <f t="shared" si="41"/>
        <v>1345326.5727039548</v>
      </c>
      <c r="H119" s="149">
        <f t="shared" si="49"/>
        <v>46390.571472550277</v>
      </c>
      <c r="I119" s="149">
        <f t="shared" si="50"/>
        <v>888275.80195275648</v>
      </c>
      <c r="J119" s="147">
        <f t="shared" si="51"/>
        <v>4.4999999999999998E-2</v>
      </c>
      <c r="K119" s="175">
        <f t="shared" si="42"/>
        <v>3.8296430163020645E-3</v>
      </c>
      <c r="L119" s="149">
        <f t="shared" si="52"/>
        <v>1062554.1891511825</v>
      </c>
      <c r="M119" s="149">
        <f t="shared" si="53"/>
        <v>3296156.5638078935</v>
      </c>
      <c r="N119" s="149">
        <f t="shared" si="54"/>
        <v>1950829.991103939</v>
      </c>
      <c r="P119" s="149">
        <f t="shared" si="55"/>
        <v>0</v>
      </c>
      <c r="Q119" s="149">
        <f t="shared" si="56"/>
        <v>0</v>
      </c>
      <c r="R119" s="176">
        <f t="shared" si="57"/>
        <v>0</v>
      </c>
      <c r="S119" s="113">
        <f t="shared" si="58"/>
        <v>0</v>
      </c>
      <c r="T119" s="113">
        <f t="shared" si="43"/>
        <v>0</v>
      </c>
      <c r="U119" s="114">
        <f t="shared" si="59"/>
        <v>16.166666666666668</v>
      </c>
      <c r="V119" s="114">
        <f t="shared" si="60"/>
        <v>0</v>
      </c>
      <c r="W119" s="114">
        <f t="shared" si="61"/>
        <v>277.52777777777783</v>
      </c>
      <c r="X119" s="114"/>
      <c r="Y119" s="149">
        <f t="shared" si="62"/>
        <v>176392598.84419695</v>
      </c>
      <c r="Z119" s="149">
        <f t="shared" si="63"/>
        <v>861993.23937062104</v>
      </c>
      <c r="AA119" s="176">
        <f t="shared" si="64"/>
        <v>1950829.991103939</v>
      </c>
      <c r="AB119" s="113">
        <f t="shared" si="65"/>
        <v>2812823.2304745601</v>
      </c>
      <c r="AC119" s="113">
        <f t="shared" si="44"/>
        <v>1764906.1515065546</v>
      </c>
      <c r="AD119" s="114">
        <f t="shared" si="66"/>
        <v>16.166666666666668</v>
      </c>
      <c r="AE119" s="114">
        <f t="shared" si="67"/>
        <v>8.8096758467533301E-3</v>
      </c>
      <c r="AF119" s="114">
        <f t="shared" si="68"/>
        <v>277.52777777777783</v>
      </c>
      <c r="AG119" s="114"/>
      <c r="AH119" s="176">
        <f t="shared" si="69"/>
        <v>100000000</v>
      </c>
      <c r="AI119" s="176">
        <f t="shared" si="70"/>
        <v>483333.33333333337</v>
      </c>
      <c r="AJ119" s="176">
        <f t="shared" si="71"/>
        <v>0</v>
      </c>
      <c r="AK119" s="113">
        <f t="shared" si="72"/>
        <v>483333.33333333337</v>
      </c>
      <c r="AL119" s="113">
        <f t="shared" si="45"/>
        <v>303267.537037601</v>
      </c>
      <c r="AM119" s="114">
        <f t="shared" si="73"/>
        <v>16.166666666666668</v>
      </c>
      <c r="AN119" s="114">
        <f t="shared" si="74"/>
        <v>3.0254587735260045E-3</v>
      </c>
      <c r="AO119" s="114">
        <f t="shared" si="75"/>
        <v>277.52777777777783</v>
      </c>
    </row>
    <row r="120" spans="1:41" hidden="1" outlineLevel="1" x14ac:dyDescent="0.3">
      <c r="A120" s="146">
        <f t="shared" si="46"/>
        <v>98</v>
      </c>
      <c r="B120" s="147">
        <f t="shared" si="39"/>
        <v>187</v>
      </c>
      <c r="C120" s="147">
        <f t="shared" si="38"/>
        <v>173</v>
      </c>
      <c r="D120" s="149">
        <f t="shared" si="47"/>
        <v>274448221.16081041</v>
      </c>
      <c r="E120" s="149">
        <f t="shared" si="48"/>
        <v>2271261.3870658996</v>
      </c>
      <c r="F120" s="149">
        <f t="shared" si="40"/>
        <v>1381962.9942209851</v>
      </c>
      <c r="G120" s="149">
        <f t="shared" si="41"/>
        <v>1335897.5610802858</v>
      </c>
      <c r="H120" s="149">
        <f t="shared" si="49"/>
        <v>46065.433140699286</v>
      </c>
      <c r="I120" s="149">
        <f t="shared" si="50"/>
        <v>889298.39284491446</v>
      </c>
      <c r="J120" s="147">
        <f t="shared" si="51"/>
        <v>4.4999999999999998E-2</v>
      </c>
      <c r="K120" s="175">
        <f t="shared" si="42"/>
        <v>3.8296430163020645E-3</v>
      </c>
      <c r="L120" s="149">
        <f t="shared" si="52"/>
        <v>1055079.2905416901</v>
      </c>
      <c r="M120" s="149">
        <f t="shared" si="53"/>
        <v>3280275.2444668906</v>
      </c>
      <c r="N120" s="149">
        <f t="shared" si="54"/>
        <v>1944377.6833866045</v>
      </c>
      <c r="P120" s="149">
        <f t="shared" si="55"/>
        <v>0</v>
      </c>
      <c r="Q120" s="149">
        <f t="shared" si="56"/>
        <v>0</v>
      </c>
      <c r="R120" s="176">
        <f t="shared" si="57"/>
        <v>0</v>
      </c>
      <c r="S120" s="113">
        <f t="shared" si="58"/>
        <v>0</v>
      </c>
      <c r="T120" s="113">
        <f t="shared" si="43"/>
        <v>0</v>
      </c>
      <c r="U120" s="114">
        <f t="shared" si="59"/>
        <v>16.333333333333332</v>
      </c>
      <c r="V120" s="114">
        <f t="shared" si="60"/>
        <v>0</v>
      </c>
      <c r="W120" s="114">
        <f t="shared" si="61"/>
        <v>283.11111111111109</v>
      </c>
      <c r="X120" s="114"/>
      <c r="Y120" s="149">
        <f t="shared" si="62"/>
        <v>174448221.16081035</v>
      </c>
      <c r="Z120" s="149">
        <f t="shared" si="63"/>
        <v>852564.22774695198</v>
      </c>
      <c r="AA120" s="176">
        <f t="shared" si="64"/>
        <v>1944377.6833866045</v>
      </c>
      <c r="AB120" s="113">
        <f t="shared" si="65"/>
        <v>2796941.9111335566</v>
      </c>
      <c r="AC120" s="113">
        <f t="shared" si="44"/>
        <v>1746529.0385202412</v>
      </c>
      <c r="AD120" s="114">
        <f t="shared" si="66"/>
        <v>16.333333333333332</v>
      </c>
      <c r="AE120" s="114">
        <f t="shared" si="67"/>
        <v>8.7179449588132632E-3</v>
      </c>
      <c r="AF120" s="114">
        <f t="shared" si="68"/>
        <v>283.11111111111109</v>
      </c>
      <c r="AG120" s="114"/>
      <c r="AH120" s="176">
        <f t="shared" si="69"/>
        <v>100000000</v>
      </c>
      <c r="AI120" s="176">
        <f t="shared" si="70"/>
        <v>483333.33333333337</v>
      </c>
      <c r="AJ120" s="176">
        <f t="shared" si="71"/>
        <v>0</v>
      </c>
      <c r="AK120" s="113">
        <f t="shared" si="72"/>
        <v>483333.33333333337</v>
      </c>
      <c r="AL120" s="113">
        <f t="shared" si="45"/>
        <v>301813.8126470159</v>
      </c>
      <c r="AM120" s="114">
        <f t="shared" si="73"/>
        <v>16.333333333333332</v>
      </c>
      <c r="AN120" s="114">
        <f t="shared" si="74"/>
        <v>3.0109561226496625E-3</v>
      </c>
      <c r="AO120" s="114">
        <f t="shared" si="75"/>
        <v>283.11111111111109</v>
      </c>
    </row>
    <row r="121" spans="1:41" hidden="1" outlineLevel="1" x14ac:dyDescent="0.3">
      <c r="A121" s="146">
        <f t="shared" si="46"/>
        <v>99</v>
      </c>
      <c r="B121" s="147">
        <f t="shared" si="39"/>
        <v>186</v>
      </c>
      <c r="C121" s="147">
        <f t="shared" si="38"/>
        <v>174</v>
      </c>
      <c r="D121" s="149">
        <f t="shared" si="47"/>
        <v>272510269.90239865</v>
      </c>
      <c r="E121" s="149">
        <f t="shared" si="48"/>
        <v>2262563.266756726</v>
      </c>
      <c r="F121" s="149">
        <f t="shared" si="40"/>
        <v>1372241.105804052</v>
      </c>
      <c r="G121" s="149">
        <f t="shared" si="41"/>
        <v>1326499.7356105838</v>
      </c>
      <c r="H121" s="149">
        <f t="shared" si="49"/>
        <v>45741.370193468174</v>
      </c>
      <c r="I121" s="149">
        <f t="shared" si="50"/>
        <v>890322.16095267399</v>
      </c>
      <c r="J121" s="147">
        <f t="shared" si="51"/>
        <v>4.4999999999999998E-2</v>
      </c>
      <c r="K121" s="175">
        <f t="shared" si="42"/>
        <v>3.8296430163020645E-3</v>
      </c>
      <c r="L121" s="149">
        <f t="shared" si="52"/>
        <v>1047629.0974590706</v>
      </c>
      <c r="M121" s="149">
        <f t="shared" si="53"/>
        <v>3264450.9940223284</v>
      </c>
      <c r="N121" s="149">
        <f t="shared" si="54"/>
        <v>1937951.2584117446</v>
      </c>
      <c r="P121" s="149">
        <f t="shared" si="55"/>
        <v>0</v>
      </c>
      <c r="Q121" s="149">
        <f t="shared" si="56"/>
        <v>0</v>
      </c>
      <c r="R121" s="176">
        <f t="shared" si="57"/>
        <v>0</v>
      </c>
      <c r="S121" s="113">
        <f t="shared" si="58"/>
        <v>0</v>
      </c>
      <c r="T121" s="113">
        <f t="shared" si="43"/>
        <v>0</v>
      </c>
      <c r="U121" s="114">
        <f t="shared" si="59"/>
        <v>16.5</v>
      </c>
      <c r="V121" s="114">
        <f t="shared" si="60"/>
        <v>0</v>
      </c>
      <c r="W121" s="114">
        <f t="shared" si="61"/>
        <v>288.75</v>
      </c>
      <c r="X121" s="114"/>
      <c r="Y121" s="149">
        <f t="shared" si="62"/>
        <v>172510269.90239862</v>
      </c>
      <c r="Z121" s="149">
        <f t="shared" si="63"/>
        <v>843166.40227725008</v>
      </c>
      <c r="AA121" s="176">
        <f t="shared" si="64"/>
        <v>1937951.2584117446</v>
      </c>
      <c r="AB121" s="113">
        <f t="shared" si="65"/>
        <v>2781117.6606889945</v>
      </c>
      <c r="AC121" s="113">
        <f t="shared" si="44"/>
        <v>1728323.0196962885</v>
      </c>
      <c r="AD121" s="114">
        <f t="shared" si="66"/>
        <v>16.5</v>
      </c>
      <c r="AE121" s="114">
        <f t="shared" si="67"/>
        <v>8.6270681016149351E-3</v>
      </c>
      <c r="AF121" s="114">
        <f t="shared" si="68"/>
        <v>288.75</v>
      </c>
      <c r="AG121" s="114"/>
      <c r="AH121" s="176">
        <f t="shared" si="69"/>
        <v>100000000</v>
      </c>
      <c r="AI121" s="176">
        <f t="shared" si="70"/>
        <v>483333.33333333337</v>
      </c>
      <c r="AJ121" s="176">
        <f t="shared" si="71"/>
        <v>0</v>
      </c>
      <c r="AK121" s="113">
        <f t="shared" si="72"/>
        <v>483333.33333333337</v>
      </c>
      <c r="AL121" s="113">
        <f t="shared" si="45"/>
        <v>300367.05673919176</v>
      </c>
      <c r="AM121" s="114">
        <f t="shared" si="73"/>
        <v>16.5</v>
      </c>
      <c r="AN121" s="114">
        <f t="shared" si="74"/>
        <v>2.9965229907779369E-3</v>
      </c>
      <c r="AO121" s="114">
        <f t="shared" si="75"/>
        <v>288.75</v>
      </c>
    </row>
    <row r="122" spans="1:41" hidden="1" outlineLevel="1" x14ac:dyDescent="0.3">
      <c r="A122" s="146">
        <f t="shared" si="46"/>
        <v>100</v>
      </c>
      <c r="B122" s="147">
        <f t="shared" si="39"/>
        <v>185</v>
      </c>
      <c r="C122" s="147">
        <f t="shared" si="38"/>
        <v>175</v>
      </c>
      <c r="D122" s="149">
        <f t="shared" si="47"/>
        <v>270578719.28399092</v>
      </c>
      <c r="E122" s="149">
        <f t="shared" si="48"/>
        <v>2253898.4571432495</v>
      </c>
      <c r="F122" s="149">
        <f t="shared" si="40"/>
        <v>1362551.3495119934</v>
      </c>
      <c r="G122" s="149">
        <f t="shared" si="41"/>
        <v>1317132.9711949269</v>
      </c>
      <c r="H122" s="149">
        <f t="shared" si="49"/>
        <v>45418.378317066468</v>
      </c>
      <c r="I122" s="149">
        <f t="shared" si="50"/>
        <v>891347.10763125611</v>
      </c>
      <c r="J122" s="147">
        <f t="shared" si="51"/>
        <v>4.4999999999999998E-2</v>
      </c>
      <c r="K122" s="175">
        <f t="shared" si="42"/>
        <v>3.8296430163020645E-3</v>
      </c>
      <c r="L122" s="149">
        <f t="shared" si="52"/>
        <v>1040203.5107764705</v>
      </c>
      <c r="M122" s="149">
        <f t="shared" si="53"/>
        <v>3248683.5896026534</v>
      </c>
      <c r="N122" s="149">
        <f t="shared" si="54"/>
        <v>1931550.6184077268</v>
      </c>
      <c r="P122" s="149">
        <f t="shared" si="55"/>
        <v>0</v>
      </c>
      <c r="Q122" s="149">
        <f t="shared" si="56"/>
        <v>0</v>
      </c>
      <c r="R122" s="176">
        <f t="shared" si="57"/>
        <v>0</v>
      </c>
      <c r="S122" s="113">
        <f t="shared" si="58"/>
        <v>0</v>
      </c>
      <c r="T122" s="113">
        <f t="shared" si="43"/>
        <v>0</v>
      </c>
      <c r="U122" s="114">
        <f t="shared" si="59"/>
        <v>16.666666666666668</v>
      </c>
      <c r="V122" s="114">
        <f t="shared" si="60"/>
        <v>0</v>
      </c>
      <c r="W122" s="114">
        <f t="shared" si="61"/>
        <v>294.44444444444446</v>
      </c>
      <c r="X122" s="114"/>
      <c r="Y122" s="149">
        <f t="shared" si="62"/>
        <v>170578719.28399089</v>
      </c>
      <c r="Z122" s="149">
        <f t="shared" si="63"/>
        <v>833799.63786159339</v>
      </c>
      <c r="AA122" s="176">
        <f t="shared" si="64"/>
        <v>1931550.6184077268</v>
      </c>
      <c r="AB122" s="113">
        <f t="shared" si="65"/>
        <v>2765350.2562693199</v>
      </c>
      <c r="AC122" s="113">
        <f t="shared" si="44"/>
        <v>1710286.5691672212</v>
      </c>
      <c r="AD122" s="114">
        <f t="shared" si="66"/>
        <v>16.666666666666668</v>
      </c>
      <c r="AE122" s="114">
        <f t="shared" si="67"/>
        <v>8.5370376586639315E-3</v>
      </c>
      <c r="AF122" s="114">
        <f t="shared" si="68"/>
        <v>294.44444444444446</v>
      </c>
      <c r="AG122" s="114"/>
      <c r="AH122" s="176">
        <f t="shared" si="69"/>
        <v>100000000</v>
      </c>
      <c r="AI122" s="176">
        <f t="shared" si="70"/>
        <v>483333.33333333337</v>
      </c>
      <c r="AJ122" s="176">
        <f t="shared" si="71"/>
        <v>0</v>
      </c>
      <c r="AK122" s="113">
        <f t="shared" si="72"/>
        <v>483333.33333333337</v>
      </c>
      <c r="AL122" s="113">
        <f t="shared" si="45"/>
        <v>298927.23591044324</v>
      </c>
      <c r="AM122" s="114">
        <f t="shared" si="73"/>
        <v>16.666666666666668</v>
      </c>
      <c r="AN122" s="114">
        <f t="shared" si="74"/>
        <v>2.9821590446688531E-3</v>
      </c>
      <c r="AO122" s="114">
        <f t="shared" si="75"/>
        <v>294.44444444444446</v>
      </c>
    </row>
    <row r="123" spans="1:41" hidden="1" outlineLevel="1" x14ac:dyDescent="0.3">
      <c r="A123" s="146">
        <f t="shared" si="46"/>
        <v>101</v>
      </c>
      <c r="B123" s="147">
        <f t="shared" si="39"/>
        <v>184</v>
      </c>
      <c r="C123" s="147">
        <f t="shared" si="38"/>
        <v>176</v>
      </c>
      <c r="D123" s="149">
        <f t="shared" si="47"/>
        <v>268653543.61801201</v>
      </c>
      <c r="E123" s="149">
        <f t="shared" si="48"/>
        <v>2245266.8306573969</v>
      </c>
      <c r="F123" s="149">
        <f t="shared" si="40"/>
        <v>1352893.5964199547</v>
      </c>
      <c r="G123" s="149">
        <f t="shared" si="41"/>
        <v>1307797.1432059561</v>
      </c>
      <c r="H123" s="149">
        <f t="shared" si="49"/>
        <v>45096.453213998582</v>
      </c>
      <c r="I123" s="149">
        <f t="shared" si="50"/>
        <v>892373.23423744226</v>
      </c>
      <c r="J123" s="147">
        <f t="shared" si="51"/>
        <v>4.4999999999999998E-2</v>
      </c>
      <c r="K123" s="175">
        <f t="shared" si="42"/>
        <v>3.8296430163020645E-3</v>
      </c>
      <c r="L123" s="149">
        <f t="shared" si="52"/>
        <v>1032802.4317414603</v>
      </c>
      <c r="M123" s="149">
        <f t="shared" si="53"/>
        <v>3232972.8091848586</v>
      </c>
      <c r="N123" s="149">
        <f t="shared" si="54"/>
        <v>1925175.6659789025</v>
      </c>
      <c r="P123" s="149">
        <f t="shared" si="55"/>
        <v>0</v>
      </c>
      <c r="Q123" s="149">
        <f t="shared" si="56"/>
        <v>0</v>
      </c>
      <c r="R123" s="176">
        <f t="shared" si="57"/>
        <v>0</v>
      </c>
      <c r="S123" s="113">
        <f t="shared" si="58"/>
        <v>0</v>
      </c>
      <c r="T123" s="113">
        <f t="shared" si="43"/>
        <v>0</v>
      </c>
      <c r="U123" s="114">
        <f t="shared" si="59"/>
        <v>16.833333333333332</v>
      </c>
      <c r="V123" s="114">
        <f t="shared" si="60"/>
        <v>0</v>
      </c>
      <c r="W123" s="114">
        <f t="shared" si="61"/>
        <v>300.1944444444444</v>
      </c>
      <c r="X123" s="114"/>
      <c r="Y123" s="149">
        <f t="shared" si="62"/>
        <v>168653543.61801198</v>
      </c>
      <c r="Z123" s="149">
        <f t="shared" si="63"/>
        <v>824463.80987262272</v>
      </c>
      <c r="AA123" s="176">
        <f t="shared" si="64"/>
        <v>1925175.6659789025</v>
      </c>
      <c r="AB123" s="113">
        <f t="shared" si="65"/>
        <v>2749639.4758515251</v>
      </c>
      <c r="AC123" s="113">
        <f t="shared" si="44"/>
        <v>1692418.1744214541</v>
      </c>
      <c r="AD123" s="114">
        <f t="shared" si="66"/>
        <v>16.833333333333332</v>
      </c>
      <c r="AE123" s="114">
        <f t="shared" si="67"/>
        <v>8.4478460801328762E-3</v>
      </c>
      <c r="AF123" s="114">
        <f t="shared" si="68"/>
        <v>300.1944444444444</v>
      </c>
      <c r="AG123" s="114"/>
      <c r="AH123" s="176">
        <f t="shared" si="69"/>
        <v>100000000</v>
      </c>
      <c r="AI123" s="176">
        <f t="shared" si="70"/>
        <v>483333.33333333337</v>
      </c>
      <c r="AJ123" s="176">
        <f t="shared" si="71"/>
        <v>0</v>
      </c>
      <c r="AK123" s="113">
        <f t="shared" si="72"/>
        <v>483333.33333333337</v>
      </c>
      <c r="AL123" s="113">
        <f t="shared" si="45"/>
        <v>297494.31691720692</v>
      </c>
      <c r="AM123" s="114">
        <f t="shared" si="73"/>
        <v>16.833333333333332</v>
      </c>
      <c r="AN123" s="114">
        <f t="shared" si="74"/>
        <v>2.9678639526778453E-3</v>
      </c>
      <c r="AO123" s="114">
        <f t="shared" si="75"/>
        <v>300.1944444444444</v>
      </c>
    </row>
    <row r="124" spans="1:41" hidden="1" outlineLevel="1" x14ac:dyDescent="0.3">
      <c r="A124" s="146">
        <f t="shared" si="46"/>
        <v>102</v>
      </c>
      <c r="B124" s="147">
        <f t="shared" si="39"/>
        <v>183</v>
      </c>
      <c r="C124" s="147">
        <f t="shared" si="38"/>
        <v>177</v>
      </c>
      <c r="D124" s="149">
        <f t="shared" si="47"/>
        <v>266734717.31390783</v>
      </c>
      <c r="E124" s="149">
        <f t="shared" si="48"/>
        <v>2236668.260219635</v>
      </c>
      <c r="F124" s="149">
        <f t="shared" si="40"/>
        <v>1343267.7180900602</v>
      </c>
      <c r="G124" s="149">
        <f t="shared" si="41"/>
        <v>1298492.1274870581</v>
      </c>
      <c r="H124" s="149">
        <f t="shared" si="49"/>
        <v>44775.590603002114</v>
      </c>
      <c r="I124" s="149">
        <f t="shared" si="50"/>
        <v>893400.54212957481</v>
      </c>
      <c r="J124" s="147">
        <f t="shared" si="51"/>
        <v>4.4999999999999998E-2</v>
      </c>
      <c r="K124" s="175">
        <f t="shared" si="42"/>
        <v>3.8296430163020645E-3</v>
      </c>
      <c r="L124" s="149">
        <f t="shared" si="52"/>
        <v>1025425.7619745948</v>
      </c>
      <c r="M124" s="149">
        <f t="shared" si="53"/>
        <v>3217318.4315912277</v>
      </c>
      <c r="N124" s="149">
        <f t="shared" si="54"/>
        <v>1918826.3041041696</v>
      </c>
      <c r="P124" s="149">
        <f t="shared" si="55"/>
        <v>0</v>
      </c>
      <c r="Q124" s="149">
        <f t="shared" si="56"/>
        <v>0</v>
      </c>
      <c r="R124" s="176">
        <f t="shared" si="57"/>
        <v>0</v>
      </c>
      <c r="S124" s="113">
        <f t="shared" si="58"/>
        <v>0</v>
      </c>
      <c r="T124" s="113">
        <f t="shared" si="43"/>
        <v>0</v>
      </c>
      <c r="U124" s="114">
        <f t="shared" si="59"/>
        <v>17</v>
      </c>
      <c r="V124" s="114">
        <f t="shared" si="60"/>
        <v>0</v>
      </c>
      <c r="W124" s="114">
        <f t="shared" si="61"/>
        <v>306</v>
      </c>
      <c r="X124" s="114"/>
      <c r="Y124" s="149">
        <f t="shared" si="62"/>
        <v>166734717.3139078</v>
      </c>
      <c r="Z124" s="149">
        <f t="shared" si="63"/>
        <v>815158.79415372456</v>
      </c>
      <c r="AA124" s="176">
        <f t="shared" si="64"/>
        <v>1918826.3041041696</v>
      </c>
      <c r="AB124" s="113">
        <f t="shared" si="65"/>
        <v>2733985.0982578942</v>
      </c>
      <c r="AC124" s="113">
        <f t="shared" si="44"/>
        <v>1674716.3361873976</v>
      </c>
      <c r="AD124" s="114">
        <f t="shared" si="66"/>
        <v>17</v>
      </c>
      <c r="AE124" s="114">
        <f t="shared" si="67"/>
        <v>8.3594858822829323E-3</v>
      </c>
      <c r="AF124" s="114">
        <f t="shared" si="68"/>
        <v>306</v>
      </c>
      <c r="AG124" s="114"/>
      <c r="AH124" s="176">
        <f t="shared" si="69"/>
        <v>100000000</v>
      </c>
      <c r="AI124" s="176">
        <f t="shared" si="70"/>
        <v>483333.33333333337</v>
      </c>
      <c r="AJ124" s="176">
        <f t="shared" si="71"/>
        <v>0</v>
      </c>
      <c r="AK124" s="113">
        <f t="shared" si="72"/>
        <v>483333.33333333337</v>
      </c>
      <c r="AL124" s="113">
        <f t="shared" si="45"/>
        <v>296068.2666752736</v>
      </c>
      <c r="AM124" s="114">
        <f t="shared" si="73"/>
        <v>17</v>
      </c>
      <c r="AN124" s="114">
        <f t="shared" si="74"/>
        <v>2.9536373847500979E-3</v>
      </c>
      <c r="AO124" s="114">
        <f t="shared" si="75"/>
        <v>306</v>
      </c>
    </row>
    <row r="125" spans="1:41" hidden="1" outlineLevel="1" x14ac:dyDescent="0.3">
      <c r="A125" s="146">
        <f t="shared" si="46"/>
        <v>103</v>
      </c>
      <c r="B125" s="147">
        <f t="shared" si="39"/>
        <v>182</v>
      </c>
      <c r="C125" s="147">
        <f t="shared" si="38"/>
        <v>178</v>
      </c>
      <c r="D125" s="149">
        <f t="shared" si="47"/>
        <v>264822214.8777723</v>
      </c>
      <c r="E125" s="149">
        <f t="shared" si="48"/>
        <v>2228102.6192371002</v>
      </c>
      <c r="F125" s="149">
        <f t="shared" si="40"/>
        <v>1333673.5865695393</v>
      </c>
      <c r="G125" s="149">
        <f t="shared" si="41"/>
        <v>1289217.8003505545</v>
      </c>
      <c r="H125" s="149">
        <f t="shared" si="49"/>
        <v>44455.786218984751</v>
      </c>
      <c r="I125" s="149">
        <f t="shared" si="50"/>
        <v>894429.03266756097</v>
      </c>
      <c r="J125" s="147">
        <f t="shared" si="51"/>
        <v>4.4999999999999998E-2</v>
      </c>
      <c r="K125" s="175">
        <f t="shared" si="42"/>
        <v>3.8296430163020645E-3</v>
      </c>
      <c r="L125" s="149">
        <f t="shared" si="52"/>
        <v>1018073.4034679794</v>
      </c>
      <c r="M125" s="149">
        <f t="shared" si="53"/>
        <v>3201720.236486095</v>
      </c>
      <c r="N125" s="149">
        <f t="shared" si="54"/>
        <v>1912502.4361355403</v>
      </c>
      <c r="P125" s="149">
        <f t="shared" si="55"/>
        <v>0</v>
      </c>
      <c r="Q125" s="149">
        <f t="shared" si="56"/>
        <v>0</v>
      </c>
      <c r="R125" s="176">
        <f t="shared" si="57"/>
        <v>0</v>
      </c>
      <c r="S125" s="113">
        <f t="shared" si="58"/>
        <v>0</v>
      </c>
      <c r="T125" s="113">
        <f t="shared" si="43"/>
        <v>0</v>
      </c>
      <c r="U125" s="114">
        <f t="shared" si="59"/>
        <v>17.166666666666668</v>
      </c>
      <c r="V125" s="114">
        <f t="shared" si="60"/>
        <v>0</v>
      </c>
      <c r="W125" s="114">
        <f t="shared" si="61"/>
        <v>311.86111111111114</v>
      </c>
      <c r="X125" s="114"/>
      <c r="Y125" s="149">
        <f t="shared" si="62"/>
        <v>164822214.87777227</v>
      </c>
      <c r="Z125" s="149">
        <f t="shared" si="63"/>
        <v>805884.46701722103</v>
      </c>
      <c r="AA125" s="176">
        <f t="shared" si="64"/>
        <v>1912502.4361355403</v>
      </c>
      <c r="AB125" s="113">
        <f t="shared" si="65"/>
        <v>2718386.903152761</v>
      </c>
      <c r="AC125" s="113">
        <f t="shared" si="44"/>
        <v>1657179.568318564</v>
      </c>
      <c r="AD125" s="114">
        <f t="shared" si="66"/>
        <v>17.166666666666668</v>
      </c>
      <c r="AE125" s="114">
        <f t="shared" si="67"/>
        <v>8.2719496468903007E-3</v>
      </c>
      <c r="AF125" s="114">
        <f t="shared" si="68"/>
        <v>311.86111111111114</v>
      </c>
      <c r="AG125" s="114"/>
      <c r="AH125" s="176">
        <f t="shared" si="69"/>
        <v>100000000</v>
      </c>
      <c r="AI125" s="176">
        <f t="shared" si="70"/>
        <v>483333.33333333337</v>
      </c>
      <c r="AJ125" s="176">
        <f t="shared" si="71"/>
        <v>0</v>
      </c>
      <c r="AK125" s="113">
        <f t="shared" si="72"/>
        <v>483333.33333333337</v>
      </c>
      <c r="AL125" s="113">
        <f t="shared" si="45"/>
        <v>294649.05225902458</v>
      </c>
      <c r="AM125" s="114">
        <f t="shared" si="73"/>
        <v>17.166666666666668</v>
      </c>
      <c r="AN125" s="114">
        <f t="shared" si="74"/>
        <v>2.9394790124129271E-3</v>
      </c>
      <c r="AO125" s="114">
        <f t="shared" si="75"/>
        <v>311.86111111111114</v>
      </c>
    </row>
    <row r="126" spans="1:41" hidden="1" outlineLevel="1" x14ac:dyDescent="0.3">
      <c r="A126" s="146">
        <f t="shared" si="46"/>
        <v>104</v>
      </c>
      <c r="B126" s="147">
        <f t="shared" si="39"/>
        <v>181</v>
      </c>
      <c r="C126" s="147">
        <f t="shared" si="38"/>
        <v>179</v>
      </c>
      <c r="D126" s="149">
        <f t="shared" si="47"/>
        <v>262916010.91197559</v>
      </c>
      <c r="E126" s="149">
        <f t="shared" si="48"/>
        <v>2219569.7816017345</v>
      </c>
      <c r="F126" s="149">
        <f t="shared" si="40"/>
        <v>1324111.0743888614</v>
      </c>
      <c r="G126" s="149">
        <f t="shared" si="41"/>
        <v>1279974.0385758996</v>
      </c>
      <c r="H126" s="149">
        <f t="shared" si="49"/>
        <v>44137.035812961869</v>
      </c>
      <c r="I126" s="149">
        <f t="shared" si="50"/>
        <v>895458.70721287304</v>
      </c>
      <c r="J126" s="147">
        <f t="shared" si="51"/>
        <v>4.4999999999999998E-2</v>
      </c>
      <c r="K126" s="175">
        <f t="shared" si="42"/>
        <v>3.8296430163020645E-3</v>
      </c>
      <c r="L126" s="149">
        <f t="shared" si="52"/>
        <v>1010745.2585838408</v>
      </c>
      <c r="M126" s="149">
        <f t="shared" si="53"/>
        <v>3186178.0043726135</v>
      </c>
      <c r="N126" s="149">
        <f t="shared" si="54"/>
        <v>1906203.9657967137</v>
      </c>
      <c r="P126" s="149">
        <f t="shared" si="55"/>
        <v>0</v>
      </c>
      <c r="Q126" s="149">
        <f t="shared" si="56"/>
        <v>0</v>
      </c>
      <c r="R126" s="176">
        <f t="shared" si="57"/>
        <v>0</v>
      </c>
      <c r="S126" s="113">
        <f t="shared" si="58"/>
        <v>0</v>
      </c>
      <c r="T126" s="113">
        <f t="shared" si="43"/>
        <v>0</v>
      </c>
      <c r="U126" s="114">
        <f t="shared" si="59"/>
        <v>17.333333333333332</v>
      </c>
      <c r="V126" s="114">
        <f t="shared" si="60"/>
        <v>0</v>
      </c>
      <c r="W126" s="114">
        <f t="shared" si="61"/>
        <v>317.77777777777771</v>
      </c>
      <c r="X126" s="114"/>
      <c r="Y126" s="149">
        <f t="shared" si="62"/>
        <v>162916010.91197556</v>
      </c>
      <c r="Z126" s="149">
        <f t="shared" si="63"/>
        <v>796640.70524256607</v>
      </c>
      <c r="AA126" s="176">
        <f t="shared" si="64"/>
        <v>1906203.9657967137</v>
      </c>
      <c r="AB126" s="113">
        <f t="shared" si="65"/>
        <v>2702844.6710392796</v>
      </c>
      <c r="AC126" s="113">
        <f t="shared" si="44"/>
        <v>1639806.3976796658</v>
      </c>
      <c r="AD126" s="114">
        <f t="shared" si="66"/>
        <v>17.333333333333332</v>
      </c>
      <c r="AE126" s="114">
        <f t="shared" si="67"/>
        <v>8.1852300206776661E-3</v>
      </c>
      <c r="AF126" s="114">
        <f t="shared" si="68"/>
        <v>317.77777777777771</v>
      </c>
      <c r="AG126" s="114"/>
      <c r="AH126" s="176">
        <f t="shared" si="69"/>
        <v>100000000</v>
      </c>
      <c r="AI126" s="176">
        <f t="shared" si="70"/>
        <v>483333.33333333337</v>
      </c>
      <c r="AJ126" s="176">
        <f t="shared" si="71"/>
        <v>0</v>
      </c>
      <c r="AK126" s="113">
        <f t="shared" si="72"/>
        <v>483333.33333333337</v>
      </c>
      <c r="AL126" s="113">
        <f t="shared" si="45"/>
        <v>293236.64090067137</v>
      </c>
      <c r="AM126" s="114">
        <f t="shared" si="73"/>
        <v>17.333333333333332</v>
      </c>
      <c r="AN126" s="114">
        <f t="shared" si="74"/>
        <v>2.9253885087681939E-3</v>
      </c>
      <c r="AO126" s="114">
        <f t="shared" si="75"/>
        <v>317.77777777777771</v>
      </c>
    </row>
    <row r="127" spans="1:41" hidden="1" outlineLevel="1" x14ac:dyDescent="0.3">
      <c r="A127" s="146">
        <f t="shared" si="46"/>
        <v>105</v>
      </c>
      <c r="B127" s="147">
        <f t="shared" si="39"/>
        <v>180</v>
      </c>
      <c r="C127" s="147">
        <f t="shared" si="38"/>
        <v>180</v>
      </c>
      <c r="D127" s="149">
        <f t="shared" si="47"/>
        <v>261016080.11479396</v>
      </c>
      <c r="E127" s="149">
        <f t="shared" si="48"/>
        <v>2211069.6216884283</v>
      </c>
      <c r="F127" s="149">
        <f t="shared" si="40"/>
        <v>1314580.0545598781</v>
      </c>
      <c r="G127" s="149">
        <f t="shared" si="41"/>
        <v>1270760.7194078821</v>
      </c>
      <c r="H127" s="149">
        <f t="shared" si="49"/>
        <v>43819.335151995998</v>
      </c>
      <c r="I127" s="149">
        <f t="shared" si="50"/>
        <v>896489.56712855026</v>
      </c>
      <c r="J127" s="147">
        <f t="shared" si="51"/>
        <v>4.4999999999999998E-2</v>
      </c>
      <c r="K127" s="175">
        <f t="shared" si="42"/>
        <v>3.8296430163020645E-3</v>
      </c>
      <c r="L127" s="149">
        <f t="shared" si="52"/>
        <v>1003441.2300531033</v>
      </c>
      <c r="M127" s="149">
        <f t="shared" si="53"/>
        <v>3170691.5165895354</v>
      </c>
      <c r="N127" s="149">
        <f t="shared" si="54"/>
        <v>1899930.7971816536</v>
      </c>
      <c r="P127" s="149">
        <f t="shared" si="55"/>
        <v>0</v>
      </c>
      <c r="Q127" s="149">
        <f t="shared" si="56"/>
        <v>0</v>
      </c>
      <c r="R127" s="176">
        <f t="shared" si="57"/>
        <v>0</v>
      </c>
      <c r="S127" s="113">
        <f t="shared" si="58"/>
        <v>0</v>
      </c>
      <c r="T127" s="113">
        <f t="shared" si="43"/>
        <v>0</v>
      </c>
      <c r="U127" s="114">
        <f t="shared" si="59"/>
        <v>17.5</v>
      </c>
      <c r="V127" s="114">
        <f t="shared" si="60"/>
        <v>0</v>
      </c>
      <c r="W127" s="114">
        <f t="shared" si="61"/>
        <v>323.75</v>
      </c>
      <c r="X127" s="114"/>
      <c r="Y127" s="149">
        <f t="shared" si="62"/>
        <v>161016080.1147939</v>
      </c>
      <c r="Z127" s="149">
        <f t="shared" si="63"/>
        <v>787427.38607454859</v>
      </c>
      <c r="AA127" s="176">
        <f t="shared" si="64"/>
        <v>1899930.7971816536</v>
      </c>
      <c r="AB127" s="113">
        <f t="shared" si="65"/>
        <v>2687358.1832562024</v>
      </c>
      <c r="AC127" s="113">
        <f t="shared" si="44"/>
        <v>1622595.3640336981</v>
      </c>
      <c r="AD127" s="114">
        <f t="shared" si="66"/>
        <v>17.5</v>
      </c>
      <c r="AE127" s="114">
        <f t="shared" si="67"/>
        <v>8.0993197147505719E-3</v>
      </c>
      <c r="AF127" s="114">
        <f t="shared" si="68"/>
        <v>323.75</v>
      </c>
      <c r="AG127" s="114"/>
      <c r="AH127" s="176">
        <f t="shared" si="69"/>
        <v>100000000</v>
      </c>
      <c r="AI127" s="176">
        <f t="shared" si="70"/>
        <v>483333.33333333337</v>
      </c>
      <c r="AJ127" s="176">
        <f t="shared" si="71"/>
        <v>0</v>
      </c>
      <c r="AK127" s="113">
        <f t="shared" si="72"/>
        <v>483333.33333333337</v>
      </c>
      <c r="AL127" s="113">
        <f t="shared" si="45"/>
        <v>291830.99998949899</v>
      </c>
      <c r="AM127" s="114">
        <f t="shared" si="73"/>
        <v>17.5</v>
      </c>
      <c r="AN127" s="114">
        <f t="shared" si="74"/>
        <v>2.9113655484847584E-3</v>
      </c>
      <c r="AO127" s="114">
        <f t="shared" si="75"/>
        <v>323.75</v>
      </c>
    </row>
    <row r="128" spans="1:41" hidden="1" outlineLevel="1" x14ac:dyDescent="0.3">
      <c r="A128" s="146">
        <f t="shared" si="46"/>
        <v>106</v>
      </c>
      <c r="B128" s="147">
        <f t="shared" si="39"/>
        <v>179</v>
      </c>
      <c r="C128" s="147">
        <f t="shared" si="38"/>
        <v>181</v>
      </c>
      <c r="D128" s="149">
        <f t="shared" si="47"/>
        <v>259122397.2800408</v>
      </c>
      <c r="E128" s="149">
        <f t="shared" si="48"/>
        <v>2202602.0143531715</v>
      </c>
      <c r="F128" s="149">
        <f t="shared" si="40"/>
        <v>1305080.4005739698</v>
      </c>
      <c r="G128" s="149">
        <f t="shared" si="41"/>
        <v>1261577.7205548375</v>
      </c>
      <c r="H128" s="149">
        <f t="shared" si="49"/>
        <v>43502.680019132327</v>
      </c>
      <c r="I128" s="149">
        <f t="shared" si="50"/>
        <v>897521.61377920164</v>
      </c>
      <c r="J128" s="147">
        <f t="shared" si="51"/>
        <v>4.4999999999999998E-2</v>
      </c>
      <c r="K128" s="175">
        <f t="shared" si="42"/>
        <v>3.8296430163020645E-3</v>
      </c>
      <c r="L128" s="149">
        <f t="shared" si="52"/>
        <v>996161.22097397118</v>
      </c>
      <c r="M128" s="149">
        <f t="shared" si="53"/>
        <v>3155260.5553080104</v>
      </c>
      <c r="N128" s="149">
        <f t="shared" si="54"/>
        <v>1893682.8347531729</v>
      </c>
      <c r="P128" s="149">
        <f t="shared" si="55"/>
        <v>0</v>
      </c>
      <c r="Q128" s="149">
        <f t="shared" si="56"/>
        <v>0</v>
      </c>
      <c r="R128" s="176">
        <f t="shared" si="57"/>
        <v>0</v>
      </c>
      <c r="S128" s="113">
        <f t="shared" si="58"/>
        <v>0</v>
      </c>
      <c r="T128" s="113">
        <f t="shared" si="43"/>
        <v>0</v>
      </c>
      <c r="U128" s="114">
        <f t="shared" si="59"/>
        <v>17.666666666666668</v>
      </c>
      <c r="V128" s="114">
        <f t="shared" si="60"/>
        <v>0</v>
      </c>
      <c r="W128" s="114">
        <f t="shared" si="61"/>
        <v>329.77777777777783</v>
      </c>
      <c r="X128" s="114"/>
      <c r="Y128" s="149">
        <f t="shared" si="62"/>
        <v>159122397.28004071</v>
      </c>
      <c r="Z128" s="149">
        <f t="shared" si="63"/>
        <v>778244.38722150389</v>
      </c>
      <c r="AA128" s="176">
        <f t="shared" si="64"/>
        <v>1893682.8347531729</v>
      </c>
      <c r="AB128" s="113">
        <f t="shared" si="65"/>
        <v>2671927.2219746769</v>
      </c>
      <c r="AC128" s="113">
        <f t="shared" si="44"/>
        <v>1605545.0199299986</v>
      </c>
      <c r="AD128" s="114">
        <f t="shared" si="66"/>
        <v>17.666666666666668</v>
      </c>
      <c r="AE128" s="114">
        <f t="shared" si="67"/>
        <v>8.0142115040386444E-3</v>
      </c>
      <c r="AF128" s="114">
        <f t="shared" si="68"/>
        <v>329.77777777777783</v>
      </c>
      <c r="AG128" s="114"/>
      <c r="AH128" s="176">
        <f t="shared" si="69"/>
        <v>100000000</v>
      </c>
      <c r="AI128" s="176">
        <f t="shared" si="70"/>
        <v>483333.33333333337</v>
      </c>
      <c r="AJ128" s="176">
        <f t="shared" si="71"/>
        <v>0</v>
      </c>
      <c r="AK128" s="113">
        <f t="shared" si="72"/>
        <v>483333.33333333337</v>
      </c>
      <c r="AL128" s="113">
        <f t="shared" si="45"/>
        <v>290432.0970711133</v>
      </c>
      <c r="AM128" s="114">
        <f t="shared" si="73"/>
        <v>17.666666666666668</v>
      </c>
      <c r="AN128" s="114">
        <f t="shared" si="74"/>
        <v>2.8974098077909683E-3</v>
      </c>
      <c r="AO128" s="114">
        <f t="shared" si="75"/>
        <v>329.77777777777783</v>
      </c>
    </row>
    <row r="129" spans="1:41" hidden="1" outlineLevel="1" x14ac:dyDescent="0.3">
      <c r="A129" s="146">
        <f t="shared" si="46"/>
        <v>107</v>
      </c>
      <c r="B129" s="147">
        <f t="shared" si="39"/>
        <v>178</v>
      </c>
      <c r="C129" s="147">
        <f t="shared" si="38"/>
        <v>182</v>
      </c>
      <c r="D129" s="149">
        <f t="shared" si="47"/>
        <v>257234937.29669929</v>
      </c>
      <c r="E129" s="149">
        <f t="shared" si="48"/>
        <v>2194166.8349312111</v>
      </c>
      <c r="F129" s="149">
        <f t="shared" si="40"/>
        <v>1295611.986400204</v>
      </c>
      <c r="G129" s="149">
        <f t="shared" si="41"/>
        <v>1252424.920186864</v>
      </c>
      <c r="H129" s="149">
        <f t="shared" si="49"/>
        <v>43187.066213340033</v>
      </c>
      <c r="I129" s="149">
        <f t="shared" si="50"/>
        <v>898554.84853100707</v>
      </c>
      <c r="J129" s="147">
        <f t="shared" si="51"/>
        <v>4.4999999999999998E-2</v>
      </c>
      <c r="K129" s="175">
        <f t="shared" si="42"/>
        <v>3.8296430163020645E-3</v>
      </c>
      <c r="L129" s="149">
        <f t="shared" si="52"/>
        <v>988905.13481051615</v>
      </c>
      <c r="M129" s="149">
        <f t="shared" si="53"/>
        <v>3139884.9035283872</v>
      </c>
      <c r="N129" s="149">
        <f t="shared" si="54"/>
        <v>1887459.9833415232</v>
      </c>
      <c r="P129" s="149">
        <f t="shared" si="55"/>
        <v>0</v>
      </c>
      <c r="Q129" s="149">
        <f t="shared" si="56"/>
        <v>0</v>
      </c>
      <c r="R129" s="176">
        <f t="shared" si="57"/>
        <v>0</v>
      </c>
      <c r="S129" s="113">
        <f t="shared" si="58"/>
        <v>0</v>
      </c>
      <c r="T129" s="113">
        <f t="shared" si="43"/>
        <v>0</v>
      </c>
      <c r="U129" s="114">
        <f t="shared" si="59"/>
        <v>17.833333333333332</v>
      </c>
      <c r="V129" s="114">
        <f t="shared" si="60"/>
        <v>0</v>
      </c>
      <c r="W129" s="114">
        <f t="shared" si="61"/>
        <v>335.86111111111109</v>
      </c>
      <c r="X129" s="114"/>
      <c r="Y129" s="149">
        <f t="shared" si="62"/>
        <v>157234937.2966992</v>
      </c>
      <c r="Z129" s="149">
        <f t="shared" si="63"/>
        <v>769091.58685353014</v>
      </c>
      <c r="AA129" s="176">
        <f t="shared" si="64"/>
        <v>1887459.9833415232</v>
      </c>
      <c r="AB129" s="113">
        <f t="shared" si="65"/>
        <v>2656551.5701950532</v>
      </c>
      <c r="AC129" s="113">
        <f t="shared" si="44"/>
        <v>1588653.9305932724</v>
      </c>
      <c r="AD129" s="114">
        <f t="shared" si="66"/>
        <v>17.833333333333332</v>
      </c>
      <c r="AE129" s="114">
        <f t="shared" si="67"/>
        <v>7.92989822674167E-3</v>
      </c>
      <c r="AF129" s="114">
        <f t="shared" si="68"/>
        <v>335.86111111111109</v>
      </c>
      <c r="AG129" s="114"/>
      <c r="AH129" s="176">
        <f t="shared" si="69"/>
        <v>100000000</v>
      </c>
      <c r="AI129" s="176">
        <f t="shared" si="70"/>
        <v>483333.33333333337</v>
      </c>
      <c r="AJ129" s="176">
        <f t="shared" si="71"/>
        <v>0</v>
      </c>
      <c r="AK129" s="113">
        <f t="shared" si="72"/>
        <v>483333.33333333337</v>
      </c>
      <c r="AL129" s="113">
        <f t="shared" si="45"/>
        <v>289039.89984669117</v>
      </c>
      <c r="AM129" s="114">
        <f t="shared" si="73"/>
        <v>17.833333333333332</v>
      </c>
      <c r="AN129" s="114">
        <f t="shared" si="74"/>
        <v>2.8835209644671798E-3</v>
      </c>
      <c r="AO129" s="114">
        <f t="shared" si="75"/>
        <v>335.86111111111109</v>
      </c>
    </row>
    <row r="130" spans="1:41" hidden="1" outlineLevel="1" x14ac:dyDescent="0.3">
      <c r="A130" s="146">
        <f t="shared" si="46"/>
        <v>108</v>
      </c>
      <c r="B130" s="147">
        <f t="shared" si="39"/>
        <v>177</v>
      </c>
      <c r="C130" s="147">
        <f t="shared" si="38"/>
        <v>183</v>
      </c>
      <c r="D130" s="149">
        <f t="shared" si="47"/>
        <v>255353675.14855629</v>
      </c>
      <c r="E130" s="149">
        <f t="shared" si="48"/>
        <v>2185763.9592352151</v>
      </c>
      <c r="F130" s="149">
        <f t="shared" si="40"/>
        <v>1286174.6864834966</v>
      </c>
      <c r="G130" s="149">
        <f t="shared" si="41"/>
        <v>1243302.1969340467</v>
      </c>
      <c r="H130" s="149">
        <f t="shared" si="49"/>
        <v>42872.489549449878</v>
      </c>
      <c r="I130" s="149">
        <f t="shared" si="50"/>
        <v>899589.27275171853</v>
      </c>
      <c r="J130" s="147">
        <f t="shared" si="51"/>
        <v>4.4999999999999998E-2</v>
      </c>
      <c r="K130" s="175">
        <f t="shared" si="42"/>
        <v>3.8296430163020645E-3</v>
      </c>
      <c r="L130" s="149">
        <f t="shared" si="52"/>
        <v>981672.87539127003</v>
      </c>
      <c r="M130" s="149">
        <f t="shared" si="53"/>
        <v>3124564.345077035</v>
      </c>
      <c r="N130" s="149">
        <f t="shared" si="54"/>
        <v>1881262.1481429886</v>
      </c>
      <c r="P130" s="149">
        <f t="shared" si="55"/>
        <v>0</v>
      </c>
      <c r="Q130" s="149">
        <f t="shared" si="56"/>
        <v>0</v>
      </c>
      <c r="R130" s="176">
        <f t="shared" si="57"/>
        <v>0</v>
      </c>
      <c r="S130" s="113">
        <f t="shared" si="58"/>
        <v>0</v>
      </c>
      <c r="T130" s="113">
        <f t="shared" si="43"/>
        <v>0</v>
      </c>
      <c r="U130" s="114">
        <f t="shared" si="59"/>
        <v>18</v>
      </c>
      <c r="V130" s="114">
        <f t="shared" si="60"/>
        <v>0</v>
      </c>
      <c r="W130" s="114">
        <f t="shared" si="61"/>
        <v>342</v>
      </c>
      <c r="X130" s="114"/>
      <c r="Y130" s="149">
        <f t="shared" si="62"/>
        <v>155353675.1485562</v>
      </c>
      <c r="Z130" s="149">
        <f t="shared" si="63"/>
        <v>759968.86360071285</v>
      </c>
      <c r="AA130" s="176">
        <f t="shared" si="64"/>
        <v>1881262.1481429886</v>
      </c>
      <c r="AB130" s="113">
        <f t="shared" si="65"/>
        <v>2641231.0117437015</v>
      </c>
      <c r="AC130" s="113">
        <f t="shared" si="44"/>
        <v>1571920.6738135812</v>
      </c>
      <c r="AD130" s="114">
        <f t="shared" si="66"/>
        <v>18</v>
      </c>
      <c r="AE130" s="114">
        <f t="shared" si="67"/>
        <v>7.846372783780451E-3</v>
      </c>
      <c r="AF130" s="114">
        <f t="shared" si="68"/>
        <v>342</v>
      </c>
      <c r="AG130" s="114"/>
      <c r="AH130" s="176">
        <f t="shared" si="69"/>
        <v>100000000</v>
      </c>
      <c r="AI130" s="176">
        <f t="shared" si="70"/>
        <v>483333.33333333337</v>
      </c>
      <c r="AJ130" s="176">
        <f t="shared" si="71"/>
        <v>0</v>
      </c>
      <c r="AK130" s="113">
        <f t="shared" si="72"/>
        <v>483333.33333333337</v>
      </c>
      <c r="AL130" s="113">
        <f t="shared" si="45"/>
        <v>287654.37617223582</v>
      </c>
      <c r="AM130" s="114">
        <f t="shared" si="73"/>
        <v>18</v>
      </c>
      <c r="AN130" s="114">
        <f t="shared" si="74"/>
        <v>2.8696986978383279E-3</v>
      </c>
      <c r="AO130" s="114">
        <f t="shared" si="75"/>
        <v>342</v>
      </c>
    </row>
    <row r="131" spans="1:41" hidden="1" outlineLevel="1" x14ac:dyDescent="0.3">
      <c r="A131" s="146">
        <f t="shared" si="46"/>
        <v>109</v>
      </c>
      <c r="B131" s="147">
        <f t="shared" si="39"/>
        <v>176</v>
      </c>
      <c r="C131" s="147">
        <f t="shared" si="38"/>
        <v>184</v>
      </c>
      <c r="D131" s="149">
        <f t="shared" si="47"/>
        <v>253478585.91383779</v>
      </c>
      <c r="E131" s="149">
        <f t="shared" si="48"/>
        <v>2177393.2635534452</v>
      </c>
      <c r="F131" s="149">
        <f t="shared" si="40"/>
        <v>1276768.3757427814</v>
      </c>
      <c r="G131" s="149">
        <f t="shared" si="41"/>
        <v>1234209.4298846887</v>
      </c>
      <c r="H131" s="149">
        <f t="shared" si="49"/>
        <v>42558.945858092746</v>
      </c>
      <c r="I131" s="149">
        <f t="shared" si="50"/>
        <v>900624.88781066379</v>
      </c>
      <c r="J131" s="147">
        <f t="shared" si="51"/>
        <v>4.4999999999999998E-2</v>
      </c>
      <c r="K131" s="175">
        <f t="shared" si="42"/>
        <v>3.8296430163020645E-3</v>
      </c>
      <c r="L131" s="149">
        <f t="shared" si="52"/>
        <v>974464.34690782265</v>
      </c>
      <c r="M131" s="149">
        <f t="shared" si="53"/>
        <v>3109298.6646031747</v>
      </c>
      <c r="N131" s="149">
        <f t="shared" si="54"/>
        <v>1875089.2347184864</v>
      </c>
      <c r="P131" s="149">
        <f t="shared" si="55"/>
        <v>0</v>
      </c>
      <c r="Q131" s="149">
        <f t="shared" si="56"/>
        <v>0</v>
      </c>
      <c r="R131" s="176">
        <f t="shared" si="57"/>
        <v>0</v>
      </c>
      <c r="S131" s="113">
        <f t="shared" si="58"/>
        <v>0</v>
      </c>
      <c r="T131" s="113">
        <f t="shared" si="43"/>
        <v>0</v>
      </c>
      <c r="U131" s="114">
        <f t="shared" si="59"/>
        <v>18.166666666666668</v>
      </c>
      <c r="V131" s="114">
        <f t="shared" si="60"/>
        <v>0</v>
      </c>
      <c r="W131" s="114">
        <f t="shared" si="61"/>
        <v>348.19444444444451</v>
      </c>
      <c r="X131" s="114"/>
      <c r="Y131" s="149">
        <f t="shared" si="62"/>
        <v>153478585.91383773</v>
      </c>
      <c r="Z131" s="149">
        <f t="shared" si="63"/>
        <v>750876.09655135497</v>
      </c>
      <c r="AA131" s="176">
        <f t="shared" si="64"/>
        <v>1875089.2347184864</v>
      </c>
      <c r="AB131" s="113">
        <f t="shared" si="65"/>
        <v>2625965.3312698416</v>
      </c>
      <c r="AC131" s="113">
        <f t="shared" si="44"/>
        <v>1555343.8398372727</v>
      </c>
      <c r="AD131" s="114">
        <f t="shared" si="66"/>
        <v>18.166666666666668</v>
      </c>
      <c r="AE131" s="114">
        <f t="shared" si="67"/>
        <v>7.7636281382523773E-3</v>
      </c>
      <c r="AF131" s="114">
        <f t="shared" si="68"/>
        <v>348.19444444444451</v>
      </c>
      <c r="AG131" s="114"/>
      <c r="AH131" s="176">
        <f t="shared" si="69"/>
        <v>100000000</v>
      </c>
      <c r="AI131" s="176">
        <f t="shared" si="70"/>
        <v>483333.33333333337</v>
      </c>
      <c r="AJ131" s="176">
        <f t="shared" si="71"/>
        <v>0</v>
      </c>
      <c r="AK131" s="113">
        <f t="shared" si="72"/>
        <v>483333.33333333337</v>
      </c>
      <c r="AL131" s="113">
        <f t="shared" si="45"/>
        <v>286275.49405783304</v>
      </c>
      <c r="AM131" s="114">
        <f t="shared" si="73"/>
        <v>18.166666666666668</v>
      </c>
      <c r="AN131" s="114">
        <f t="shared" si="74"/>
        <v>2.8559426887665071E-3</v>
      </c>
      <c r="AO131" s="114">
        <f t="shared" si="75"/>
        <v>348.19444444444451</v>
      </c>
    </row>
    <row r="132" spans="1:41" hidden="1" outlineLevel="1" x14ac:dyDescent="0.3">
      <c r="A132" s="146">
        <f t="shared" si="46"/>
        <v>110</v>
      </c>
      <c r="B132" s="147">
        <f t="shared" si="39"/>
        <v>175</v>
      </c>
      <c r="C132" s="147">
        <f t="shared" si="38"/>
        <v>185</v>
      </c>
      <c r="D132" s="149">
        <f t="shared" si="47"/>
        <v>251609644.76484564</v>
      </c>
      <c r="E132" s="149">
        <f t="shared" si="48"/>
        <v>2169054.6246479345</v>
      </c>
      <c r="F132" s="149">
        <f t="shared" si="40"/>
        <v>1267392.929569189</v>
      </c>
      <c r="G132" s="149">
        <f t="shared" si="41"/>
        <v>1225146.4985835494</v>
      </c>
      <c r="H132" s="149">
        <f t="shared" si="49"/>
        <v>42246.43098563957</v>
      </c>
      <c r="I132" s="149">
        <f t="shared" si="50"/>
        <v>901661.69507874548</v>
      </c>
      <c r="J132" s="147">
        <f t="shared" si="51"/>
        <v>4.4999999999999998E-2</v>
      </c>
      <c r="K132" s="175">
        <f t="shared" si="42"/>
        <v>3.8296430163020645E-3</v>
      </c>
      <c r="L132" s="149">
        <f t="shared" si="52"/>
        <v>967279.45391342638</v>
      </c>
      <c r="M132" s="149">
        <f t="shared" si="53"/>
        <v>3094087.6475757216</v>
      </c>
      <c r="N132" s="149">
        <f t="shared" si="54"/>
        <v>1868941.148992172</v>
      </c>
      <c r="P132" s="149">
        <f t="shared" si="55"/>
        <v>0</v>
      </c>
      <c r="Q132" s="149">
        <f t="shared" si="56"/>
        <v>0</v>
      </c>
      <c r="R132" s="176">
        <f t="shared" si="57"/>
        <v>0</v>
      </c>
      <c r="S132" s="113">
        <f t="shared" si="58"/>
        <v>0</v>
      </c>
      <c r="T132" s="113">
        <f t="shared" si="43"/>
        <v>0</v>
      </c>
      <c r="U132" s="114">
        <f t="shared" si="59"/>
        <v>18.333333333333332</v>
      </c>
      <c r="V132" s="114">
        <f t="shared" si="60"/>
        <v>0</v>
      </c>
      <c r="W132" s="114">
        <f t="shared" si="61"/>
        <v>354.4444444444444</v>
      </c>
      <c r="X132" s="114"/>
      <c r="Y132" s="149">
        <f t="shared" si="62"/>
        <v>151609644.76484555</v>
      </c>
      <c r="Z132" s="149">
        <f t="shared" si="63"/>
        <v>741813.16525021568</v>
      </c>
      <c r="AA132" s="176">
        <f t="shared" si="64"/>
        <v>1868941.148992172</v>
      </c>
      <c r="AB132" s="113">
        <f t="shared" si="65"/>
        <v>2610754.3142423877</v>
      </c>
      <c r="AC132" s="113">
        <f t="shared" si="44"/>
        <v>1538922.0312588648</v>
      </c>
      <c r="AD132" s="114">
        <f t="shared" si="66"/>
        <v>18.333333333333332</v>
      </c>
      <c r="AE132" s="114">
        <f t="shared" si="67"/>
        <v>7.6816573148917626E-3</v>
      </c>
      <c r="AF132" s="114">
        <f t="shared" si="68"/>
        <v>354.4444444444444</v>
      </c>
      <c r="AG132" s="114"/>
      <c r="AH132" s="176">
        <f t="shared" si="69"/>
        <v>100000000</v>
      </c>
      <c r="AI132" s="176">
        <f t="shared" si="70"/>
        <v>483333.33333333337</v>
      </c>
      <c r="AJ132" s="176">
        <f t="shared" si="71"/>
        <v>0</v>
      </c>
      <c r="AK132" s="113">
        <f t="shared" si="72"/>
        <v>483333.33333333337</v>
      </c>
      <c r="AL132" s="113">
        <f t="shared" si="45"/>
        <v>284903.22166691418</v>
      </c>
      <c r="AM132" s="114">
        <f t="shared" si="73"/>
        <v>18.333333333333332</v>
      </c>
      <c r="AN132" s="114">
        <f t="shared" si="74"/>
        <v>2.8422526196436185E-3</v>
      </c>
      <c r="AO132" s="114">
        <f t="shared" si="75"/>
        <v>354.4444444444444</v>
      </c>
    </row>
    <row r="133" spans="1:41" hidden="1" outlineLevel="1" x14ac:dyDescent="0.3">
      <c r="A133" s="146">
        <f t="shared" si="46"/>
        <v>111</v>
      </c>
      <c r="B133" s="147">
        <f t="shared" si="39"/>
        <v>174</v>
      </c>
      <c r="C133" s="147">
        <f t="shared" si="38"/>
        <v>186</v>
      </c>
      <c r="D133" s="149">
        <f t="shared" si="47"/>
        <v>249746826.96759558</v>
      </c>
      <c r="E133" s="149">
        <f t="shared" si="48"/>
        <v>2160747.9197526737</v>
      </c>
      <c r="F133" s="149">
        <f t="shared" si="40"/>
        <v>1258048.2238242282</v>
      </c>
      <c r="G133" s="149">
        <f t="shared" si="41"/>
        <v>1216113.2830300874</v>
      </c>
      <c r="H133" s="149">
        <f t="shared" si="49"/>
        <v>41934.940794140799</v>
      </c>
      <c r="I133" s="149">
        <f t="shared" si="50"/>
        <v>902699.69592844555</v>
      </c>
      <c r="J133" s="147">
        <f t="shared" si="51"/>
        <v>4.4999999999999998E-2</v>
      </c>
      <c r="K133" s="175">
        <f t="shared" si="42"/>
        <v>3.8296430163020645E-3</v>
      </c>
      <c r="L133" s="149">
        <f t="shared" si="52"/>
        <v>960118.10132160399</v>
      </c>
      <c r="M133" s="149">
        <f t="shared" si="53"/>
        <v>3078931.0802801372</v>
      </c>
      <c r="N133" s="149">
        <f t="shared" si="54"/>
        <v>1862817.7972500497</v>
      </c>
      <c r="P133" s="149">
        <f t="shared" si="55"/>
        <v>0</v>
      </c>
      <c r="Q133" s="149">
        <f t="shared" si="56"/>
        <v>0</v>
      </c>
      <c r="R133" s="176">
        <f t="shared" si="57"/>
        <v>0</v>
      </c>
      <c r="S133" s="113">
        <f t="shared" si="58"/>
        <v>0</v>
      </c>
      <c r="T133" s="113">
        <f t="shared" si="43"/>
        <v>0</v>
      </c>
      <c r="U133" s="114">
        <f t="shared" si="59"/>
        <v>18.5</v>
      </c>
      <c r="V133" s="114">
        <f t="shared" si="60"/>
        <v>0</v>
      </c>
      <c r="W133" s="114">
        <f t="shared" si="61"/>
        <v>360.75</v>
      </c>
      <c r="X133" s="114"/>
      <c r="Y133" s="149">
        <f t="shared" si="62"/>
        <v>149746826.96759549</v>
      </c>
      <c r="Z133" s="149">
        <f t="shared" si="63"/>
        <v>732779.94969675352</v>
      </c>
      <c r="AA133" s="176">
        <f t="shared" si="64"/>
        <v>1862817.7972500497</v>
      </c>
      <c r="AB133" s="113">
        <f t="shared" si="65"/>
        <v>2595597.7469468033</v>
      </c>
      <c r="AC133" s="113">
        <f t="shared" si="44"/>
        <v>1522653.8629138588</v>
      </c>
      <c r="AD133" s="114">
        <f t="shared" si="66"/>
        <v>18.5</v>
      </c>
      <c r="AE133" s="114">
        <f t="shared" si="67"/>
        <v>7.600453399534802E-3</v>
      </c>
      <c r="AF133" s="114">
        <f t="shared" si="68"/>
        <v>360.75</v>
      </c>
      <c r="AG133" s="114"/>
      <c r="AH133" s="176">
        <f t="shared" si="69"/>
        <v>100000000</v>
      </c>
      <c r="AI133" s="176">
        <f t="shared" si="70"/>
        <v>483333.33333333337</v>
      </c>
      <c r="AJ133" s="176">
        <f t="shared" si="71"/>
        <v>0</v>
      </c>
      <c r="AK133" s="113">
        <f t="shared" si="72"/>
        <v>483333.33333333337</v>
      </c>
      <c r="AL133" s="113">
        <f t="shared" si="45"/>
        <v>283537.52731552016</v>
      </c>
      <c r="AM133" s="114">
        <f t="shared" si="73"/>
        <v>18.5</v>
      </c>
      <c r="AN133" s="114">
        <f t="shared" si="74"/>
        <v>2.8286281743840269E-3</v>
      </c>
      <c r="AO133" s="114">
        <f t="shared" si="75"/>
        <v>360.75</v>
      </c>
    </row>
    <row r="134" spans="1:41" hidden="1" outlineLevel="1" x14ac:dyDescent="0.3">
      <c r="A134" s="146">
        <f t="shared" si="46"/>
        <v>112</v>
      </c>
      <c r="B134" s="147">
        <f t="shared" si="39"/>
        <v>173</v>
      </c>
      <c r="C134" s="147">
        <f t="shared" si="38"/>
        <v>187</v>
      </c>
      <c r="D134" s="149">
        <f t="shared" si="47"/>
        <v>247890107.881457</v>
      </c>
      <c r="E134" s="149">
        <f t="shared" si="48"/>
        <v>2152473.0265718037</v>
      </c>
      <c r="F134" s="149">
        <f t="shared" si="40"/>
        <v>1248734.1348379778</v>
      </c>
      <c r="G134" s="149">
        <f t="shared" si="41"/>
        <v>1207109.663676712</v>
      </c>
      <c r="H134" s="149">
        <f t="shared" si="49"/>
        <v>41624.471161265858</v>
      </c>
      <c r="I134" s="149">
        <f t="shared" si="50"/>
        <v>903738.89173382591</v>
      </c>
      <c r="J134" s="147">
        <f t="shared" si="51"/>
        <v>4.4999999999999998E-2</v>
      </c>
      <c r="K134" s="175">
        <f t="shared" si="42"/>
        <v>3.8296430163020645E-3</v>
      </c>
      <c r="L134" s="149">
        <f t="shared" si="52"/>
        <v>952980.19440476352</v>
      </c>
      <c r="M134" s="149">
        <f t="shared" si="53"/>
        <v>3063828.7498153015</v>
      </c>
      <c r="N134" s="149">
        <f t="shared" si="54"/>
        <v>1856719.0861385893</v>
      </c>
      <c r="P134" s="149">
        <f t="shared" si="55"/>
        <v>0</v>
      </c>
      <c r="Q134" s="149">
        <f t="shared" si="56"/>
        <v>0</v>
      </c>
      <c r="R134" s="176">
        <f t="shared" si="57"/>
        <v>0</v>
      </c>
      <c r="S134" s="113">
        <f t="shared" si="58"/>
        <v>0</v>
      </c>
      <c r="T134" s="113">
        <f t="shared" si="43"/>
        <v>0</v>
      </c>
      <c r="U134" s="114">
        <f t="shared" si="59"/>
        <v>18.666666666666668</v>
      </c>
      <c r="V134" s="114">
        <f t="shared" si="60"/>
        <v>0</v>
      </c>
      <c r="W134" s="114">
        <f t="shared" si="61"/>
        <v>367.11111111111114</v>
      </c>
      <c r="X134" s="114"/>
      <c r="Y134" s="149">
        <f t="shared" si="62"/>
        <v>147890107.88145691</v>
      </c>
      <c r="Z134" s="149">
        <f t="shared" si="63"/>
        <v>723776.33034337824</v>
      </c>
      <c r="AA134" s="176">
        <f t="shared" si="64"/>
        <v>1856719.0861385893</v>
      </c>
      <c r="AB134" s="113">
        <f t="shared" si="65"/>
        <v>2580495.4164819675</v>
      </c>
      <c r="AC134" s="113">
        <f t="shared" si="44"/>
        <v>1506537.9617724735</v>
      </c>
      <c r="AD134" s="114">
        <f t="shared" si="66"/>
        <v>18.666666666666668</v>
      </c>
      <c r="AE134" s="114">
        <f t="shared" si="67"/>
        <v>7.5200095385891457E-3</v>
      </c>
      <c r="AF134" s="114">
        <f t="shared" si="68"/>
        <v>367.11111111111114</v>
      </c>
      <c r="AG134" s="114"/>
      <c r="AH134" s="176">
        <f t="shared" si="69"/>
        <v>100000000</v>
      </c>
      <c r="AI134" s="176">
        <f t="shared" si="70"/>
        <v>483333.33333333337</v>
      </c>
      <c r="AJ134" s="176">
        <f t="shared" si="71"/>
        <v>0</v>
      </c>
      <c r="AK134" s="113">
        <f t="shared" si="72"/>
        <v>483333.33333333337</v>
      </c>
      <c r="AL134" s="113">
        <f t="shared" si="45"/>
        <v>282178.37947156996</v>
      </c>
      <c r="AM134" s="114">
        <f t="shared" si="73"/>
        <v>18.666666666666668</v>
      </c>
      <c r="AN134" s="114">
        <f t="shared" si="74"/>
        <v>2.8150690384172645E-3</v>
      </c>
      <c r="AO134" s="114">
        <f t="shared" si="75"/>
        <v>367.11111111111114</v>
      </c>
    </row>
    <row r="135" spans="1:41" hidden="1" outlineLevel="1" x14ac:dyDescent="0.3">
      <c r="A135" s="146">
        <f t="shared" si="46"/>
        <v>113</v>
      </c>
      <c r="B135" s="147">
        <f t="shared" si="39"/>
        <v>172</v>
      </c>
      <c r="C135" s="147">
        <f t="shared" si="38"/>
        <v>188</v>
      </c>
      <c r="D135" s="149">
        <f t="shared" si="47"/>
        <v>246039462.95879367</v>
      </c>
      <c r="E135" s="149">
        <f t="shared" si="48"/>
        <v>2144229.8232778143</v>
      </c>
      <c r="F135" s="149">
        <f t="shared" si="40"/>
        <v>1239450.5394072849</v>
      </c>
      <c r="G135" s="149">
        <f t="shared" si="41"/>
        <v>1198135.5214270423</v>
      </c>
      <c r="H135" s="149">
        <f t="shared" si="49"/>
        <v>41315.017980242614</v>
      </c>
      <c r="I135" s="149">
        <f t="shared" si="50"/>
        <v>904779.28387052938</v>
      </c>
      <c r="J135" s="147">
        <f t="shared" si="51"/>
        <v>4.4999999999999998E-2</v>
      </c>
      <c r="K135" s="175">
        <f t="shared" si="42"/>
        <v>3.8296430163020645E-3</v>
      </c>
      <c r="L135" s="149">
        <f t="shared" si="52"/>
        <v>945865.6387928176</v>
      </c>
      <c r="M135" s="149">
        <f t="shared" si="53"/>
        <v>3048780.4440903892</v>
      </c>
      <c r="N135" s="149">
        <f t="shared" si="54"/>
        <v>1850644.9226633469</v>
      </c>
      <c r="P135" s="149">
        <f t="shared" si="55"/>
        <v>0</v>
      </c>
      <c r="Q135" s="149">
        <f t="shared" si="56"/>
        <v>0</v>
      </c>
      <c r="R135" s="176">
        <f t="shared" si="57"/>
        <v>0</v>
      </c>
      <c r="S135" s="113">
        <f t="shared" si="58"/>
        <v>0</v>
      </c>
      <c r="T135" s="113">
        <f t="shared" si="43"/>
        <v>0</v>
      </c>
      <c r="U135" s="114">
        <f t="shared" si="59"/>
        <v>18.833333333333332</v>
      </c>
      <c r="V135" s="114">
        <f t="shared" si="60"/>
        <v>0</v>
      </c>
      <c r="W135" s="114">
        <f t="shared" si="61"/>
        <v>373.52777777777771</v>
      </c>
      <c r="X135" s="114"/>
      <c r="Y135" s="149">
        <f t="shared" si="62"/>
        <v>146039462.95879355</v>
      </c>
      <c r="Z135" s="149">
        <f t="shared" si="63"/>
        <v>714802.18809370848</v>
      </c>
      <c r="AA135" s="176">
        <f t="shared" si="64"/>
        <v>1850644.9226633469</v>
      </c>
      <c r="AB135" s="113">
        <f t="shared" si="65"/>
        <v>2565447.1107570552</v>
      </c>
      <c r="AC135" s="113">
        <f t="shared" si="44"/>
        <v>1490572.966834309</v>
      </c>
      <c r="AD135" s="114">
        <f t="shared" si="66"/>
        <v>18.833333333333332</v>
      </c>
      <c r="AE135" s="114">
        <f t="shared" si="67"/>
        <v>7.4403189385080998E-3</v>
      </c>
      <c r="AF135" s="114">
        <f t="shared" si="68"/>
        <v>373.52777777777771</v>
      </c>
      <c r="AG135" s="114"/>
      <c r="AH135" s="176">
        <f t="shared" si="69"/>
        <v>100000000</v>
      </c>
      <c r="AI135" s="176">
        <f t="shared" si="70"/>
        <v>483333.33333333337</v>
      </c>
      <c r="AJ135" s="176">
        <f t="shared" si="71"/>
        <v>0</v>
      </c>
      <c r="AK135" s="113">
        <f t="shared" si="72"/>
        <v>483333.33333333337</v>
      </c>
      <c r="AL135" s="113">
        <f t="shared" si="45"/>
        <v>280825.74675413291</v>
      </c>
      <c r="AM135" s="114">
        <f t="shared" si="73"/>
        <v>18.833333333333332</v>
      </c>
      <c r="AN135" s="114">
        <f t="shared" si="74"/>
        <v>2.8015748986807685E-3</v>
      </c>
      <c r="AO135" s="114">
        <f t="shared" si="75"/>
        <v>373.52777777777771</v>
      </c>
    </row>
    <row r="136" spans="1:41" hidden="1" outlineLevel="1" x14ac:dyDescent="0.3">
      <c r="A136" s="146">
        <f t="shared" si="46"/>
        <v>114</v>
      </c>
      <c r="B136" s="147">
        <f t="shared" si="39"/>
        <v>171</v>
      </c>
      <c r="C136" s="147">
        <f t="shared" si="38"/>
        <v>189</v>
      </c>
      <c r="D136" s="149">
        <f t="shared" si="47"/>
        <v>244194867.74460608</v>
      </c>
      <c r="E136" s="149">
        <f t="shared" si="48"/>
        <v>2136018.188509752</v>
      </c>
      <c r="F136" s="149">
        <f t="shared" si="40"/>
        <v>1230197.3147939683</v>
      </c>
      <c r="G136" s="149">
        <f t="shared" si="41"/>
        <v>1189190.7376341694</v>
      </c>
      <c r="H136" s="149">
        <f t="shared" si="49"/>
        <v>41006.577159798937</v>
      </c>
      <c r="I136" s="149">
        <f t="shared" si="50"/>
        <v>905820.8737157837</v>
      </c>
      <c r="J136" s="147">
        <f t="shared" si="51"/>
        <v>4.4999999999999998E-2</v>
      </c>
      <c r="K136" s="175">
        <f t="shared" si="42"/>
        <v>3.8296430163020645E-3</v>
      </c>
      <c r="L136" s="149">
        <f t="shared" si="52"/>
        <v>938774.34047180833</v>
      </c>
      <c r="M136" s="149">
        <f t="shared" si="53"/>
        <v>3033785.9518217612</v>
      </c>
      <c r="N136" s="149">
        <f t="shared" si="54"/>
        <v>1844595.214187592</v>
      </c>
      <c r="P136" s="149">
        <f t="shared" si="55"/>
        <v>0</v>
      </c>
      <c r="Q136" s="149">
        <f t="shared" si="56"/>
        <v>0</v>
      </c>
      <c r="R136" s="176">
        <f t="shared" si="57"/>
        <v>0</v>
      </c>
      <c r="S136" s="113">
        <f t="shared" si="58"/>
        <v>0</v>
      </c>
      <c r="T136" s="113">
        <f t="shared" si="43"/>
        <v>0</v>
      </c>
      <c r="U136" s="114">
        <f t="shared" si="59"/>
        <v>19</v>
      </c>
      <c r="V136" s="114">
        <f t="shared" si="60"/>
        <v>0</v>
      </c>
      <c r="W136" s="114">
        <f t="shared" si="61"/>
        <v>380</v>
      </c>
      <c r="X136" s="114"/>
      <c r="Y136" s="149">
        <f t="shared" si="62"/>
        <v>144194867.74460596</v>
      </c>
      <c r="Z136" s="149">
        <f t="shared" si="63"/>
        <v>705857.40430083557</v>
      </c>
      <c r="AA136" s="176">
        <f t="shared" si="64"/>
        <v>1844595.214187592</v>
      </c>
      <c r="AB136" s="113">
        <f t="shared" si="65"/>
        <v>2550452.6184884277</v>
      </c>
      <c r="AC136" s="113">
        <f t="shared" si="44"/>
        <v>1474757.5290239141</v>
      </c>
      <c r="AD136" s="114">
        <f t="shared" si="66"/>
        <v>19</v>
      </c>
      <c r="AE136" s="114">
        <f t="shared" si="67"/>
        <v>7.3613748652693435E-3</v>
      </c>
      <c r="AF136" s="114">
        <f t="shared" si="68"/>
        <v>380</v>
      </c>
      <c r="AG136" s="114"/>
      <c r="AH136" s="176">
        <f t="shared" si="69"/>
        <v>100000000</v>
      </c>
      <c r="AI136" s="176">
        <f t="shared" si="70"/>
        <v>483333.33333333337</v>
      </c>
      <c r="AJ136" s="176">
        <f t="shared" si="71"/>
        <v>0</v>
      </c>
      <c r="AK136" s="113">
        <f t="shared" si="72"/>
        <v>483333.33333333337</v>
      </c>
      <c r="AL136" s="113">
        <f t="shared" si="45"/>
        <v>279479.59793270426</v>
      </c>
      <c r="AM136" s="114">
        <f t="shared" si="73"/>
        <v>19</v>
      </c>
      <c r="AN136" s="114">
        <f t="shared" si="74"/>
        <v>2.788145443612658E-3</v>
      </c>
      <c r="AO136" s="114">
        <f t="shared" si="75"/>
        <v>380</v>
      </c>
    </row>
    <row r="137" spans="1:41" hidden="1" outlineLevel="1" x14ac:dyDescent="0.3">
      <c r="A137" s="146">
        <f t="shared" si="46"/>
        <v>115</v>
      </c>
      <c r="B137" s="147">
        <f t="shared" si="39"/>
        <v>170</v>
      </c>
      <c r="C137" s="147">
        <f t="shared" si="38"/>
        <v>190</v>
      </c>
      <c r="D137" s="149">
        <f t="shared" si="47"/>
        <v>242356297.87617514</v>
      </c>
      <c r="E137" s="149">
        <f t="shared" si="48"/>
        <v>2127838.0013714316</v>
      </c>
      <c r="F137" s="149">
        <f t="shared" si="40"/>
        <v>1220974.3387230304</v>
      </c>
      <c r="G137" s="149">
        <f t="shared" si="41"/>
        <v>1180275.1940989294</v>
      </c>
      <c r="H137" s="149">
        <f t="shared" si="49"/>
        <v>40699.144624100998</v>
      </c>
      <c r="I137" s="149">
        <f t="shared" si="50"/>
        <v>906863.66264840122</v>
      </c>
      <c r="J137" s="147">
        <f t="shared" si="51"/>
        <v>4.4999999999999998E-2</v>
      </c>
      <c r="K137" s="175">
        <f t="shared" si="42"/>
        <v>3.8296430163020645E-3</v>
      </c>
      <c r="L137" s="149">
        <f t="shared" si="52"/>
        <v>931706.20578253735</v>
      </c>
      <c r="M137" s="149">
        <f t="shared" si="53"/>
        <v>3018845.062529868</v>
      </c>
      <c r="N137" s="149">
        <f t="shared" si="54"/>
        <v>1838569.8684309386</v>
      </c>
      <c r="P137" s="149">
        <f t="shared" si="55"/>
        <v>0</v>
      </c>
      <c r="Q137" s="149">
        <f t="shared" si="56"/>
        <v>0</v>
      </c>
      <c r="R137" s="176">
        <f t="shared" si="57"/>
        <v>0</v>
      </c>
      <c r="S137" s="113">
        <f t="shared" si="58"/>
        <v>0</v>
      </c>
      <c r="T137" s="113">
        <f t="shared" si="43"/>
        <v>0</v>
      </c>
      <c r="U137" s="114">
        <f t="shared" si="59"/>
        <v>19.166666666666668</v>
      </c>
      <c r="V137" s="114">
        <f t="shared" si="60"/>
        <v>0</v>
      </c>
      <c r="W137" s="114">
        <f t="shared" si="61"/>
        <v>386.52777777777783</v>
      </c>
      <c r="X137" s="114"/>
      <c r="Y137" s="149">
        <f t="shared" si="62"/>
        <v>142356297.87617502</v>
      </c>
      <c r="Z137" s="149">
        <f t="shared" si="63"/>
        <v>696941.86076559545</v>
      </c>
      <c r="AA137" s="176">
        <f t="shared" si="64"/>
        <v>1838569.8684309386</v>
      </c>
      <c r="AB137" s="113">
        <f t="shared" si="65"/>
        <v>2535511.729196534</v>
      </c>
      <c r="AC137" s="113">
        <f t="shared" si="44"/>
        <v>1459090.3110872535</v>
      </c>
      <c r="AD137" s="114">
        <f t="shared" si="66"/>
        <v>19.166666666666668</v>
      </c>
      <c r="AE137" s="114">
        <f t="shared" si="67"/>
        <v>7.2831706438581363E-3</v>
      </c>
      <c r="AF137" s="114">
        <f t="shared" si="68"/>
        <v>386.52777777777783</v>
      </c>
      <c r="AG137" s="114"/>
      <c r="AH137" s="176">
        <f t="shared" si="69"/>
        <v>100000000</v>
      </c>
      <c r="AI137" s="176">
        <f t="shared" si="70"/>
        <v>483333.33333333337</v>
      </c>
      <c r="AJ137" s="176">
        <f t="shared" si="71"/>
        <v>0</v>
      </c>
      <c r="AK137" s="113">
        <f t="shared" si="72"/>
        <v>483333.33333333337</v>
      </c>
      <c r="AL137" s="113">
        <f t="shared" si="45"/>
        <v>278139.90192648349</v>
      </c>
      <c r="AM137" s="114">
        <f t="shared" si="73"/>
        <v>19.166666666666668</v>
      </c>
      <c r="AN137" s="114">
        <f t="shared" si="74"/>
        <v>2.7747803631445306E-3</v>
      </c>
      <c r="AO137" s="114">
        <f t="shared" si="75"/>
        <v>386.52777777777783</v>
      </c>
    </row>
    <row r="138" spans="1:41" hidden="1" outlineLevel="1" x14ac:dyDescent="0.3">
      <c r="A138" s="146">
        <f t="shared" si="46"/>
        <v>116</v>
      </c>
      <c r="B138" s="147">
        <f t="shared" si="39"/>
        <v>169</v>
      </c>
      <c r="C138" s="147">
        <f t="shared" si="38"/>
        <v>191</v>
      </c>
      <c r="D138" s="149">
        <f t="shared" si="47"/>
        <v>240523729.08270714</v>
      </c>
      <c r="E138" s="149">
        <f t="shared" si="48"/>
        <v>2119689.1414296576</v>
      </c>
      <c r="F138" s="149">
        <f t="shared" si="40"/>
        <v>1211781.4893808756</v>
      </c>
      <c r="G138" s="149">
        <f t="shared" si="41"/>
        <v>1171388.7730681798</v>
      </c>
      <c r="H138" s="149">
        <f t="shared" si="49"/>
        <v>40392.71631269576</v>
      </c>
      <c r="I138" s="149">
        <f t="shared" si="50"/>
        <v>907907.65204878198</v>
      </c>
      <c r="J138" s="147">
        <f t="shared" si="51"/>
        <v>4.4999999999999998E-2</v>
      </c>
      <c r="K138" s="175">
        <f t="shared" si="42"/>
        <v>3.8296430163020645E-3</v>
      </c>
      <c r="L138" s="149">
        <f t="shared" si="52"/>
        <v>924661.14141920104</v>
      </c>
      <c r="M138" s="149">
        <f t="shared" si="53"/>
        <v>3003957.566536163</v>
      </c>
      <c r="N138" s="149">
        <f t="shared" si="54"/>
        <v>1832568.7934679831</v>
      </c>
      <c r="P138" s="149">
        <f t="shared" si="55"/>
        <v>0</v>
      </c>
      <c r="Q138" s="149">
        <f t="shared" si="56"/>
        <v>0</v>
      </c>
      <c r="R138" s="176">
        <f t="shared" si="57"/>
        <v>0</v>
      </c>
      <c r="S138" s="113">
        <f t="shared" si="58"/>
        <v>0</v>
      </c>
      <c r="T138" s="113">
        <f t="shared" si="43"/>
        <v>0</v>
      </c>
      <c r="U138" s="114">
        <f t="shared" si="59"/>
        <v>19.333333333333332</v>
      </c>
      <c r="V138" s="114">
        <f t="shared" si="60"/>
        <v>0</v>
      </c>
      <c r="W138" s="114">
        <f t="shared" si="61"/>
        <v>393.11111111111109</v>
      </c>
      <c r="X138" s="114"/>
      <c r="Y138" s="149">
        <f t="shared" si="62"/>
        <v>140523729.08270705</v>
      </c>
      <c r="Z138" s="149">
        <f t="shared" si="63"/>
        <v>688055.439734846</v>
      </c>
      <c r="AA138" s="176">
        <f t="shared" si="64"/>
        <v>1832568.7934679831</v>
      </c>
      <c r="AB138" s="113">
        <f t="shared" si="65"/>
        <v>2520624.233202829</v>
      </c>
      <c r="AC138" s="113">
        <f t="shared" si="44"/>
        <v>1443569.9874890787</v>
      </c>
      <c r="AD138" s="114">
        <f t="shared" si="66"/>
        <v>19.333333333333332</v>
      </c>
      <c r="AE138" s="114">
        <f t="shared" si="67"/>
        <v>7.2056996577550382E-3</v>
      </c>
      <c r="AF138" s="114">
        <f t="shared" si="68"/>
        <v>393.11111111111109</v>
      </c>
      <c r="AG138" s="114"/>
      <c r="AH138" s="176">
        <f t="shared" si="69"/>
        <v>100000000</v>
      </c>
      <c r="AI138" s="176">
        <f t="shared" si="70"/>
        <v>483333.33333333337</v>
      </c>
      <c r="AJ138" s="176">
        <f t="shared" si="71"/>
        <v>0</v>
      </c>
      <c r="AK138" s="113">
        <f t="shared" si="72"/>
        <v>483333.33333333337</v>
      </c>
      <c r="AL138" s="113">
        <f t="shared" si="45"/>
        <v>276806.62780365738</v>
      </c>
      <c r="AM138" s="114">
        <f t="shared" si="73"/>
        <v>19.333333333333332</v>
      </c>
      <c r="AN138" s="114">
        <f t="shared" si="74"/>
        <v>2.7614793486943115E-3</v>
      </c>
      <c r="AO138" s="114">
        <f t="shared" si="75"/>
        <v>393.11111111111109</v>
      </c>
    </row>
    <row r="139" spans="1:41" hidden="1" outlineLevel="1" x14ac:dyDescent="0.3">
      <c r="A139" s="146">
        <f t="shared" si="46"/>
        <v>117</v>
      </c>
      <c r="B139" s="147">
        <f t="shared" si="39"/>
        <v>168</v>
      </c>
      <c r="C139" s="147">
        <f t="shared" si="38"/>
        <v>192</v>
      </c>
      <c r="D139" s="149">
        <f t="shared" si="47"/>
        <v>238697137.18498018</v>
      </c>
      <c r="E139" s="149">
        <f t="shared" si="48"/>
        <v>2111571.48871245</v>
      </c>
      <c r="F139" s="149">
        <f t="shared" si="40"/>
        <v>1202618.6454135356</v>
      </c>
      <c r="G139" s="149">
        <f t="shared" si="41"/>
        <v>1162531.3572330845</v>
      </c>
      <c r="H139" s="149">
        <f t="shared" si="49"/>
        <v>40087.288180451142</v>
      </c>
      <c r="I139" s="149">
        <f t="shared" si="50"/>
        <v>908952.84329891438</v>
      </c>
      <c r="J139" s="147">
        <f t="shared" si="51"/>
        <v>4.4999999999999998E-2</v>
      </c>
      <c r="K139" s="175">
        <f t="shared" si="42"/>
        <v>3.8296430163020645E-3</v>
      </c>
      <c r="L139" s="149">
        <f t="shared" si="52"/>
        <v>917639.05442803155</v>
      </c>
      <c r="M139" s="149">
        <f t="shared" si="53"/>
        <v>2989123.2549600303</v>
      </c>
      <c r="N139" s="149">
        <f t="shared" si="54"/>
        <v>1826591.897726946</v>
      </c>
      <c r="P139" s="149">
        <f t="shared" si="55"/>
        <v>0</v>
      </c>
      <c r="Q139" s="149">
        <f t="shared" si="56"/>
        <v>0</v>
      </c>
      <c r="R139" s="176">
        <f t="shared" si="57"/>
        <v>0</v>
      </c>
      <c r="S139" s="113">
        <f t="shared" si="58"/>
        <v>0</v>
      </c>
      <c r="T139" s="113">
        <f t="shared" si="43"/>
        <v>0</v>
      </c>
      <c r="U139" s="114">
        <f t="shared" si="59"/>
        <v>19.5</v>
      </c>
      <c r="V139" s="114">
        <f t="shared" si="60"/>
        <v>0</v>
      </c>
      <c r="W139" s="114">
        <f t="shared" si="61"/>
        <v>399.75</v>
      </c>
      <c r="X139" s="114"/>
      <c r="Y139" s="149">
        <f t="shared" si="62"/>
        <v>138697137.18498009</v>
      </c>
      <c r="Z139" s="149">
        <f t="shared" si="63"/>
        <v>679198.02389975078</v>
      </c>
      <c r="AA139" s="176">
        <f t="shared" si="64"/>
        <v>1826591.897726946</v>
      </c>
      <c r="AB139" s="113">
        <f t="shared" si="65"/>
        <v>2505789.9216266968</v>
      </c>
      <c r="AC139" s="113">
        <f t="shared" si="44"/>
        <v>1428195.2443111769</v>
      </c>
      <c r="AD139" s="114">
        <f t="shared" si="66"/>
        <v>19.5</v>
      </c>
      <c r="AE139" s="114">
        <f t="shared" si="67"/>
        <v>7.1289553484280089E-3</v>
      </c>
      <c r="AF139" s="114">
        <f t="shared" si="68"/>
        <v>399.75</v>
      </c>
      <c r="AG139" s="114"/>
      <c r="AH139" s="176">
        <f t="shared" si="69"/>
        <v>100000000</v>
      </c>
      <c r="AI139" s="176">
        <f t="shared" si="70"/>
        <v>483333.33333333337</v>
      </c>
      <c r="AJ139" s="176">
        <f t="shared" si="71"/>
        <v>0</v>
      </c>
      <c r="AK139" s="113">
        <f t="shared" si="72"/>
        <v>483333.33333333337</v>
      </c>
      <c r="AL139" s="113">
        <f t="shared" si="45"/>
        <v>275479.74478068517</v>
      </c>
      <c r="AM139" s="114">
        <f t="shared" si="73"/>
        <v>19.5</v>
      </c>
      <c r="AN139" s="114">
        <f t="shared" si="74"/>
        <v>2.7482420931591233E-3</v>
      </c>
      <c r="AO139" s="114">
        <f t="shared" si="75"/>
        <v>399.75</v>
      </c>
    </row>
    <row r="140" spans="1:41" hidden="1" outlineLevel="1" x14ac:dyDescent="0.3">
      <c r="A140" s="146">
        <f t="shared" si="46"/>
        <v>118</v>
      </c>
      <c r="B140" s="147">
        <f t="shared" si="39"/>
        <v>167</v>
      </c>
      <c r="C140" s="147">
        <f t="shared" si="38"/>
        <v>193</v>
      </c>
      <c r="D140" s="149">
        <f t="shared" si="47"/>
        <v>236876498.09499186</v>
      </c>
      <c r="E140" s="149">
        <f t="shared" si="48"/>
        <v>2103484.9237072798</v>
      </c>
      <c r="F140" s="149">
        <f t="shared" si="40"/>
        <v>1193485.6859249009</v>
      </c>
      <c r="G140" s="149">
        <f t="shared" si="41"/>
        <v>1153702.8297274043</v>
      </c>
      <c r="H140" s="149">
        <f t="shared" si="49"/>
        <v>39782.856197496643</v>
      </c>
      <c r="I140" s="149">
        <f t="shared" si="50"/>
        <v>909999.23778237891</v>
      </c>
      <c r="J140" s="147">
        <f t="shared" si="51"/>
        <v>4.4999999999999998E-2</v>
      </c>
      <c r="K140" s="175">
        <f t="shared" si="42"/>
        <v>3.8296430163020645E-3</v>
      </c>
      <c r="L140" s="149">
        <f t="shared" si="52"/>
        <v>910639.85220594169</v>
      </c>
      <c r="M140" s="149">
        <f t="shared" si="53"/>
        <v>2974341.9197157249</v>
      </c>
      <c r="N140" s="149">
        <f t="shared" si="54"/>
        <v>1820639.0899883206</v>
      </c>
      <c r="P140" s="149">
        <f t="shared" si="55"/>
        <v>0</v>
      </c>
      <c r="Q140" s="149">
        <f t="shared" si="56"/>
        <v>0</v>
      </c>
      <c r="R140" s="176">
        <f t="shared" si="57"/>
        <v>0</v>
      </c>
      <c r="S140" s="113">
        <f t="shared" si="58"/>
        <v>0</v>
      </c>
      <c r="T140" s="113">
        <f t="shared" si="43"/>
        <v>0</v>
      </c>
      <c r="U140" s="114">
        <f t="shared" si="59"/>
        <v>19.666666666666668</v>
      </c>
      <c r="V140" s="114">
        <f t="shared" si="60"/>
        <v>0</v>
      </c>
      <c r="W140" s="114">
        <f t="shared" si="61"/>
        <v>406.44444444444451</v>
      </c>
      <c r="X140" s="114"/>
      <c r="Y140" s="149">
        <f t="shared" si="62"/>
        <v>136876498.09499177</v>
      </c>
      <c r="Z140" s="149">
        <f t="shared" si="63"/>
        <v>670369.49639407045</v>
      </c>
      <c r="AA140" s="176">
        <f t="shared" si="64"/>
        <v>1820639.0899883206</v>
      </c>
      <c r="AB140" s="113">
        <f t="shared" si="65"/>
        <v>2491008.5863823909</v>
      </c>
      <c r="AC140" s="113">
        <f t="shared" si="44"/>
        <v>1412964.779151507</v>
      </c>
      <c r="AD140" s="114">
        <f t="shared" si="66"/>
        <v>19.666666666666668</v>
      </c>
      <c r="AE140" s="114">
        <f t="shared" si="67"/>
        <v>7.0529312148289343E-3</v>
      </c>
      <c r="AF140" s="114">
        <f t="shared" si="68"/>
        <v>406.44444444444451</v>
      </c>
      <c r="AG140" s="114"/>
      <c r="AH140" s="176">
        <f t="shared" si="69"/>
        <v>100000000</v>
      </c>
      <c r="AI140" s="176">
        <f t="shared" si="70"/>
        <v>483333.33333333337</v>
      </c>
      <c r="AJ140" s="176">
        <f t="shared" si="71"/>
        <v>0</v>
      </c>
      <c r="AK140" s="113">
        <f t="shared" si="72"/>
        <v>483333.33333333337</v>
      </c>
      <c r="AL140" s="113">
        <f t="shared" si="45"/>
        <v>274159.22222158854</v>
      </c>
      <c r="AM140" s="114">
        <f t="shared" si="73"/>
        <v>19.666666666666668</v>
      </c>
      <c r="AN140" s="114">
        <f t="shared" si="74"/>
        <v>2.7350682909082001E-3</v>
      </c>
      <c r="AO140" s="114">
        <f t="shared" si="75"/>
        <v>406.44444444444451</v>
      </c>
    </row>
    <row r="141" spans="1:41" hidden="1" outlineLevel="1" x14ac:dyDescent="0.3">
      <c r="A141" s="146">
        <f t="shared" si="46"/>
        <v>119</v>
      </c>
      <c r="B141" s="147">
        <f t="shared" si="39"/>
        <v>166</v>
      </c>
      <c r="C141" s="147">
        <f t="shared" si="38"/>
        <v>194</v>
      </c>
      <c r="D141" s="149">
        <f t="shared" si="47"/>
        <v>235061787.81560832</v>
      </c>
      <c r="E141" s="149">
        <f t="shared" si="48"/>
        <v>2095429.3273593076</v>
      </c>
      <c r="F141" s="149">
        <f t="shared" si="40"/>
        <v>1184382.4904749594</v>
      </c>
      <c r="G141" s="149">
        <f t="shared" si="41"/>
        <v>1144903.074125794</v>
      </c>
      <c r="H141" s="149">
        <f t="shared" si="49"/>
        <v>39479.416349165374</v>
      </c>
      <c r="I141" s="149">
        <f t="shared" si="50"/>
        <v>911046.83688434819</v>
      </c>
      <c r="J141" s="147">
        <f t="shared" si="51"/>
        <v>4.4999999999999998E-2</v>
      </c>
      <c r="K141" s="175">
        <f t="shared" si="42"/>
        <v>3.8296430163020645E-3</v>
      </c>
      <c r="L141" s="149">
        <f t="shared" si="52"/>
        <v>903663.4424991766</v>
      </c>
      <c r="M141" s="149">
        <f t="shared" si="53"/>
        <v>2959613.353509319</v>
      </c>
      <c r="N141" s="149">
        <f t="shared" si="54"/>
        <v>1814710.2793835248</v>
      </c>
      <c r="P141" s="149">
        <f t="shared" si="55"/>
        <v>0</v>
      </c>
      <c r="Q141" s="149">
        <f t="shared" si="56"/>
        <v>0</v>
      </c>
      <c r="R141" s="176">
        <f t="shared" si="57"/>
        <v>0</v>
      </c>
      <c r="S141" s="113">
        <f t="shared" si="58"/>
        <v>0</v>
      </c>
      <c r="T141" s="113">
        <f t="shared" si="43"/>
        <v>0</v>
      </c>
      <c r="U141" s="114">
        <f t="shared" si="59"/>
        <v>19.833333333333332</v>
      </c>
      <c r="V141" s="114">
        <f t="shared" si="60"/>
        <v>0</v>
      </c>
      <c r="W141" s="114">
        <f t="shared" si="61"/>
        <v>413.1944444444444</v>
      </c>
      <c r="X141" s="114"/>
      <c r="Y141" s="149">
        <f t="shared" si="62"/>
        <v>135061787.81560826</v>
      </c>
      <c r="Z141" s="149">
        <f t="shared" si="63"/>
        <v>661569.74079246027</v>
      </c>
      <c r="AA141" s="176">
        <f t="shared" si="64"/>
        <v>1814710.2793835248</v>
      </c>
      <c r="AB141" s="113">
        <f t="shared" si="65"/>
        <v>2476280.0201759851</v>
      </c>
      <c r="AC141" s="113">
        <f t="shared" si="44"/>
        <v>1397877.3010242018</v>
      </c>
      <c r="AD141" s="114">
        <f t="shared" si="66"/>
        <v>19.833333333333332</v>
      </c>
      <c r="AE141" s="114">
        <f t="shared" si="67"/>
        <v>6.9776208128944856E-3</v>
      </c>
      <c r="AF141" s="114">
        <f t="shared" si="68"/>
        <v>413.1944444444444</v>
      </c>
      <c r="AG141" s="114"/>
      <c r="AH141" s="176">
        <f t="shared" si="69"/>
        <v>100000000</v>
      </c>
      <c r="AI141" s="176">
        <f t="shared" si="70"/>
        <v>483333.33333333337</v>
      </c>
      <c r="AJ141" s="176">
        <f t="shared" si="71"/>
        <v>0</v>
      </c>
      <c r="AK141" s="113">
        <f t="shared" si="72"/>
        <v>483333.33333333337</v>
      </c>
      <c r="AL141" s="113">
        <f t="shared" si="45"/>
        <v>272845.02963724366</v>
      </c>
      <c r="AM141" s="114">
        <f t="shared" si="73"/>
        <v>19.833333333333332</v>
      </c>
      <c r="AN141" s="114">
        <f t="shared" si="74"/>
        <v>2.7219576377758271E-3</v>
      </c>
      <c r="AO141" s="114">
        <f t="shared" si="75"/>
        <v>413.1944444444444</v>
      </c>
    </row>
    <row r="142" spans="1:41" hidden="1" outlineLevel="1" x14ac:dyDescent="0.3">
      <c r="A142" s="146">
        <f t="shared" si="46"/>
        <v>120</v>
      </c>
      <c r="B142" s="147">
        <f t="shared" si="39"/>
        <v>165</v>
      </c>
      <c r="C142" s="147">
        <f t="shared" si="38"/>
        <v>195</v>
      </c>
      <c r="D142" s="149">
        <f t="shared" si="47"/>
        <v>233252982.44021475</v>
      </c>
      <c r="E142" s="149">
        <f t="shared" si="48"/>
        <v>2087404.5810696315</v>
      </c>
      <c r="F142" s="149">
        <f t="shared" si="40"/>
        <v>1175308.9390780416</v>
      </c>
      <c r="G142" s="149">
        <f t="shared" si="41"/>
        <v>1136131.9744421069</v>
      </c>
      <c r="H142" s="149">
        <f t="shared" si="49"/>
        <v>39176.964635934681</v>
      </c>
      <c r="I142" s="149">
        <f t="shared" si="50"/>
        <v>912095.64199158992</v>
      </c>
      <c r="J142" s="147">
        <f t="shared" si="51"/>
        <v>4.4999999999999998E-2</v>
      </c>
      <c r="K142" s="175">
        <f t="shared" si="42"/>
        <v>3.8296430163020645E-3</v>
      </c>
      <c r="L142" s="149">
        <f t="shared" si="52"/>
        <v>896709.73340196954</v>
      </c>
      <c r="M142" s="149">
        <f t="shared" si="53"/>
        <v>2944937.3498356664</v>
      </c>
      <c r="N142" s="149">
        <f t="shared" si="54"/>
        <v>1808805.3753935595</v>
      </c>
      <c r="P142" s="149">
        <f t="shared" si="55"/>
        <v>0</v>
      </c>
      <c r="Q142" s="149">
        <f t="shared" si="56"/>
        <v>0</v>
      </c>
      <c r="R142" s="176">
        <f t="shared" si="57"/>
        <v>0</v>
      </c>
      <c r="S142" s="113">
        <f t="shared" si="58"/>
        <v>0</v>
      </c>
      <c r="T142" s="113">
        <f t="shared" si="43"/>
        <v>0</v>
      </c>
      <c r="U142" s="114">
        <f t="shared" si="59"/>
        <v>20</v>
      </c>
      <c r="V142" s="114">
        <f t="shared" si="60"/>
        <v>0</v>
      </c>
      <c r="W142" s="114">
        <f t="shared" si="61"/>
        <v>420</v>
      </c>
      <c r="X142" s="114"/>
      <c r="Y142" s="149">
        <f t="shared" si="62"/>
        <v>133252982.44021471</v>
      </c>
      <c r="Z142" s="149">
        <f t="shared" si="63"/>
        <v>652798.6411087733</v>
      </c>
      <c r="AA142" s="176">
        <f t="shared" si="64"/>
        <v>1808805.3753935595</v>
      </c>
      <c r="AB142" s="113">
        <f t="shared" si="65"/>
        <v>2461604.0165023329</v>
      </c>
      <c r="AC142" s="113">
        <f t="shared" si="44"/>
        <v>1382931.5302604383</v>
      </c>
      <c r="AD142" s="114">
        <f t="shared" si="66"/>
        <v>20</v>
      </c>
      <c r="AE142" s="114">
        <f t="shared" si="67"/>
        <v>6.9030177550512993E-3</v>
      </c>
      <c r="AF142" s="114">
        <f t="shared" si="68"/>
        <v>420</v>
      </c>
      <c r="AG142" s="114"/>
      <c r="AH142" s="176">
        <f t="shared" si="69"/>
        <v>100000000</v>
      </c>
      <c r="AI142" s="176">
        <f t="shared" si="70"/>
        <v>483333.33333333337</v>
      </c>
      <c r="AJ142" s="176">
        <f t="shared" si="71"/>
        <v>0</v>
      </c>
      <c r="AK142" s="113">
        <f t="shared" si="72"/>
        <v>483333.33333333337</v>
      </c>
      <c r="AL142" s="113">
        <f t="shared" si="45"/>
        <v>271537.13668467756</v>
      </c>
      <c r="AM142" s="114">
        <f t="shared" si="73"/>
        <v>20</v>
      </c>
      <c r="AN142" s="114">
        <f t="shared" si="74"/>
        <v>2.7089098310543206E-3</v>
      </c>
      <c r="AO142" s="114">
        <f t="shared" si="75"/>
        <v>420</v>
      </c>
    </row>
    <row r="143" spans="1:41" hidden="1" outlineLevel="1" x14ac:dyDescent="0.3">
      <c r="A143" s="146">
        <f t="shared" si="46"/>
        <v>121</v>
      </c>
      <c r="B143" s="147">
        <f t="shared" si="39"/>
        <v>164</v>
      </c>
      <c r="C143" s="147">
        <f t="shared" si="38"/>
        <v>196</v>
      </c>
      <c r="D143" s="149">
        <f t="shared" si="47"/>
        <v>231450058.15236709</v>
      </c>
      <c r="E143" s="149">
        <f t="shared" si="48"/>
        <v>2079410.5666935414</v>
      </c>
      <c r="F143" s="149">
        <f t="shared" si="40"/>
        <v>1166264.9122010737</v>
      </c>
      <c r="G143" s="149">
        <f t="shared" si="41"/>
        <v>1127389.4151277046</v>
      </c>
      <c r="H143" s="149">
        <f t="shared" si="49"/>
        <v>38875.497073369101</v>
      </c>
      <c r="I143" s="149">
        <f t="shared" si="50"/>
        <v>913145.65449246764</v>
      </c>
      <c r="J143" s="147">
        <f t="shared" si="51"/>
        <v>4.4999999999999998E-2</v>
      </c>
      <c r="K143" s="175">
        <f t="shared" si="42"/>
        <v>3.8296430163020645E-3</v>
      </c>
      <c r="L143" s="149">
        <f t="shared" si="52"/>
        <v>889778.63335520285</v>
      </c>
      <c r="M143" s="149">
        <f t="shared" si="53"/>
        <v>2930313.7029753751</v>
      </c>
      <c r="N143" s="149">
        <f t="shared" si="54"/>
        <v>1802924.2878476705</v>
      </c>
      <c r="P143" s="149">
        <f t="shared" si="55"/>
        <v>0</v>
      </c>
      <c r="Q143" s="149">
        <f t="shared" si="56"/>
        <v>0</v>
      </c>
      <c r="R143" s="176">
        <f t="shared" si="57"/>
        <v>0</v>
      </c>
      <c r="S143" s="113">
        <f t="shared" si="58"/>
        <v>0</v>
      </c>
      <c r="T143" s="113">
        <f t="shared" si="43"/>
        <v>0</v>
      </c>
      <c r="U143" s="114">
        <f t="shared" si="59"/>
        <v>20.166666666666668</v>
      </c>
      <c r="V143" s="114">
        <f t="shared" si="60"/>
        <v>0</v>
      </c>
      <c r="W143" s="114">
        <f t="shared" si="61"/>
        <v>426.86111111111114</v>
      </c>
      <c r="X143" s="114"/>
      <c r="Y143" s="149">
        <f t="shared" si="62"/>
        <v>131450058.15236704</v>
      </c>
      <c r="Z143" s="149">
        <f t="shared" si="63"/>
        <v>644056.08179437113</v>
      </c>
      <c r="AA143" s="176">
        <f t="shared" si="64"/>
        <v>1802924.2878476705</v>
      </c>
      <c r="AB143" s="113">
        <f t="shared" si="65"/>
        <v>2446980.3696420416</v>
      </c>
      <c r="AC143" s="113">
        <f t="shared" si="44"/>
        <v>1368126.1984101606</v>
      </c>
      <c r="AD143" s="114">
        <f t="shared" si="66"/>
        <v>20.166666666666668</v>
      </c>
      <c r="AE143" s="114">
        <f t="shared" si="67"/>
        <v>6.829115709725421E-3</v>
      </c>
      <c r="AF143" s="114">
        <f t="shared" si="68"/>
        <v>426.86111111111114</v>
      </c>
      <c r="AG143" s="114"/>
      <c r="AH143" s="176">
        <f t="shared" si="69"/>
        <v>100000000</v>
      </c>
      <c r="AI143" s="176">
        <f t="shared" si="70"/>
        <v>483333.33333333337</v>
      </c>
      <c r="AJ143" s="176">
        <f t="shared" si="71"/>
        <v>0</v>
      </c>
      <c r="AK143" s="113">
        <f t="shared" si="72"/>
        <v>483333.33333333337</v>
      </c>
      <c r="AL143" s="113">
        <f t="shared" si="45"/>
        <v>270235.51316636731</v>
      </c>
      <c r="AM143" s="114">
        <f t="shared" si="73"/>
        <v>20.166666666666668</v>
      </c>
      <c r="AN143" s="114">
        <f t="shared" si="74"/>
        <v>2.6959245694870354E-3</v>
      </c>
      <c r="AO143" s="114">
        <f t="shared" si="75"/>
        <v>426.86111111111114</v>
      </c>
    </row>
    <row r="144" spans="1:41" hidden="1" outlineLevel="1" x14ac:dyDescent="0.3">
      <c r="A144" s="146">
        <f t="shared" si="46"/>
        <v>122</v>
      </c>
      <c r="B144" s="147">
        <f t="shared" si="39"/>
        <v>163</v>
      </c>
      <c r="C144" s="147">
        <f t="shared" si="38"/>
        <v>197</v>
      </c>
      <c r="D144" s="149">
        <f t="shared" si="47"/>
        <v>229652991.22544506</v>
      </c>
      <c r="E144" s="149">
        <f t="shared" si="48"/>
        <v>2071447.1665387787</v>
      </c>
      <c r="F144" s="149">
        <f t="shared" si="40"/>
        <v>1157250.2907618354</v>
      </c>
      <c r="G144" s="149">
        <f t="shared" si="41"/>
        <v>1118675.2810697744</v>
      </c>
      <c r="H144" s="149">
        <f t="shared" si="49"/>
        <v>38575.009692060994</v>
      </c>
      <c r="I144" s="149">
        <f t="shared" si="50"/>
        <v>914196.87577694329</v>
      </c>
      <c r="J144" s="147">
        <f t="shared" si="51"/>
        <v>4.4999999999999998E-2</v>
      </c>
      <c r="K144" s="175">
        <f t="shared" si="42"/>
        <v>3.8296430163020645E-3</v>
      </c>
      <c r="L144" s="149">
        <f t="shared" si="52"/>
        <v>882870.05114507501</v>
      </c>
      <c r="M144" s="149">
        <f t="shared" si="53"/>
        <v>2915742.2079917928</v>
      </c>
      <c r="N144" s="149">
        <f t="shared" si="54"/>
        <v>1797066.9269220182</v>
      </c>
      <c r="P144" s="149">
        <f t="shared" si="55"/>
        <v>0</v>
      </c>
      <c r="Q144" s="149">
        <f t="shared" si="56"/>
        <v>0</v>
      </c>
      <c r="R144" s="176">
        <f t="shared" si="57"/>
        <v>0</v>
      </c>
      <c r="S144" s="113">
        <f t="shared" si="58"/>
        <v>0</v>
      </c>
      <c r="T144" s="113">
        <f t="shared" si="43"/>
        <v>0</v>
      </c>
      <c r="U144" s="114">
        <f t="shared" si="59"/>
        <v>20.333333333333332</v>
      </c>
      <c r="V144" s="114">
        <f t="shared" si="60"/>
        <v>0</v>
      </c>
      <c r="W144" s="114">
        <f t="shared" si="61"/>
        <v>433.77777777777771</v>
      </c>
      <c r="X144" s="114"/>
      <c r="Y144" s="149">
        <f t="shared" si="62"/>
        <v>129652991.22544502</v>
      </c>
      <c r="Z144" s="149">
        <f t="shared" si="63"/>
        <v>635341.94773644069</v>
      </c>
      <c r="AA144" s="176">
        <f t="shared" si="64"/>
        <v>1797066.9269220182</v>
      </c>
      <c r="AB144" s="113">
        <f t="shared" si="65"/>
        <v>2432408.8746584589</v>
      </c>
      <c r="AC144" s="113">
        <f t="shared" si="44"/>
        <v>1353460.0481446597</v>
      </c>
      <c r="AD144" s="114">
        <f t="shared" si="66"/>
        <v>20.333333333333332</v>
      </c>
      <c r="AE144" s="114">
        <f t="shared" si="67"/>
        <v>6.7559084008560243E-3</v>
      </c>
      <c r="AF144" s="114">
        <f t="shared" si="68"/>
        <v>433.77777777777771</v>
      </c>
      <c r="AG144" s="114"/>
      <c r="AH144" s="176">
        <f t="shared" si="69"/>
        <v>100000000</v>
      </c>
      <c r="AI144" s="176">
        <f t="shared" si="70"/>
        <v>483333.33333333337</v>
      </c>
      <c r="AJ144" s="176">
        <f t="shared" si="71"/>
        <v>0</v>
      </c>
      <c r="AK144" s="113">
        <f t="shared" si="72"/>
        <v>483333.33333333337</v>
      </c>
      <c r="AL144" s="113">
        <f t="shared" si="45"/>
        <v>268940.12902954331</v>
      </c>
      <c r="AM144" s="114">
        <f t="shared" si="73"/>
        <v>20.333333333333332</v>
      </c>
      <c r="AN144" s="114">
        <f t="shared" si="74"/>
        <v>2.6830015532614162E-3</v>
      </c>
      <c r="AO144" s="114">
        <f t="shared" si="75"/>
        <v>433.77777777777771</v>
      </c>
    </row>
    <row r="145" spans="1:41" hidden="1" outlineLevel="1" x14ac:dyDescent="0.3">
      <c r="A145" s="146">
        <f t="shared" si="46"/>
        <v>123</v>
      </c>
      <c r="B145" s="147">
        <f t="shared" si="39"/>
        <v>162</v>
      </c>
      <c r="C145" s="147">
        <f t="shared" si="38"/>
        <v>198</v>
      </c>
      <c r="D145" s="149">
        <f t="shared" si="47"/>
        <v>227861758.02230671</v>
      </c>
      <c r="E145" s="149">
        <f t="shared" si="48"/>
        <v>2063514.2633638047</v>
      </c>
      <c r="F145" s="149">
        <f t="shared" si="40"/>
        <v>1148264.9561272254</v>
      </c>
      <c r="G145" s="149">
        <f t="shared" si="41"/>
        <v>1109989.4575896512</v>
      </c>
      <c r="H145" s="149">
        <f t="shared" si="49"/>
        <v>38275.498537574196</v>
      </c>
      <c r="I145" s="149">
        <f t="shared" si="50"/>
        <v>915249.30723657925</v>
      </c>
      <c r="J145" s="147">
        <f t="shared" si="51"/>
        <v>4.4999999999999998E-2</v>
      </c>
      <c r="K145" s="175">
        <f t="shared" si="42"/>
        <v>3.8296430163020645E-3</v>
      </c>
      <c r="L145" s="149">
        <f t="shared" si="52"/>
        <v>875983.89590177115</v>
      </c>
      <c r="M145" s="149">
        <f t="shared" si="53"/>
        <v>2901222.6607280015</v>
      </c>
      <c r="N145" s="149">
        <f t="shared" si="54"/>
        <v>1791233.2031383505</v>
      </c>
      <c r="P145" s="149">
        <f t="shared" si="55"/>
        <v>0</v>
      </c>
      <c r="Q145" s="149">
        <f t="shared" si="56"/>
        <v>0</v>
      </c>
      <c r="R145" s="176">
        <f t="shared" si="57"/>
        <v>0</v>
      </c>
      <c r="S145" s="113">
        <f t="shared" si="58"/>
        <v>0</v>
      </c>
      <c r="T145" s="113">
        <f t="shared" si="43"/>
        <v>0</v>
      </c>
      <c r="U145" s="114">
        <f t="shared" si="59"/>
        <v>20.5</v>
      </c>
      <c r="V145" s="114">
        <f t="shared" si="60"/>
        <v>0</v>
      </c>
      <c r="W145" s="114">
        <f t="shared" si="61"/>
        <v>440.75</v>
      </c>
      <c r="X145" s="114"/>
      <c r="Y145" s="149">
        <f t="shared" si="62"/>
        <v>127861758.02230667</v>
      </c>
      <c r="Z145" s="149">
        <f t="shared" si="63"/>
        <v>626656.12425631762</v>
      </c>
      <c r="AA145" s="176">
        <f t="shared" si="64"/>
        <v>1791233.2031383505</v>
      </c>
      <c r="AB145" s="113">
        <f t="shared" si="65"/>
        <v>2417889.327394668</v>
      </c>
      <c r="AC145" s="113">
        <f t="shared" si="44"/>
        <v>1338931.8331599857</v>
      </c>
      <c r="AD145" s="114">
        <f t="shared" si="66"/>
        <v>20.5</v>
      </c>
      <c r="AE145" s="114">
        <f t="shared" si="67"/>
        <v>6.683389607413286E-3</v>
      </c>
      <c r="AF145" s="114">
        <f t="shared" si="68"/>
        <v>440.75</v>
      </c>
      <c r="AG145" s="114"/>
      <c r="AH145" s="176">
        <f t="shared" si="69"/>
        <v>100000000</v>
      </c>
      <c r="AI145" s="176">
        <f t="shared" si="70"/>
        <v>483333.33333333337</v>
      </c>
      <c r="AJ145" s="176">
        <f t="shared" si="71"/>
        <v>0</v>
      </c>
      <c r="AK145" s="113">
        <f t="shared" si="72"/>
        <v>483333.33333333337</v>
      </c>
      <c r="AL145" s="113">
        <f t="shared" si="45"/>
        <v>267650.95436549449</v>
      </c>
      <c r="AM145" s="114">
        <f t="shared" si="73"/>
        <v>20.5</v>
      </c>
      <c r="AN145" s="114">
        <f t="shared" si="74"/>
        <v>2.6701404840020629E-3</v>
      </c>
      <c r="AO145" s="114">
        <f t="shared" si="75"/>
        <v>440.75</v>
      </c>
    </row>
    <row r="146" spans="1:41" hidden="1" outlineLevel="1" x14ac:dyDescent="0.3">
      <c r="A146" s="146">
        <f t="shared" si="46"/>
        <v>124</v>
      </c>
      <c r="B146" s="147">
        <f t="shared" si="39"/>
        <v>161</v>
      </c>
      <c r="C146" s="147">
        <f t="shared" si="38"/>
        <v>199</v>
      </c>
      <c r="D146" s="149">
        <f t="shared" si="47"/>
        <v>226076334.99494404</v>
      </c>
      <c r="E146" s="149">
        <f t="shared" si="48"/>
        <v>2055611.7403760739</v>
      </c>
      <c r="F146" s="149">
        <f t="shared" si="40"/>
        <v>1139308.7901115336</v>
      </c>
      <c r="G146" s="149">
        <f t="shared" si="41"/>
        <v>1101331.8304411492</v>
      </c>
      <c r="H146" s="149">
        <f t="shared" si="49"/>
        <v>37976.959670384414</v>
      </c>
      <c r="I146" s="149">
        <f t="shared" si="50"/>
        <v>916302.95026454027</v>
      </c>
      <c r="J146" s="147">
        <f t="shared" si="51"/>
        <v>4.4999999999999998E-2</v>
      </c>
      <c r="K146" s="175">
        <f t="shared" si="42"/>
        <v>3.8296430163020645E-3</v>
      </c>
      <c r="L146" s="149">
        <f t="shared" si="52"/>
        <v>869120.07709814026</v>
      </c>
      <c r="M146" s="149">
        <f t="shared" si="53"/>
        <v>2886754.8578038299</v>
      </c>
      <c r="N146" s="149">
        <f t="shared" si="54"/>
        <v>1785423.0273626805</v>
      </c>
      <c r="P146" s="149">
        <f t="shared" si="55"/>
        <v>0</v>
      </c>
      <c r="Q146" s="149">
        <f t="shared" si="56"/>
        <v>0</v>
      </c>
      <c r="R146" s="176">
        <f t="shared" si="57"/>
        <v>0</v>
      </c>
      <c r="S146" s="113">
        <f t="shared" si="58"/>
        <v>0</v>
      </c>
      <c r="T146" s="113">
        <f t="shared" si="43"/>
        <v>0</v>
      </c>
      <c r="U146" s="114">
        <f t="shared" si="59"/>
        <v>20.666666666666668</v>
      </c>
      <c r="V146" s="114">
        <f t="shared" si="60"/>
        <v>0</v>
      </c>
      <c r="W146" s="114">
        <f t="shared" si="61"/>
        <v>447.77777777777783</v>
      </c>
      <c r="X146" s="114"/>
      <c r="Y146" s="149">
        <f t="shared" si="62"/>
        <v>126076334.99494399</v>
      </c>
      <c r="Z146" s="149">
        <f t="shared" si="63"/>
        <v>617998.49710781558</v>
      </c>
      <c r="AA146" s="176">
        <f t="shared" si="64"/>
        <v>1785423.0273626805</v>
      </c>
      <c r="AB146" s="113">
        <f t="shared" si="65"/>
        <v>2403421.524470496</v>
      </c>
      <c r="AC146" s="113">
        <f t="shared" si="44"/>
        <v>1324540.3180812062</v>
      </c>
      <c r="AD146" s="114">
        <f t="shared" si="66"/>
        <v>20.666666666666668</v>
      </c>
      <c r="AE146" s="114">
        <f t="shared" si="67"/>
        <v>6.611553162920481E-3</v>
      </c>
      <c r="AF146" s="114">
        <f t="shared" si="68"/>
        <v>447.77777777777783</v>
      </c>
      <c r="AG146" s="114"/>
      <c r="AH146" s="176">
        <f t="shared" si="69"/>
        <v>100000000</v>
      </c>
      <c r="AI146" s="176">
        <f t="shared" si="70"/>
        <v>483333.33333333337</v>
      </c>
      <c r="AJ146" s="176">
        <f t="shared" si="71"/>
        <v>0</v>
      </c>
      <c r="AK146" s="113">
        <f t="shared" si="72"/>
        <v>483333.33333333337</v>
      </c>
      <c r="AL146" s="113">
        <f t="shared" si="45"/>
        <v>266367.95940887893</v>
      </c>
      <c r="AM146" s="114">
        <f t="shared" si="73"/>
        <v>20.666666666666668</v>
      </c>
      <c r="AN146" s="114">
        <f t="shared" si="74"/>
        <v>2.657341064763858E-3</v>
      </c>
      <c r="AO146" s="114">
        <f t="shared" si="75"/>
        <v>447.77777777777783</v>
      </c>
    </row>
    <row r="147" spans="1:41" hidden="1" outlineLevel="1" x14ac:dyDescent="0.3">
      <c r="A147" s="146">
        <f t="shared" si="46"/>
        <v>125</v>
      </c>
      <c r="B147" s="147">
        <f t="shared" si="39"/>
        <v>160</v>
      </c>
      <c r="C147" s="147">
        <f t="shared" si="38"/>
        <v>200</v>
      </c>
      <c r="D147" s="149">
        <f t="shared" si="47"/>
        <v>224296698.68414009</v>
      </c>
      <c r="E147" s="149">
        <f t="shared" si="48"/>
        <v>2047739.4812303141</v>
      </c>
      <c r="F147" s="149">
        <f t="shared" si="40"/>
        <v>1130381.6749747202</v>
      </c>
      <c r="G147" s="149">
        <f t="shared" si="41"/>
        <v>1092702.2858088962</v>
      </c>
      <c r="H147" s="149">
        <f t="shared" si="49"/>
        <v>37679.389165824046</v>
      </c>
      <c r="I147" s="149">
        <f t="shared" si="50"/>
        <v>917357.8062555939</v>
      </c>
      <c r="J147" s="147">
        <f t="shared" si="51"/>
        <v>4.4999999999999998E-2</v>
      </c>
      <c r="K147" s="175">
        <f t="shared" si="42"/>
        <v>3.8296430163020645E-3</v>
      </c>
      <c r="L147" s="149">
        <f t="shared" si="52"/>
        <v>862278.50454837654</v>
      </c>
      <c r="M147" s="149">
        <f t="shared" si="53"/>
        <v>2872338.5966128665</v>
      </c>
      <c r="N147" s="149">
        <f t="shared" si="54"/>
        <v>1779636.3108039703</v>
      </c>
      <c r="P147" s="149">
        <f t="shared" si="55"/>
        <v>0</v>
      </c>
      <c r="Q147" s="149">
        <f t="shared" si="56"/>
        <v>0</v>
      </c>
      <c r="R147" s="176">
        <f t="shared" si="57"/>
        <v>0</v>
      </c>
      <c r="S147" s="113">
        <f t="shared" si="58"/>
        <v>0</v>
      </c>
      <c r="T147" s="113">
        <f t="shared" si="43"/>
        <v>0</v>
      </c>
      <c r="U147" s="114">
        <f t="shared" si="59"/>
        <v>20.833333333333332</v>
      </c>
      <c r="V147" s="114">
        <f t="shared" si="60"/>
        <v>0</v>
      </c>
      <c r="W147" s="114">
        <f t="shared" si="61"/>
        <v>454.86111111111109</v>
      </c>
      <c r="X147" s="114"/>
      <c r="Y147" s="149">
        <f t="shared" si="62"/>
        <v>124296698.68414003</v>
      </c>
      <c r="Z147" s="149">
        <f t="shared" si="63"/>
        <v>609368.95247556269</v>
      </c>
      <c r="AA147" s="176">
        <f t="shared" si="64"/>
        <v>1779636.3108039703</v>
      </c>
      <c r="AB147" s="113">
        <f t="shared" si="65"/>
        <v>2389005.263279533</v>
      </c>
      <c r="AC147" s="113">
        <f t="shared" si="44"/>
        <v>1310284.2783674798</v>
      </c>
      <c r="AD147" s="114">
        <f t="shared" si="66"/>
        <v>20.833333333333332</v>
      </c>
      <c r="AE147" s="114">
        <f t="shared" si="67"/>
        <v>6.5403929549801522E-3</v>
      </c>
      <c r="AF147" s="114">
        <f t="shared" si="68"/>
        <v>454.86111111111109</v>
      </c>
      <c r="AG147" s="114"/>
      <c r="AH147" s="176">
        <f t="shared" si="69"/>
        <v>100000000</v>
      </c>
      <c r="AI147" s="176">
        <f t="shared" si="70"/>
        <v>483333.33333333337</v>
      </c>
      <c r="AJ147" s="176">
        <f t="shared" si="71"/>
        <v>0</v>
      </c>
      <c r="AK147" s="113">
        <f t="shared" si="72"/>
        <v>483333.33333333337</v>
      </c>
      <c r="AL147" s="113">
        <f t="shared" si="45"/>
        <v>265091.11453703552</v>
      </c>
      <c r="AM147" s="114">
        <f t="shared" si="73"/>
        <v>20.833333333333332</v>
      </c>
      <c r="AN147" s="114">
        <f t="shared" si="74"/>
        <v>2.6446030000250947E-3</v>
      </c>
      <c r="AO147" s="114">
        <f t="shared" si="75"/>
        <v>454.86111111111109</v>
      </c>
    </row>
    <row r="148" spans="1:41" hidden="1" outlineLevel="1" x14ac:dyDescent="0.3">
      <c r="A148" s="146">
        <f t="shared" si="46"/>
        <v>126</v>
      </c>
      <c r="B148" s="147">
        <f t="shared" si="39"/>
        <v>159</v>
      </c>
      <c r="C148" s="147">
        <f t="shared" si="38"/>
        <v>201</v>
      </c>
      <c r="D148" s="149">
        <f t="shared" si="47"/>
        <v>222522825.71912727</v>
      </c>
      <c r="E148" s="149">
        <f t="shared" si="48"/>
        <v>2039897.3700268145</v>
      </c>
      <c r="F148" s="149">
        <f t="shared" si="40"/>
        <v>1121483.4934207005</v>
      </c>
      <c r="G148" s="149">
        <f t="shared" si="41"/>
        <v>1084100.710306677</v>
      </c>
      <c r="H148" s="149">
        <f t="shared" si="49"/>
        <v>37382.783114023507</v>
      </c>
      <c r="I148" s="149">
        <f t="shared" si="50"/>
        <v>918413.87660611398</v>
      </c>
      <c r="J148" s="147">
        <f t="shared" si="51"/>
        <v>4.4999999999999998E-2</v>
      </c>
      <c r="K148" s="175">
        <f t="shared" si="42"/>
        <v>3.8296430163020645E-3</v>
      </c>
      <c r="L148" s="149">
        <f t="shared" si="52"/>
        <v>855459.08840670611</v>
      </c>
      <c r="M148" s="149">
        <f t="shared" si="53"/>
        <v>2857973.675319497</v>
      </c>
      <c r="N148" s="149">
        <f t="shared" si="54"/>
        <v>1773872.96501282</v>
      </c>
      <c r="P148" s="149">
        <f t="shared" si="55"/>
        <v>0</v>
      </c>
      <c r="Q148" s="149">
        <f t="shared" si="56"/>
        <v>0</v>
      </c>
      <c r="R148" s="176">
        <f t="shared" si="57"/>
        <v>0</v>
      </c>
      <c r="S148" s="113">
        <f t="shared" si="58"/>
        <v>0</v>
      </c>
      <c r="T148" s="113">
        <f t="shared" si="43"/>
        <v>0</v>
      </c>
      <c r="U148" s="114">
        <f t="shared" si="59"/>
        <v>21</v>
      </c>
      <c r="V148" s="114">
        <f t="shared" si="60"/>
        <v>0</v>
      </c>
      <c r="W148" s="114">
        <f t="shared" si="61"/>
        <v>462</v>
      </c>
      <c r="X148" s="114"/>
      <c r="Y148" s="149">
        <f t="shared" si="62"/>
        <v>122522825.71912721</v>
      </c>
      <c r="Z148" s="149">
        <f t="shared" si="63"/>
        <v>600767.37697334355</v>
      </c>
      <c r="AA148" s="176">
        <f t="shared" si="64"/>
        <v>1773872.96501282</v>
      </c>
      <c r="AB148" s="113">
        <f t="shared" si="65"/>
        <v>2374640.3419861635</v>
      </c>
      <c r="AC148" s="113">
        <f t="shared" si="44"/>
        <v>1296162.5002179621</v>
      </c>
      <c r="AD148" s="114">
        <f t="shared" si="66"/>
        <v>21</v>
      </c>
      <c r="AE148" s="114">
        <f t="shared" si="67"/>
        <v>6.4699029248044297E-3</v>
      </c>
      <c r="AF148" s="114">
        <f t="shared" si="68"/>
        <v>462</v>
      </c>
      <c r="AG148" s="114"/>
      <c r="AH148" s="176">
        <f t="shared" si="69"/>
        <v>100000000</v>
      </c>
      <c r="AI148" s="176">
        <f t="shared" si="70"/>
        <v>483333.33333333337</v>
      </c>
      <c r="AJ148" s="176">
        <f t="shared" si="71"/>
        <v>0</v>
      </c>
      <c r="AK148" s="113">
        <f t="shared" si="72"/>
        <v>483333.33333333337</v>
      </c>
      <c r="AL148" s="113">
        <f t="shared" si="45"/>
        <v>263820.39026930055</v>
      </c>
      <c r="AM148" s="114">
        <f t="shared" si="73"/>
        <v>21</v>
      </c>
      <c r="AN148" s="114">
        <f t="shared" si="74"/>
        <v>2.6319259956806614E-3</v>
      </c>
      <c r="AO148" s="114">
        <f t="shared" si="75"/>
        <v>462</v>
      </c>
    </row>
    <row r="149" spans="1:41" hidden="1" outlineLevel="1" x14ac:dyDescent="0.3">
      <c r="A149" s="146">
        <f t="shared" si="46"/>
        <v>127</v>
      </c>
      <c r="B149" s="147">
        <f t="shared" si="39"/>
        <v>158</v>
      </c>
      <c r="C149" s="147">
        <f t="shared" si="38"/>
        <v>202</v>
      </c>
      <c r="D149" s="149">
        <f t="shared" si="47"/>
        <v>220754692.81724709</v>
      </c>
      <c r="E149" s="149">
        <f t="shared" si="48"/>
        <v>2032085.2913097183</v>
      </c>
      <c r="F149" s="149">
        <f t="shared" si="40"/>
        <v>1112614.1285956365</v>
      </c>
      <c r="G149" s="149">
        <f t="shared" si="41"/>
        <v>1075526.9909757818</v>
      </c>
      <c r="H149" s="149">
        <f t="shared" si="49"/>
        <v>37087.13761985465</v>
      </c>
      <c r="I149" s="149">
        <f t="shared" si="50"/>
        <v>919471.16271408182</v>
      </c>
      <c r="J149" s="147">
        <f t="shared" si="51"/>
        <v>4.4999999999999998E-2</v>
      </c>
      <c r="K149" s="175">
        <f t="shared" si="42"/>
        <v>3.8296430163020645E-3</v>
      </c>
      <c r="L149" s="149">
        <f t="shared" si="52"/>
        <v>848661.73916607804</v>
      </c>
      <c r="M149" s="149">
        <f t="shared" si="53"/>
        <v>2843659.8928559418</v>
      </c>
      <c r="N149" s="149">
        <f t="shared" si="54"/>
        <v>1768132.90188016</v>
      </c>
      <c r="P149" s="149">
        <f t="shared" si="55"/>
        <v>0</v>
      </c>
      <c r="Q149" s="149">
        <f t="shared" si="56"/>
        <v>0</v>
      </c>
      <c r="R149" s="176">
        <f t="shared" si="57"/>
        <v>0</v>
      </c>
      <c r="S149" s="113">
        <f t="shared" si="58"/>
        <v>0</v>
      </c>
      <c r="T149" s="113">
        <f t="shared" si="43"/>
        <v>0</v>
      </c>
      <c r="U149" s="114">
        <f t="shared" si="59"/>
        <v>21.166666666666668</v>
      </c>
      <c r="V149" s="114">
        <f t="shared" si="60"/>
        <v>0</v>
      </c>
      <c r="W149" s="114">
        <f t="shared" si="61"/>
        <v>469.19444444444451</v>
      </c>
      <c r="X149" s="114"/>
      <c r="Y149" s="149">
        <f t="shared" si="62"/>
        <v>120754692.81724705</v>
      </c>
      <c r="Z149" s="149">
        <f t="shared" si="63"/>
        <v>592193.6576424482</v>
      </c>
      <c r="AA149" s="176">
        <f t="shared" si="64"/>
        <v>1768132.90188016</v>
      </c>
      <c r="AB149" s="113">
        <f t="shared" si="65"/>
        <v>2360326.5595226083</v>
      </c>
      <c r="AC149" s="113">
        <f t="shared" si="44"/>
        <v>1282173.7804785175</v>
      </c>
      <c r="AD149" s="114">
        <f t="shared" si="66"/>
        <v>21.166666666666668</v>
      </c>
      <c r="AE149" s="114">
        <f t="shared" si="67"/>
        <v>6.4000770667493774E-3</v>
      </c>
      <c r="AF149" s="114">
        <f t="shared" si="68"/>
        <v>469.19444444444451</v>
      </c>
      <c r="AG149" s="114"/>
      <c r="AH149" s="176">
        <f t="shared" si="69"/>
        <v>100000000</v>
      </c>
      <c r="AI149" s="176">
        <f t="shared" si="70"/>
        <v>483333.33333333337</v>
      </c>
      <c r="AJ149" s="176">
        <f t="shared" si="71"/>
        <v>0</v>
      </c>
      <c r="AK149" s="113">
        <f t="shared" si="72"/>
        <v>483333.33333333337</v>
      </c>
      <c r="AL149" s="113">
        <f t="shared" si="45"/>
        <v>262555.75726632739</v>
      </c>
      <c r="AM149" s="114">
        <f t="shared" si="73"/>
        <v>21.166666666666668</v>
      </c>
      <c r="AN149" s="114">
        <f t="shared" si="74"/>
        <v>2.6193097590352559E-3</v>
      </c>
      <c r="AO149" s="114">
        <f t="shared" si="75"/>
        <v>469.19444444444451</v>
      </c>
    </row>
    <row r="150" spans="1:41" hidden="1" outlineLevel="1" x14ac:dyDescent="0.3">
      <c r="A150" s="146">
        <f t="shared" si="46"/>
        <v>128</v>
      </c>
      <c r="B150" s="147">
        <f t="shared" si="39"/>
        <v>157</v>
      </c>
      <c r="C150" s="147">
        <f t="shared" ref="C150:C213" si="76">IF($A150&gt;$B$4,"",$B$11*$B$13-B150)</f>
        <v>203</v>
      </c>
      <c r="D150" s="149">
        <f t="shared" si="47"/>
        <v>218992276.78361115</v>
      </c>
      <c r="E150" s="149">
        <f t="shared" si="48"/>
        <v>2024303.1300653238</v>
      </c>
      <c r="F150" s="149">
        <f t="shared" si="40"/>
        <v>1103773.4640862355</v>
      </c>
      <c r="G150" s="149">
        <f t="shared" si="41"/>
        <v>1066981.0152833611</v>
      </c>
      <c r="H150" s="149">
        <f t="shared" si="49"/>
        <v>36792.448802874424</v>
      </c>
      <c r="I150" s="149">
        <f t="shared" si="50"/>
        <v>920529.66597908828</v>
      </c>
      <c r="J150" s="147">
        <f t="shared" si="51"/>
        <v>4.4999999999999998E-2</v>
      </c>
      <c r="K150" s="175">
        <f t="shared" si="42"/>
        <v>3.8296430163020645E-3</v>
      </c>
      <c r="L150" s="149">
        <f t="shared" si="52"/>
        <v>841886.36765686213</v>
      </c>
      <c r="M150" s="149">
        <f t="shared" si="53"/>
        <v>2829397.0489193117</v>
      </c>
      <c r="N150" s="149">
        <f t="shared" si="54"/>
        <v>1762416.0336359504</v>
      </c>
      <c r="P150" s="149">
        <f t="shared" si="55"/>
        <v>0</v>
      </c>
      <c r="Q150" s="149">
        <f t="shared" si="56"/>
        <v>0</v>
      </c>
      <c r="R150" s="176">
        <f t="shared" si="57"/>
        <v>0</v>
      </c>
      <c r="S150" s="113">
        <f t="shared" si="58"/>
        <v>0</v>
      </c>
      <c r="T150" s="113">
        <f t="shared" si="43"/>
        <v>0</v>
      </c>
      <c r="U150" s="114">
        <f t="shared" si="59"/>
        <v>21.333333333333332</v>
      </c>
      <c r="V150" s="114">
        <f t="shared" si="60"/>
        <v>0</v>
      </c>
      <c r="W150" s="114">
        <f t="shared" si="61"/>
        <v>476.4444444444444</v>
      </c>
      <c r="X150" s="114"/>
      <c r="Y150" s="149">
        <f t="shared" si="62"/>
        <v>118992276.7836111</v>
      </c>
      <c r="Z150" s="149">
        <f t="shared" si="63"/>
        <v>583647.68195002747</v>
      </c>
      <c r="AA150" s="176">
        <f t="shared" si="64"/>
        <v>1762416.0336359504</v>
      </c>
      <c r="AB150" s="113">
        <f t="shared" si="65"/>
        <v>2346063.7155859778</v>
      </c>
      <c r="AC150" s="113">
        <f t="shared" si="44"/>
        <v>1268316.9265492402</v>
      </c>
      <c r="AD150" s="114">
        <f t="shared" si="66"/>
        <v>21.333333333333332</v>
      </c>
      <c r="AE150" s="114">
        <f t="shared" si="67"/>
        <v>6.3309094278533725E-3</v>
      </c>
      <c r="AF150" s="114">
        <f t="shared" si="68"/>
        <v>476.4444444444444</v>
      </c>
      <c r="AG150" s="114"/>
      <c r="AH150" s="176">
        <f t="shared" si="69"/>
        <v>100000000</v>
      </c>
      <c r="AI150" s="176">
        <f t="shared" si="70"/>
        <v>483333.33333333337</v>
      </c>
      <c r="AJ150" s="176">
        <f t="shared" si="71"/>
        <v>0</v>
      </c>
      <c r="AK150" s="113">
        <f t="shared" si="72"/>
        <v>483333.33333333337</v>
      </c>
      <c r="AL150" s="113">
        <f t="shared" si="45"/>
        <v>261297.18632940817</v>
      </c>
      <c r="AM150" s="114">
        <f t="shared" si="73"/>
        <v>21.333333333333332</v>
      </c>
      <c r="AN150" s="114">
        <f t="shared" si="74"/>
        <v>2.6067539987966156E-3</v>
      </c>
      <c r="AO150" s="114">
        <f t="shared" si="75"/>
        <v>476.4444444444444</v>
      </c>
    </row>
    <row r="151" spans="1:41" hidden="1" outlineLevel="1" x14ac:dyDescent="0.3">
      <c r="A151" s="146">
        <f t="shared" si="46"/>
        <v>129</v>
      </c>
      <c r="B151" s="147">
        <f t="shared" ref="B151:B214" si="77">IF(A151&gt;$B$4,"",B$4-A151)</f>
        <v>156</v>
      </c>
      <c r="C151" s="147">
        <f t="shared" si="76"/>
        <v>204</v>
      </c>
      <c r="D151" s="149">
        <f t="shared" si="47"/>
        <v>217235554.51076326</v>
      </c>
      <c r="E151" s="149">
        <f t="shared" si="48"/>
        <v>2016550.7717203908</v>
      </c>
      <c r="F151" s="149">
        <f t="shared" ref="F151:F214" si="78">IF(A151&gt;$B$4,"",D150*$B$15)</f>
        <v>1094961.3839180558</v>
      </c>
      <c r="G151" s="149">
        <f t="shared" ref="G151:G214" si="79">IF(A151&gt;$B$4,"",D150*$B$16)</f>
        <v>1058462.6711207873</v>
      </c>
      <c r="H151" s="149">
        <f t="shared" si="49"/>
        <v>36498.712797268527</v>
      </c>
      <c r="I151" s="149">
        <f t="shared" si="50"/>
        <v>921589.38780233497</v>
      </c>
      <c r="J151" s="147">
        <f t="shared" si="51"/>
        <v>4.4999999999999998E-2</v>
      </c>
      <c r="K151" s="175">
        <f t="shared" ref="K151:K214" si="80">IF(A151&gt;$B$4,"",1-(1-J151)^(1/$B$11))</f>
        <v>3.8296430163020645E-3</v>
      </c>
      <c r="L151" s="149">
        <f t="shared" si="52"/>
        <v>835132.88504554983</v>
      </c>
      <c r="M151" s="149">
        <f t="shared" si="53"/>
        <v>2815184.9439686723</v>
      </c>
      <c r="N151" s="149">
        <f t="shared" si="54"/>
        <v>1756722.2728478848</v>
      </c>
      <c r="P151" s="149">
        <f t="shared" si="55"/>
        <v>0</v>
      </c>
      <c r="Q151" s="149">
        <f t="shared" si="56"/>
        <v>0</v>
      </c>
      <c r="R151" s="176">
        <f t="shared" si="57"/>
        <v>0</v>
      </c>
      <c r="S151" s="113">
        <f t="shared" si="58"/>
        <v>0</v>
      </c>
      <c r="T151" s="113">
        <f t="shared" ref="T151:T214" si="81">IF(A151&gt;$B$4,"",S151/(1+$B$14)^(A151/$B$11*$B$8))</f>
        <v>0</v>
      </c>
      <c r="U151" s="114">
        <f t="shared" si="59"/>
        <v>21.5</v>
      </c>
      <c r="V151" s="114">
        <f t="shared" si="60"/>
        <v>0</v>
      </c>
      <c r="W151" s="114">
        <f t="shared" si="61"/>
        <v>483.75</v>
      </c>
      <c r="X151" s="114"/>
      <c r="Y151" s="149">
        <f t="shared" si="62"/>
        <v>117235554.51076321</v>
      </c>
      <c r="Z151" s="149">
        <f t="shared" si="63"/>
        <v>575129.33778745367</v>
      </c>
      <c r="AA151" s="176">
        <f t="shared" si="64"/>
        <v>1756722.2728478848</v>
      </c>
      <c r="AB151" s="113">
        <f t="shared" si="65"/>
        <v>2331851.6106353384</v>
      </c>
      <c r="AC151" s="113">
        <f t="shared" ref="AC151:AC214" si="82">IF(A151&gt;$B$4,"",AB151/(1+$B$14)^(A151/$B$11*$B$8))</f>
        <v>1254590.7562927755</v>
      </c>
      <c r="AD151" s="114">
        <f t="shared" si="66"/>
        <v>21.5</v>
      </c>
      <c r="AE151" s="114">
        <f t="shared" si="67"/>
        <v>6.2623941073794882E-3</v>
      </c>
      <c r="AF151" s="114">
        <f t="shared" si="68"/>
        <v>483.75</v>
      </c>
      <c r="AG151" s="114"/>
      <c r="AH151" s="176">
        <f t="shared" si="69"/>
        <v>100000000</v>
      </c>
      <c r="AI151" s="176">
        <f t="shared" si="70"/>
        <v>483333.33333333337</v>
      </c>
      <c r="AJ151" s="176">
        <f t="shared" si="71"/>
        <v>0</v>
      </c>
      <c r="AK151" s="113">
        <f t="shared" si="72"/>
        <v>483333.33333333337</v>
      </c>
      <c r="AL151" s="113">
        <f t="shared" ref="AL151:AL214" si="83">IF(A151&gt;$B$4,"",AK151/(1+$B$14)^(A151/$B$11*$B$8))</f>
        <v>260044.64839980044</v>
      </c>
      <c r="AM151" s="114">
        <f t="shared" si="73"/>
        <v>21.5</v>
      </c>
      <c r="AN151" s="114">
        <f t="shared" si="74"/>
        <v>2.5942584250688017E-3</v>
      </c>
      <c r="AO151" s="114">
        <f t="shared" si="75"/>
        <v>483.75</v>
      </c>
    </row>
    <row r="152" spans="1:41" hidden="1" outlineLevel="1" x14ac:dyDescent="0.3">
      <c r="A152" s="146">
        <f t="shared" ref="A152:A215" si="84">A151+1</f>
        <v>130</v>
      </c>
      <c r="B152" s="147">
        <f t="shared" si="77"/>
        <v>155</v>
      </c>
      <c r="C152" s="147">
        <f t="shared" si="76"/>
        <v>205</v>
      </c>
      <c r="D152" s="149">
        <f t="shared" ref="D152:D215" si="85">IF(A152&gt;$B$4,"",D151-I152-L152)</f>
        <v>215484502.97834316</v>
      </c>
      <c r="E152" s="149">
        <f t="shared" ref="E152:E215" si="86">IF(A152&gt;$B$4,"",MIN(E151*(1-K151),D151*(1+$B$15)))</f>
        <v>2008828.1021404532</v>
      </c>
      <c r="F152" s="149">
        <f t="shared" si="78"/>
        <v>1086177.7725538162</v>
      </c>
      <c r="G152" s="149">
        <f t="shared" si="79"/>
        <v>1049971.8468020225</v>
      </c>
      <c r="H152" s="149">
        <f t="shared" ref="H152:H215" si="87">IF(A152&gt;$B$4,"",F152-G152)</f>
        <v>36205.925751793664</v>
      </c>
      <c r="I152" s="149">
        <f t="shared" ref="I152:I215" si="88">IF(A152&gt;$B$4,"",E152-F152)</f>
        <v>922650.32958663697</v>
      </c>
      <c r="J152" s="147">
        <f t="shared" ref="J152:J215" si="89">IF(A152&gt;$B$4,"",$B$9/100*MIN(C152/30,1)*0.06)</f>
        <v>4.4999999999999998E-2</v>
      </c>
      <c r="K152" s="175">
        <f t="shared" si="80"/>
        <v>3.8296430163020645E-3</v>
      </c>
      <c r="L152" s="149">
        <f t="shared" ref="L152:L215" si="90">IF(A152&gt;$B$4,"",(D151-I152)*K152)</f>
        <v>828401.20283346076</v>
      </c>
      <c r="M152" s="149">
        <f t="shared" ref="M152:M215" si="91">IF(A152&gt;$B$4,"",G152+I152+L152)</f>
        <v>2801023.3792221202</v>
      </c>
      <c r="N152" s="149">
        <f t="shared" ref="N152:N215" si="92">IF($A152&gt;$B$4,"",I152+L152)</f>
        <v>1751051.5324200979</v>
      </c>
      <c r="P152" s="149">
        <f t="shared" ref="P152:P215" si="93">IF($A152&gt;$B$4,"",MAX(0,P151-R152))</f>
        <v>0</v>
      </c>
      <c r="Q152" s="149">
        <f t="shared" ref="Q152:Q215" si="94">IF($A152&gt;$B$4,"",IF(P151&gt;0,$H$6*P151,0))</f>
        <v>0</v>
      </c>
      <c r="R152" s="176">
        <f t="shared" ref="R152:R215" si="95">IF($A152&gt;$B$4,"",MIN(P151,$N152))</f>
        <v>0</v>
      </c>
      <c r="S152" s="113">
        <f t="shared" ref="S152:S215" si="96">IF($A152&gt;$B$4,"",Q152+R152)</f>
        <v>0</v>
      </c>
      <c r="T152" s="113">
        <f t="shared" si="81"/>
        <v>0</v>
      </c>
      <c r="U152" s="114">
        <f t="shared" ref="U152:U215" si="97">IF($A152&gt;$B$4,"",A152/6)</f>
        <v>21.666666666666668</v>
      </c>
      <c r="V152" s="114">
        <f t="shared" ref="V152:V215" si="98">IF($A152&gt;$B$4,"",T152/$T$21)</f>
        <v>0</v>
      </c>
      <c r="W152" s="114">
        <f t="shared" ref="W152:W215" si="99">IF($A152&gt;$B$4,"",U152*(U152+1))</f>
        <v>491.11111111111114</v>
      </c>
      <c r="X152" s="114"/>
      <c r="Y152" s="149">
        <f t="shared" ref="Y152:Y215" si="100">IF($A152&gt;$B$4,"",MAX(0,Y151-AA152))</f>
        <v>115484502.97834311</v>
      </c>
      <c r="Z152" s="149">
        <f t="shared" ref="Z152:Z215" si="101">IF($A152&gt;$B$4,"",IF(Y151&gt;0,$H$7*Y151,0))</f>
        <v>566638.51346868894</v>
      </c>
      <c r="AA152" s="176">
        <f t="shared" ref="AA152:AA215" si="102">IF($A152&gt;$B$4,"",IF(P152&gt;0,0,MIN(Y151,$N152-R152)))</f>
        <v>1751051.5324200979</v>
      </c>
      <c r="AB152" s="113">
        <f t="shared" ref="AB152:AB215" si="103">IF($A152&gt;$B$4,"",Z152+AA152)</f>
        <v>2317690.0458887867</v>
      </c>
      <c r="AC152" s="113">
        <f t="shared" si="82"/>
        <v>1240994.0979434315</v>
      </c>
      <c r="AD152" s="114">
        <f t="shared" ref="AD152:AD215" si="104">IF($A152&gt;$B$4,"",A152/6)</f>
        <v>21.666666666666668</v>
      </c>
      <c r="AE152" s="114">
        <f t="shared" ref="AE152:AE215" si="105">IF($A152&gt;$B$4,"",AC152/$AC$21)</f>
        <v>6.1945252563618148E-3</v>
      </c>
      <c r="AF152" s="114">
        <f t="shared" ref="AF152:AF215" si="106">IF($A152&gt;$B$4,"",AD152*(AD152+1))</f>
        <v>491.11111111111114</v>
      </c>
      <c r="AG152" s="114"/>
      <c r="AH152" s="176">
        <f t="shared" ref="AH152:AH215" si="107">IF($A152&gt;$B$4,"",MAX(0,AH151-AJ152))</f>
        <v>100000000</v>
      </c>
      <c r="AI152" s="176">
        <f t="shared" ref="AI152:AI215" si="108">IF($A152&gt;$B$4,"",IF(AH151&gt;0,$H$8*AH151,0))</f>
        <v>483333.33333333337</v>
      </c>
      <c r="AJ152" s="176">
        <f t="shared" ref="AJ152:AJ215" si="109">IF($A152&gt;$B$4,"",IF(Y152&gt;0,0,MIN(AH151,$N152-AA152)))</f>
        <v>0</v>
      </c>
      <c r="AK152" s="113">
        <f t="shared" ref="AK152:AK215" si="110">IF($A152&gt;$B$4,"",AI152+AJ152)</f>
        <v>483333.33333333337</v>
      </c>
      <c r="AL152" s="113">
        <f t="shared" si="83"/>
        <v>258798.11455805582</v>
      </c>
      <c r="AM152" s="114">
        <f t="shared" ref="AM152:AM215" si="111">IF($A152&gt;$B$4,"",A152/6)</f>
        <v>21.666666666666668</v>
      </c>
      <c r="AN152" s="114">
        <f t="shared" ref="AN152:AN215" si="112">IF($A152&gt;$B$4,"",AL152/$AL$21)</f>
        <v>2.5818227493455024E-3</v>
      </c>
      <c r="AO152" s="114">
        <f t="shared" ref="AO152:AO215" si="113">IF($A152&gt;$B$4,"",AM152*(AM152+1))</f>
        <v>491.11111111111114</v>
      </c>
    </row>
    <row r="153" spans="1:41" hidden="1" outlineLevel="1" x14ac:dyDescent="0.3">
      <c r="A153" s="146">
        <f t="shared" si="84"/>
        <v>131</v>
      </c>
      <c r="B153" s="147">
        <f t="shared" si="77"/>
        <v>154</v>
      </c>
      <c r="C153" s="147">
        <f t="shared" si="76"/>
        <v>206</v>
      </c>
      <c r="D153" s="149">
        <f t="shared" si="85"/>
        <v>213739099.25275126</v>
      </c>
      <c r="E153" s="149">
        <f t="shared" si="86"/>
        <v>2001135.0076281396</v>
      </c>
      <c r="F153" s="149">
        <f t="shared" si="78"/>
        <v>1077422.5148917157</v>
      </c>
      <c r="G153" s="149">
        <f t="shared" si="79"/>
        <v>1041508.431061992</v>
      </c>
      <c r="H153" s="149">
        <f t="shared" si="87"/>
        <v>35914.083829723764</v>
      </c>
      <c r="I153" s="149">
        <f t="shared" si="88"/>
        <v>923712.49273642385</v>
      </c>
      <c r="J153" s="147">
        <f t="shared" si="89"/>
        <v>4.4999999999999998E-2</v>
      </c>
      <c r="K153" s="175">
        <f t="shared" si="80"/>
        <v>3.8296430163020645E-3</v>
      </c>
      <c r="L153" s="149">
        <f t="shared" si="90"/>
        <v>821691.2328554542</v>
      </c>
      <c r="M153" s="149">
        <f t="shared" si="91"/>
        <v>2786912.1566538699</v>
      </c>
      <c r="N153" s="149">
        <f t="shared" si="92"/>
        <v>1745403.7255918779</v>
      </c>
      <c r="P153" s="149">
        <f t="shared" si="93"/>
        <v>0</v>
      </c>
      <c r="Q153" s="149">
        <f t="shared" si="94"/>
        <v>0</v>
      </c>
      <c r="R153" s="176">
        <f t="shared" si="95"/>
        <v>0</v>
      </c>
      <c r="S153" s="113">
        <f t="shared" si="96"/>
        <v>0</v>
      </c>
      <c r="T153" s="113">
        <f t="shared" si="81"/>
        <v>0</v>
      </c>
      <c r="U153" s="114">
        <f t="shared" si="97"/>
        <v>21.833333333333332</v>
      </c>
      <c r="V153" s="114">
        <f t="shared" si="98"/>
        <v>0</v>
      </c>
      <c r="W153" s="114">
        <f t="shared" si="99"/>
        <v>498.52777777777771</v>
      </c>
      <c r="X153" s="114"/>
      <c r="Y153" s="149">
        <f t="shared" si="100"/>
        <v>113739099.25275123</v>
      </c>
      <c r="Z153" s="149">
        <f t="shared" si="101"/>
        <v>558175.09772865847</v>
      </c>
      <c r="AA153" s="176">
        <f t="shared" si="102"/>
        <v>1745403.7255918779</v>
      </c>
      <c r="AB153" s="113">
        <f t="shared" si="103"/>
        <v>2303578.8233205364</v>
      </c>
      <c r="AC153" s="113">
        <f t="shared" si="82"/>
        <v>1227525.790017077</v>
      </c>
      <c r="AD153" s="114">
        <f t="shared" si="104"/>
        <v>21.833333333333332</v>
      </c>
      <c r="AE153" s="114">
        <f t="shared" si="105"/>
        <v>6.1272970771557092E-3</v>
      </c>
      <c r="AF153" s="114">
        <f t="shared" si="106"/>
        <v>498.52777777777771</v>
      </c>
      <c r="AG153" s="114"/>
      <c r="AH153" s="176">
        <f t="shared" si="107"/>
        <v>100000000</v>
      </c>
      <c r="AI153" s="176">
        <f t="shared" si="108"/>
        <v>483333.33333333337</v>
      </c>
      <c r="AJ153" s="176">
        <f t="shared" si="109"/>
        <v>0</v>
      </c>
      <c r="AK153" s="113">
        <f t="shared" si="110"/>
        <v>483333.33333333337</v>
      </c>
      <c r="AL153" s="113">
        <f t="shared" si="83"/>
        <v>257557.55602335243</v>
      </c>
      <c r="AM153" s="114">
        <f t="shared" si="111"/>
        <v>21.833333333333332</v>
      </c>
      <c r="AN153" s="114">
        <f t="shared" si="112"/>
        <v>2.5694466845033706E-3</v>
      </c>
      <c r="AO153" s="114">
        <f t="shared" si="113"/>
        <v>498.52777777777771</v>
      </c>
    </row>
    <row r="154" spans="1:41" hidden="1" outlineLevel="1" x14ac:dyDescent="0.3">
      <c r="A154" s="146">
        <f t="shared" si="84"/>
        <v>132</v>
      </c>
      <c r="B154" s="147">
        <f t="shared" si="77"/>
        <v>153</v>
      </c>
      <c r="C154" s="147">
        <f t="shared" si="76"/>
        <v>207</v>
      </c>
      <c r="D154" s="149">
        <f t="shared" si="85"/>
        <v>211999320.48681489</v>
      </c>
      <c r="E154" s="149">
        <f t="shared" si="86"/>
        <v>1993471.3749214988</v>
      </c>
      <c r="F154" s="149">
        <f t="shared" si="78"/>
        <v>1068695.4962637564</v>
      </c>
      <c r="G154" s="149">
        <f t="shared" si="79"/>
        <v>1033072.3130549645</v>
      </c>
      <c r="H154" s="149">
        <f t="shared" si="87"/>
        <v>35623.183208791888</v>
      </c>
      <c r="I154" s="149">
        <f t="shared" si="88"/>
        <v>924775.8786577424</v>
      </c>
      <c r="J154" s="147">
        <f t="shared" si="89"/>
        <v>4.4999999999999998E-2</v>
      </c>
      <c r="K154" s="175">
        <f t="shared" si="80"/>
        <v>3.8296430163020645E-3</v>
      </c>
      <c r="L154" s="149">
        <f t="shared" si="90"/>
        <v>815002.88727864646</v>
      </c>
      <c r="M154" s="149">
        <f t="shared" si="91"/>
        <v>2772851.0789913535</v>
      </c>
      <c r="N154" s="149">
        <f t="shared" si="92"/>
        <v>1739778.7659363889</v>
      </c>
      <c r="P154" s="149">
        <f t="shared" si="93"/>
        <v>0</v>
      </c>
      <c r="Q154" s="149">
        <f t="shared" si="94"/>
        <v>0</v>
      </c>
      <c r="R154" s="176">
        <f t="shared" si="95"/>
        <v>0</v>
      </c>
      <c r="S154" s="113">
        <f t="shared" si="96"/>
        <v>0</v>
      </c>
      <c r="T154" s="113">
        <f t="shared" si="81"/>
        <v>0</v>
      </c>
      <c r="U154" s="114">
        <f t="shared" si="97"/>
        <v>22</v>
      </c>
      <c r="V154" s="114">
        <f t="shared" si="98"/>
        <v>0</v>
      </c>
      <c r="W154" s="114">
        <f t="shared" si="99"/>
        <v>506</v>
      </c>
      <c r="X154" s="114"/>
      <c r="Y154" s="149">
        <f t="shared" si="100"/>
        <v>111999320.48681484</v>
      </c>
      <c r="Z154" s="149">
        <f t="shared" si="101"/>
        <v>549738.97972163092</v>
      </c>
      <c r="AA154" s="176">
        <f t="shared" si="102"/>
        <v>1739778.7659363889</v>
      </c>
      <c r="AB154" s="113">
        <f t="shared" si="103"/>
        <v>2289517.7456580196</v>
      </c>
      <c r="AC154" s="113">
        <f t="shared" si="82"/>
        <v>1214184.6812218232</v>
      </c>
      <c r="AD154" s="114">
        <f t="shared" si="104"/>
        <v>22</v>
      </c>
      <c r="AE154" s="114">
        <f t="shared" si="105"/>
        <v>6.0607038229919512E-3</v>
      </c>
      <c r="AF154" s="114">
        <f t="shared" si="106"/>
        <v>506</v>
      </c>
      <c r="AG154" s="114"/>
      <c r="AH154" s="176">
        <f t="shared" si="107"/>
        <v>100000000</v>
      </c>
      <c r="AI154" s="176">
        <f t="shared" si="108"/>
        <v>483333.33333333337</v>
      </c>
      <c r="AJ154" s="176">
        <f t="shared" si="109"/>
        <v>0</v>
      </c>
      <c r="AK154" s="113">
        <f t="shared" si="110"/>
        <v>483333.33333333337</v>
      </c>
      <c r="AL154" s="113">
        <f t="shared" si="83"/>
        <v>256322.94415283037</v>
      </c>
      <c r="AM154" s="114">
        <f t="shared" si="111"/>
        <v>22</v>
      </c>
      <c r="AN154" s="114">
        <f t="shared" si="112"/>
        <v>2.5571299447953973E-3</v>
      </c>
      <c r="AO154" s="114">
        <f t="shared" si="113"/>
        <v>506</v>
      </c>
    </row>
    <row r="155" spans="1:41" hidden="1" outlineLevel="1" x14ac:dyDescent="0.3">
      <c r="A155" s="146">
        <f t="shared" si="84"/>
        <v>133</v>
      </c>
      <c r="B155" s="147">
        <f t="shared" si="77"/>
        <v>152</v>
      </c>
      <c r="C155" s="147">
        <f t="shared" si="76"/>
        <v>208</v>
      </c>
      <c r="D155" s="149">
        <f t="shared" si="85"/>
        <v>210265143.9194555</v>
      </c>
      <c r="E155" s="149">
        <f t="shared" si="86"/>
        <v>1985837.0911923326</v>
      </c>
      <c r="F155" s="149">
        <f t="shared" si="78"/>
        <v>1059996.6024340745</v>
      </c>
      <c r="G155" s="149">
        <f t="shared" si="79"/>
        <v>1024663.3823529386</v>
      </c>
      <c r="H155" s="149">
        <f t="shared" si="87"/>
        <v>35333.220081135863</v>
      </c>
      <c r="I155" s="149">
        <f t="shared" si="88"/>
        <v>925840.48875825806</v>
      </c>
      <c r="J155" s="147">
        <f t="shared" si="89"/>
        <v>4.4999999999999998E-2</v>
      </c>
      <c r="K155" s="175">
        <f t="shared" si="80"/>
        <v>3.8296430163020645E-3</v>
      </c>
      <c r="L155" s="149">
        <f t="shared" si="90"/>
        <v>808336.07860113098</v>
      </c>
      <c r="M155" s="149">
        <f t="shared" si="91"/>
        <v>2758839.9497123277</v>
      </c>
      <c r="N155" s="149">
        <f t="shared" si="92"/>
        <v>1734176.567359389</v>
      </c>
      <c r="P155" s="149">
        <f t="shared" si="93"/>
        <v>0</v>
      </c>
      <c r="Q155" s="149">
        <f t="shared" si="94"/>
        <v>0</v>
      </c>
      <c r="R155" s="176">
        <f t="shared" si="95"/>
        <v>0</v>
      </c>
      <c r="S155" s="113">
        <f t="shared" si="96"/>
        <v>0</v>
      </c>
      <c r="T155" s="113">
        <f t="shared" si="81"/>
        <v>0</v>
      </c>
      <c r="U155" s="114">
        <f t="shared" si="97"/>
        <v>22.166666666666668</v>
      </c>
      <c r="V155" s="114">
        <f t="shared" si="98"/>
        <v>0</v>
      </c>
      <c r="W155" s="114">
        <f t="shared" si="99"/>
        <v>513.52777777777783</v>
      </c>
      <c r="X155" s="114"/>
      <c r="Y155" s="149">
        <f t="shared" si="100"/>
        <v>110265143.91945545</v>
      </c>
      <c r="Z155" s="149">
        <f t="shared" si="101"/>
        <v>541330.04901960504</v>
      </c>
      <c r="AA155" s="176">
        <f t="shared" si="102"/>
        <v>1734176.567359389</v>
      </c>
      <c r="AB155" s="113">
        <f t="shared" si="103"/>
        <v>2275506.6163789942</v>
      </c>
      <c r="AC155" s="113">
        <f t="shared" si="82"/>
        <v>1200969.6303694695</v>
      </c>
      <c r="AD155" s="114">
        <f t="shared" si="104"/>
        <v>22.166666666666668</v>
      </c>
      <c r="AE155" s="114">
        <f t="shared" si="105"/>
        <v>5.994739797534723E-3</v>
      </c>
      <c r="AF155" s="114">
        <f t="shared" si="106"/>
        <v>513.52777777777783</v>
      </c>
      <c r="AG155" s="114"/>
      <c r="AH155" s="176">
        <f t="shared" si="107"/>
        <v>100000000</v>
      </c>
      <c r="AI155" s="176">
        <f t="shared" si="108"/>
        <v>483333.33333333337</v>
      </c>
      <c r="AJ155" s="176">
        <f t="shared" si="109"/>
        <v>0</v>
      </c>
      <c r="AK155" s="113">
        <f t="shared" si="110"/>
        <v>483333.33333333337</v>
      </c>
      <c r="AL155" s="113">
        <f t="shared" si="83"/>
        <v>255094.25044093025</v>
      </c>
      <c r="AM155" s="114">
        <f t="shared" si="111"/>
        <v>22.166666666666668</v>
      </c>
      <c r="AN155" s="114">
        <f t="shared" si="112"/>
        <v>2.5448722458443103E-3</v>
      </c>
      <c r="AO155" s="114">
        <f t="shared" si="113"/>
        <v>513.52777777777783</v>
      </c>
    </row>
    <row r="156" spans="1:41" hidden="1" outlineLevel="1" x14ac:dyDescent="0.3">
      <c r="A156" s="146">
        <f t="shared" si="84"/>
        <v>134</v>
      </c>
      <c r="B156" s="147">
        <f t="shared" si="77"/>
        <v>151</v>
      </c>
      <c r="C156" s="147">
        <f t="shared" si="76"/>
        <v>209</v>
      </c>
      <c r="D156" s="149">
        <f t="shared" si="85"/>
        <v>208536546.87535754</v>
      </c>
      <c r="E156" s="149">
        <f t="shared" si="86"/>
        <v>1978232.0440445342</v>
      </c>
      <c r="F156" s="149">
        <f t="shared" si="78"/>
        <v>1051325.7195972775</v>
      </c>
      <c r="G156" s="149">
        <f t="shared" si="79"/>
        <v>1016281.5289440349</v>
      </c>
      <c r="H156" s="149">
        <f t="shared" si="87"/>
        <v>35044.19065324252</v>
      </c>
      <c r="I156" s="149">
        <f t="shared" si="88"/>
        <v>926906.32444725675</v>
      </c>
      <c r="J156" s="147">
        <f t="shared" si="89"/>
        <v>4.4999999999999998E-2</v>
      </c>
      <c r="K156" s="175">
        <f t="shared" si="80"/>
        <v>3.8296430163020645E-3</v>
      </c>
      <c r="L156" s="149">
        <f t="shared" si="90"/>
        <v>801690.71965070569</v>
      </c>
      <c r="M156" s="149">
        <f t="shared" si="91"/>
        <v>2744878.5730419974</v>
      </c>
      <c r="N156" s="149">
        <f t="shared" si="92"/>
        <v>1728597.0440979623</v>
      </c>
      <c r="P156" s="149">
        <f t="shared" si="93"/>
        <v>0</v>
      </c>
      <c r="Q156" s="149">
        <f t="shared" si="94"/>
        <v>0</v>
      </c>
      <c r="R156" s="176">
        <f t="shared" si="95"/>
        <v>0</v>
      </c>
      <c r="S156" s="113">
        <f t="shared" si="96"/>
        <v>0</v>
      </c>
      <c r="T156" s="113">
        <f t="shared" si="81"/>
        <v>0</v>
      </c>
      <c r="U156" s="114">
        <f t="shared" si="97"/>
        <v>22.333333333333332</v>
      </c>
      <c r="V156" s="114">
        <f t="shared" si="98"/>
        <v>0</v>
      </c>
      <c r="W156" s="114">
        <f t="shared" si="99"/>
        <v>521.11111111111109</v>
      </c>
      <c r="X156" s="114"/>
      <c r="Y156" s="149">
        <f t="shared" si="100"/>
        <v>108536546.87535749</v>
      </c>
      <c r="Z156" s="149">
        <f t="shared" si="101"/>
        <v>532948.19561070134</v>
      </c>
      <c r="AA156" s="176">
        <f t="shared" si="102"/>
        <v>1728597.0440979623</v>
      </c>
      <c r="AB156" s="113">
        <f t="shared" si="103"/>
        <v>2261545.2397086639</v>
      </c>
      <c r="AC156" s="113">
        <f t="shared" si="82"/>
        <v>1187879.5062877205</v>
      </c>
      <c r="AD156" s="114">
        <f t="shared" si="104"/>
        <v>22.333333333333332</v>
      </c>
      <c r="AE156" s="114">
        <f t="shared" si="105"/>
        <v>5.9293993544434287E-3</v>
      </c>
      <c r="AF156" s="114">
        <f t="shared" si="106"/>
        <v>521.11111111111109</v>
      </c>
      <c r="AG156" s="114"/>
      <c r="AH156" s="176">
        <f t="shared" si="107"/>
        <v>100000000</v>
      </c>
      <c r="AI156" s="176">
        <f t="shared" si="108"/>
        <v>483333.33333333337</v>
      </c>
      <c r="AJ156" s="176">
        <f t="shared" si="109"/>
        <v>0</v>
      </c>
      <c r="AK156" s="113">
        <f t="shared" si="110"/>
        <v>483333.33333333337</v>
      </c>
      <c r="AL156" s="113">
        <f t="shared" si="83"/>
        <v>253871.4465187352</v>
      </c>
      <c r="AM156" s="114">
        <f t="shared" si="111"/>
        <v>22.333333333333332</v>
      </c>
      <c r="AN156" s="114">
        <f t="shared" si="112"/>
        <v>2.5326733046360126E-3</v>
      </c>
      <c r="AO156" s="114">
        <f t="shared" si="113"/>
        <v>521.11111111111109</v>
      </c>
    </row>
    <row r="157" spans="1:41" hidden="1" outlineLevel="1" x14ac:dyDescent="0.3">
      <c r="A157" s="146">
        <f t="shared" si="84"/>
        <v>135</v>
      </c>
      <c r="B157" s="147">
        <f t="shared" si="77"/>
        <v>150</v>
      </c>
      <c r="C157" s="147">
        <f t="shared" si="76"/>
        <v>210</v>
      </c>
      <c r="D157" s="149">
        <f t="shared" si="85"/>
        <v>206813506.76463827</v>
      </c>
      <c r="E157" s="149">
        <f t="shared" si="86"/>
        <v>1970656.1215124342</v>
      </c>
      <c r="F157" s="149">
        <f t="shared" si="78"/>
        <v>1042682.7343767877</v>
      </c>
      <c r="G157" s="149">
        <f t="shared" si="79"/>
        <v>1007926.6432308948</v>
      </c>
      <c r="H157" s="149">
        <f t="shared" si="87"/>
        <v>34756.09114589286</v>
      </c>
      <c r="I157" s="149">
        <f t="shared" si="88"/>
        <v>927973.38713564654</v>
      </c>
      <c r="J157" s="147">
        <f t="shared" si="89"/>
        <v>4.4999999999999998E-2</v>
      </c>
      <c r="K157" s="175">
        <f t="shared" si="80"/>
        <v>3.8296430163020645E-3</v>
      </c>
      <c r="L157" s="149">
        <f t="shared" si="90"/>
        <v>795066.72358360293</v>
      </c>
      <c r="M157" s="149">
        <f t="shared" si="91"/>
        <v>2730966.7539501442</v>
      </c>
      <c r="N157" s="149">
        <f t="shared" si="92"/>
        <v>1723040.1107192496</v>
      </c>
      <c r="P157" s="149">
        <f t="shared" si="93"/>
        <v>0</v>
      </c>
      <c r="Q157" s="149">
        <f t="shared" si="94"/>
        <v>0</v>
      </c>
      <c r="R157" s="176">
        <f t="shared" si="95"/>
        <v>0</v>
      </c>
      <c r="S157" s="113">
        <f t="shared" si="96"/>
        <v>0</v>
      </c>
      <c r="T157" s="113">
        <f t="shared" si="81"/>
        <v>0</v>
      </c>
      <c r="U157" s="114">
        <f t="shared" si="97"/>
        <v>22.5</v>
      </c>
      <c r="V157" s="114">
        <f t="shared" si="98"/>
        <v>0</v>
      </c>
      <c r="W157" s="114">
        <f t="shared" si="99"/>
        <v>528.75</v>
      </c>
      <c r="X157" s="114"/>
      <c r="Y157" s="149">
        <f t="shared" si="100"/>
        <v>106813506.76463825</v>
      </c>
      <c r="Z157" s="149">
        <f t="shared" si="101"/>
        <v>524593.30989756121</v>
      </c>
      <c r="AA157" s="176">
        <f t="shared" si="102"/>
        <v>1723040.1107192496</v>
      </c>
      <c r="AB157" s="113">
        <f t="shared" si="103"/>
        <v>2247633.4206168107</v>
      </c>
      <c r="AC157" s="113">
        <f t="shared" si="82"/>
        <v>1174913.1877331624</v>
      </c>
      <c r="AD157" s="114">
        <f t="shared" si="104"/>
        <v>22.5</v>
      </c>
      <c r="AE157" s="114">
        <f t="shared" si="105"/>
        <v>5.8646768969383136E-3</v>
      </c>
      <c r="AF157" s="114">
        <f t="shared" si="106"/>
        <v>528.75</v>
      </c>
      <c r="AG157" s="114"/>
      <c r="AH157" s="176">
        <f t="shared" si="107"/>
        <v>100000000</v>
      </c>
      <c r="AI157" s="176">
        <f t="shared" si="108"/>
        <v>483333.33333333337</v>
      </c>
      <c r="AJ157" s="176">
        <f t="shared" si="109"/>
        <v>0</v>
      </c>
      <c r="AK157" s="113">
        <f t="shared" si="110"/>
        <v>483333.33333333337</v>
      </c>
      <c r="AL157" s="113">
        <f t="shared" si="83"/>
        <v>252654.50415331603</v>
      </c>
      <c r="AM157" s="114">
        <f t="shared" si="111"/>
        <v>22.5</v>
      </c>
      <c r="AN157" s="114">
        <f t="shared" si="112"/>
        <v>2.5205328395130461E-3</v>
      </c>
      <c r="AO157" s="114">
        <f t="shared" si="113"/>
        <v>528.75</v>
      </c>
    </row>
    <row r="158" spans="1:41" hidden="1" outlineLevel="1" x14ac:dyDescent="0.3">
      <c r="A158" s="146">
        <f t="shared" si="84"/>
        <v>136</v>
      </c>
      <c r="B158" s="147">
        <f t="shared" si="77"/>
        <v>149</v>
      </c>
      <c r="C158" s="147">
        <f t="shared" si="76"/>
        <v>211</v>
      </c>
      <c r="D158" s="149">
        <f t="shared" si="85"/>
        <v>205096001.08251911</v>
      </c>
      <c r="E158" s="149">
        <f t="shared" si="86"/>
        <v>1963109.2120591511</v>
      </c>
      <c r="F158" s="149">
        <f t="shared" si="78"/>
        <v>1034067.5338231914</v>
      </c>
      <c r="G158" s="149">
        <f t="shared" si="79"/>
        <v>999598.61602908501</v>
      </c>
      <c r="H158" s="149">
        <f t="shared" si="87"/>
        <v>34468.917794106412</v>
      </c>
      <c r="I158" s="149">
        <f t="shared" si="88"/>
        <v>929041.67823595973</v>
      </c>
      <c r="J158" s="147">
        <f t="shared" si="89"/>
        <v>4.4999999999999998E-2</v>
      </c>
      <c r="K158" s="175">
        <f t="shared" si="80"/>
        <v>3.8296430163020645E-3</v>
      </c>
      <c r="L158" s="149">
        <f t="shared" si="90"/>
        <v>788464.00388322689</v>
      </c>
      <c r="M158" s="149">
        <f t="shared" si="91"/>
        <v>2717104.2981482716</v>
      </c>
      <c r="N158" s="149">
        <f t="shared" si="92"/>
        <v>1717505.6821191865</v>
      </c>
      <c r="P158" s="149">
        <f t="shared" si="93"/>
        <v>0</v>
      </c>
      <c r="Q158" s="149">
        <f t="shared" si="94"/>
        <v>0</v>
      </c>
      <c r="R158" s="176">
        <f t="shared" si="95"/>
        <v>0</v>
      </c>
      <c r="S158" s="113">
        <f t="shared" si="96"/>
        <v>0</v>
      </c>
      <c r="T158" s="113">
        <f t="shared" si="81"/>
        <v>0</v>
      </c>
      <c r="U158" s="114">
        <f t="shared" si="97"/>
        <v>22.666666666666668</v>
      </c>
      <c r="V158" s="114">
        <f t="shared" si="98"/>
        <v>0</v>
      </c>
      <c r="W158" s="114">
        <f t="shared" si="99"/>
        <v>536.44444444444446</v>
      </c>
      <c r="X158" s="114"/>
      <c r="Y158" s="149">
        <f t="shared" si="100"/>
        <v>105096001.08251905</v>
      </c>
      <c r="Z158" s="149">
        <f t="shared" si="101"/>
        <v>516265.28269575152</v>
      </c>
      <c r="AA158" s="176">
        <f t="shared" si="102"/>
        <v>1717505.6821191865</v>
      </c>
      <c r="AB158" s="113">
        <f t="shared" si="103"/>
        <v>2233770.9648149381</v>
      </c>
      <c r="AC158" s="113">
        <f t="shared" si="82"/>
        <v>1162069.5633049884</v>
      </c>
      <c r="AD158" s="114">
        <f t="shared" si="104"/>
        <v>22.666666666666668</v>
      </c>
      <c r="AE158" s="114">
        <f t="shared" si="105"/>
        <v>5.8005668773698114E-3</v>
      </c>
      <c r="AF158" s="114">
        <f t="shared" si="106"/>
        <v>536.44444444444446</v>
      </c>
      <c r="AG158" s="114"/>
      <c r="AH158" s="176">
        <f t="shared" si="107"/>
        <v>100000000</v>
      </c>
      <c r="AI158" s="176">
        <f t="shared" si="108"/>
        <v>483333.33333333337</v>
      </c>
      <c r="AJ158" s="176">
        <f t="shared" si="109"/>
        <v>0</v>
      </c>
      <c r="AK158" s="113">
        <f t="shared" si="110"/>
        <v>483333.33333333337</v>
      </c>
      <c r="AL158" s="113">
        <f t="shared" si="83"/>
        <v>251443.39524707885</v>
      </c>
      <c r="AM158" s="114">
        <f t="shared" si="111"/>
        <v>22.666666666666668</v>
      </c>
      <c r="AN158" s="114">
        <f t="shared" si="112"/>
        <v>2.5084505701680865E-3</v>
      </c>
      <c r="AO158" s="114">
        <f t="shared" si="113"/>
        <v>536.44444444444446</v>
      </c>
    </row>
    <row r="159" spans="1:41" hidden="1" outlineLevel="1" x14ac:dyDescent="0.3">
      <c r="A159" s="146">
        <f t="shared" si="84"/>
        <v>137</v>
      </c>
      <c r="B159" s="147">
        <f t="shared" si="77"/>
        <v>148</v>
      </c>
      <c r="C159" s="147">
        <f t="shared" si="76"/>
        <v>212</v>
      </c>
      <c r="D159" s="149">
        <f t="shared" si="85"/>
        <v>203384007.40899786</v>
      </c>
      <c r="E159" s="149">
        <f t="shared" si="86"/>
        <v>1955591.2045749505</v>
      </c>
      <c r="F159" s="149">
        <f t="shared" si="78"/>
        <v>1025480.0054125956</v>
      </c>
      <c r="G159" s="149">
        <f t="shared" si="79"/>
        <v>991297.33856550907</v>
      </c>
      <c r="H159" s="149">
        <f t="shared" si="87"/>
        <v>34182.666847086512</v>
      </c>
      <c r="I159" s="149">
        <f t="shared" si="88"/>
        <v>930111.19916235493</v>
      </c>
      <c r="J159" s="147">
        <f t="shared" si="89"/>
        <v>4.4999999999999998E-2</v>
      </c>
      <c r="K159" s="175">
        <f t="shared" si="80"/>
        <v>3.8296430163020645E-3</v>
      </c>
      <c r="L159" s="149">
        <f t="shared" si="90"/>
        <v>781882.47435889347</v>
      </c>
      <c r="M159" s="149">
        <f t="shared" si="91"/>
        <v>2703291.0120867575</v>
      </c>
      <c r="N159" s="149">
        <f t="shared" si="92"/>
        <v>1711993.6735212484</v>
      </c>
      <c r="P159" s="149">
        <f t="shared" si="93"/>
        <v>0</v>
      </c>
      <c r="Q159" s="149">
        <f t="shared" si="94"/>
        <v>0</v>
      </c>
      <c r="R159" s="176">
        <f t="shared" si="95"/>
        <v>0</v>
      </c>
      <c r="S159" s="113">
        <f t="shared" si="96"/>
        <v>0</v>
      </c>
      <c r="T159" s="113">
        <f t="shared" si="81"/>
        <v>0</v>
      </c>
      <c r="U159" s="114">
        <f t="shared" si="97"/>
        <v>22.833333333333332</v>
      </c>
      <c r="V159" s="114">
        <f t="shared" si="98"/>
        <v>0</v>
      </c>
      <c r="W159" s="114">
        <f t="shared" si="99"/>
        <v>544.19444444444434</v>
      </c>
      <c r="X159" s="114"/>
      <c r="Y159" s="149">
        <f t="shared" si="100"/>
        <v>103384007.4089978</v>
      </c>
      <c r="Z159" s="149">
        <f t="shared" si="101"/>
        <v>507964.00523217546</v>
      </c>
      <c r="AA159" s="176">
        <f t="shared" si="102"/>
        <v>1711993.6735212484</v>
      </c>
      <c r="AB159" s="113">
        <f t="shared" si="103"/>
        <v>2219957.678753424</v>
      </c>
      <c r="AC159" s="113">
        <f t="shared" si="82"/>
        <v>1149347.531359473</v>
      </c>
      <c r="AD159" s="114">
        <f t="shared" si="104"/>
        <v>22.833333333333332</v>
      </c>
      <c r="AE159" s="114">
        <f t="shared" si="105"/>
        <v>5.7370637967916393E-3</v>
      </c>
      <c r="AF159" s="114">
        <f t="shared" si="106"/>
        <v>544.19444444444434</v>
      </c>
      <c r="AG159" s="114"/>
      <c r="AH159" s="176">
        <f t="shared" si="107"/>
        <v>100000000</v>
      </c>
      <c r="AI159" s="176">
        <f t="shared" si="108"/>
        <v>483333.33333333337</v>
      </c>
      <c r="AJ159" s="176">
        <f t="shared" si="109"/>
        <v>0</v>
      </c>
      <c r="AK159" s="113">
        <f t="shared" si="110"/>
        <v>483333.33333333337</v>
      </c>
      <c r="AL159" s="113">
        <f t="shared" si="83"/>
        <v>250238.09183711684</v>
      </c>
      <c r="AM159" s="114">
        <f t="shared" si="111"/>
        <v>22.833333333333332</v>
      </c>
      <c r="AN159" s="114">
        <f t="shared" si="112"/>
        <v>2.4964262176374753E-3</v>
      </c>
      <c r="AO159" s="114">
        <f t="shared" si="113"/>
        <v>544.19444444444434</v>
      </c>
    </row>
    <row r="160" spans="1:41" hidden="1" outlineLevel="1" x14ac:dyDescent="0.3">
      <c r="A160" s="146">
        <f t="shared" si="84"/>
        <v>138</v>
      </c>
      <c r="B160" s="147">
        <f t="shared" si="77"/>
        <v>147</v>
      </c>
      <c r="C160" s="147">
        <f t="shared" si="76"/>
        <v>213</v>
      </c>
      <c r="D160" s="149">
        <f t="shared" si="85"/>
        <v>201677503.40852267</v>
      </c>
      <c r="E160" s="149">
        <f t="shared" si="86"/>
        <v>1948101.9883756083</v>
      </c>
      <c r="F160" s="149">
        <f t="shared" si="78"/>
        <v>1016920.0370449893</v>
      </c>
      <c r="G160" s="149">
        <f t="shared" si="79"/>
        <v>983022.702476823</v>
      </c>
      <c r="H160" s="149">
        <f t="shared" si="87"/>
        <v>33897.33456816629</v>
      </c>
      <c r="I160" s="149">
        <f t="shared" si="88"/>
        <v>931181.95133061905</v>
      </c>
      <c r="J160" s="147">
        <f t="shared" si="89"/>
        <v>4.4999999999999998E-2</v>
      </c>
      <c r="K160" s="175">
        <f t="shared" si="80"/>
        <v>3.8296430163020645E-3</v>
      </c>
      <c r="L160" s="149">
        <f t="shared" si="90"/>
        <v>775322.04914457607</v>
      </c>
      <c r="M160" s="149">
        <f t="shared" si="91"/>
        <v>2689526.702952018</v>
      </c>
      <c r="N160" s="149">
        <f t="shared" si="92"/>
        <v>1706504.0004751952</v>
      </c>
      <c r="P160" s="149">
        <f t="shared" si="93"/>
        <v>0</v>
      </c>
      <c r="Q160" s="149">
        <f t="shared" si="94"/>
        <v>0</v>
      </c>
      <c r="R160" s="176">
        <f t="shared" si="95"/>
        <v>0</v>
      </c>
      <c r="S160" s="113">
        <f t="shared" si="96"/>
        <v>0</v>
      </c>
      <c r="T160" s="113">
        <f t="shared" si="81"/>
        <v>0</v>
      </c>
      <c r="U160" s="114">
        <f t="shared" si="97"/>
        <v>23</v>
      </c>
      <c r="V160" s="114">
        <f t="shared" si="98"/>
        <v>0</v>
      </c>
      <c r="W160" s="114">
        <f t="shared" si="99"/>
        <v>552</v>
      </c>
      <c r="X160" s="114"/>
      <c r="Y160" s="149">
        <f t="shared" si="100"/>
        <v>101677503.40852261</v>
      </c>
      <c r="Z160" s="149">
        <f t="shared" si="101"/>
        <v>499689.3691434894</v>
      </c>
      <c r="AA160" s="176">
        <f t="shared" si="102"/>
        <v>1706504.0004751952</v>
      </c>
      <c r="AB160" s="113">
        <f t="shared" si="103"/>
        <v>2206193.3696186845</v>
      </c>
      <c r="AC160" s="113">
        <f t="shared" si="82"/>
        <v>1136745.9999251845</v>
      </c>
      <c r="AD160" s="114">
        <f t="shared" si="104"/>
        <v>23</v>
      </c>
      <c r="AE160" s="114">
        <f t="shared" si="105"/>
        <v>5.6741622045375761E-3</v>
      </c>
      <c r="AF160" s="114">
        <f t="shared" si="106"/>
        <v>552</v>
      </c>
      <c r="AG160" s="114"/>
      <c r="AH160" s="176">
        <f t="shared" si="107"/>
        <v>100000000</v>
      </c>
      <c r="AI160" s="176">
        <f t="shared" si="108"/>
        <v>483333.33333333337</v>
      </c>
      <c r="AJ160" s="176">
        <f t="shared" si="109"/>
        <v>0</v>
      </c>
      <c r="AK160" s="113">
        <f t="shared" si="110"/>
        <v>483333.33333333337</v>
      </c>
      <c r="AL160" s="113">
        <f t="shared" si="83"/>
        <v>249038.56609456442</v>
      </c>
      <c r="AM160" s="114">
        <f t="shared" si="111"/>
        <v>23</v>
      </c>
      <c r="AN160" s="114">
        <f t="shared" si="112"/>
        <v>2.4844595042947757E-3</v>
      </c>
      <c r="AO160" s="114">
        <f t="shared" si="113"/>
        <v>552</v>
      </c>
    </row>
    <row r="161" spans="1:41" hidden="1" outlineLevel="1" x14ac:dyDescent="0.3">
      <c r="A161" s="146">
        <f t="shared" si="84"/>
        <v>139</v>
      </c>
      <c r="B161" s="147">
        <f t="shared" si="77"/>
        <v>146</v>
      </c>
      <c r="C161" s="147">
        <f t="shared" si="76"/>
        <v>214</v>
      </c>
      <c r="D161" s="149">
        <f t="shared" si="85"/>
        <v>199976466.82966682</v>
      </c>
      <c r="E161" s="149">
        <f t="shared" si="86"/>
        <v>1940641.4532007815</v>
      </c>
      <c r="F161" s="149">
        <f t="shared" si="78"/>
        <v>1008387.5170426134</v>
      </c>
      <c r="G161" s="149">
        <f t="shared" si="79"/>
        <v>974774.59980785963</v>
      </c>
      <c r="H161" s="149">
        <f t="shared" si="87"/>
        <v>33612.917234753724</v>
      </c>
      <c r="I161" s="149">
        <f t="shared" si="88"/>
        <v>932253.93615816813</v>
      </c>
      <c r="J161" s="147">
        <f t="shared" si="89"/>
        <v>4.4999999999999998E-2</v>
      </c>
      <c r="K161" s="175">
        <f t="shared" si="80"/>
        <v>3.8296430163020645E-3</v>
      </c>
      <c r="L161" s="149">
        <f t="shared" si="90"/>
        <v>768782.64269765629</v>
      </c>
      <c r="M161" s="149">
        <f t="shared" si="91"/>
        <v>2675811.1786636841</v>
      </c>
      <c r="N161" s="149">
        <f t="shared" si="92"/>
        <v>1701036.5788558244</v>
      </c>
      <c r="P161" s="149">
        <f t="shared" si="93"/>
        <v>0</v>
      </c>
      <c r="Q161" s="149">
        <f t="shared" si="94"/>
        <v>0</v>
      </c>
      <c r="R161" s="176">
        <f t="shared" si="95"/>
        <v>0</v>
      </c>
      <c r="S161" s="113">
        <f t="shared" si="96"/>
        <v>0</v>
      </c>
      <c r="T161" s="113">
        <f t="shared" si="81"/>
        <v>0</v>
      </c>
      <c r="U161" s="114">
        <f t="shared" si="97"/>
        <v>23.166666666666668</v>
      </c>
      <c r="V161" s="114">
        <f t="shared" si="98"/>
        <v>0</v>
      </c>
      <c r="W161" s="114">
        <f t="shared" si="99"/>
        <v>559.8611111111112</v>
      </c>
      <c r="X161" s="114"/>
      <c r="Y161" s="149">
        <f t="shared" si="100"/>
        <v>99976466.829666778</v>
      </c>
      <c r="Z161" s="149">
        <f t="shared" si="101"/>
        <v>491441.26647452597</v>
      </c>
      <c r="AA161" s="176">
        <f t="shared" si="102"/>
        <v>1701036.5788558244</v>
      </c>
      <c r="AB161" s="113">
        <f t="shared" si="103"/>
        <v>2192477.8453303506</v>
      </c>
      <c r="AC161" s="113">
        <f t="shared" si="82"/>
        <v>1124263.8866189304</v>
      </c>
      <c r="AD161" s="114">
        <f t="shared" si="104"/>
        <v>23.166666666666668</v>
      </c>
      <c r="AE161" s="114">
        <f t="shared" si="105"/>
        <v>5.6118566978018893E-3</v>
      </c>
      <c r="AF161" s="114">
        <f t="shared" si="106"/>
        <v>559.8611111111112</v>
      </c>
      <c r="AG161" s="114"/>
      <c r="AH161" s="176">
        <f t="shared" si="107"/>
        <v>100000000</v>
      </c>
      <c r="AI161" s="176">
        <f t="shared" si="108"/>
        <v>483333.33333333337</v>
      </c>
      <c r="AJ161" s="176">
        <f t="shared" si="109"/>
        <v>0</v>
      </c>
      <c r="AK161" s="113">
        <f t="shared" si="110"/>
        <v>483333.33333333337</v>
      </c>
      <c r="AL161" s="113">
        <f t="shared" si="83"/>
        <v>247844.79032395457</v>
      </c>
      <c r="AM161" s="114">
        <f t="shared" si="111"/>
        <v>23.166666666666668</v>
      </c>
      <c r="AN161" s="114">
        <f t="shared" si="112"/>
        <v>2.4725501538443626E-3</v>
      </c>
      <c r="AO161" s="114">
        <f t="shared" si="113"/>
        <v>559.8611111111112</v>
      </c>
    </row>
    <row r="162" spans="1:41" hidden="1" outlineLevel="1" x14ac:dyDescent="0.3">
      <c r="A162" s="146">
        <f t="shared" si="84"/>
        <v>140</v>
      </c>
      <c r="B162" s="147">
        <f t="shared" si="77"/>
        <v>145</v>
      </c>
      <c r="C162" s="147">
        <f t="shared" si="76"/>
        <v>215</v>
      </c>
      <c r="D162" s="149">
        <f t="shared" si="85"/>
        <v>198280875.50480509</v>
      </c>
      <c r="E162" s="149">
        <f t="shared" si="86"/>
        <v>1933209.4892123849</v>
      </c>
      <c r="F162" s="149">
        <f t="shared" si="78"/>
        <v>999882.33414833411</v>
      </c>
      <c r="G162" s="149">
        <f t="shared" si="79"/>
        <v>966552.92301005637</v>
      </c>
      <c r="H162" s="149">
        <f t="shared" si="87"/>
        <v>33329.411138277734</v>
      </c>
      <c r="I162" s="149">
        <f t="shared" si="88"/>
        <v>933327.15506405081</v>
      </c>
      <c r="J162" s="147">
        <f t="shared" si="89"/>
        <v>4.4999999999999998E-2</v>
      </c>
      <c r="K162" s="175">
        <f t="shared" si="80"/>
        <v>3.8296430163020645E-3</v>
      </c>
      <c r="L162" s="149">
        <f t="shared" si="90"/>
        <v>762264.16979767894</v>
      </c>
      <c r="M162" s="149">
        <f t="shared" si="91"/>
        <v>2662144.2478717864</v>
      </c>
      <c r="N162" s="149">
        <f t="shared" si="92"/>
        <v>1695591.3248617298</v>
      </c>
      <c r="P162" s="149">
        <f t="shared" si="93"/>
        <v>0</v>
      </c>
      <c r="Q162" s="149">
        <f t="shared" si="94"/>
        <v>0</v>
      </c>
      <c r="R162" s="176">
        <f t="shared" si="95"/>
        <v>0</v>
      </c>
      <c r="S162" s="113">
        <f t="shared" si="96"/>
        <v>0</v>
      </c>
      <c r="T162" s="113">
        <f t="shared" si="81"/>
        <v>0</v>
      </c>
      <c r="U162" s="114">
        <f t="shared" si="97"/>
        <v>23.333333333333332</v>
      </c>
      <c r="V162" s="114">
        <f t="shared" si="98"/>
        <v>0</v>
      </c>
      <c r="W162" s="114">
        <f t="shared" si="99"/>
        <v>567.77777777777771</v>
      </c>
      <c r="X162" s="114"/>
      <c r="Y162" s="149">
        <f t="shared" si="100"/>
        <v>98280875.504805043</v>
      </c>
      <c r="Z162" s="149">
        <f t="shared" si="101"/>
        <v>483219.58967672277</v>
      </c>
      <c r="AA162" s="176">
        <f t="shared" si="102"/>
        <v>1695591.3248617298</v>
      </c>
      <c r="AB162" s="113">
        <f t="shared" si="103"/>
        <v>2178810.9145384524</v>
      </c>
      <c r="AC162" s="113">
        <f t="shared" si="82"/>
        <v>1111900.1185624325</v>
      </c>
      <c r="AD162" s="114">
        <f t="shared" si="104"/>
        <v>23.333333333333332</v>
      </c>
      <c r="AE162" s="114">
        <f t="shared" si="105"/>
        <v>5.550141921223422E-3</v>
      </c>
      <c r="AF162" s="114">
        <f t="shared" si="106"/>
        <v>567.77777777777771</v>
      </c>
      <c r="AG162" s="114"/>
      <c r="AH162" s="176">
        <f t="shared" si="107"/>
        <v>100000000</v>
      </c>
      <c r="AI162" s="176">
        <f t="shared" si="108"/>
        <v>483333.33333333337</v>
      </c>
      <c r="AJ162" s="176">
        <f t="shared" si="109"/>
        <v>0</v>
      </c>
      <c r="AK162" s="113">
        <f t="shared" si="110"/>
        <v>483333.33333333337</v>
      </c>
      <c r="AL162" s="113">
        <f t="shared" si="83"/>
        <v>246656.73696257986</v>
      </c>
      <c r="AM162" s="114">
        <f t="shared" si="111"/>
        <v>23.333333333333332</v>
      </c>
      <c r="AN162" s="114">
        <f t="shared" si="112"/>
        <v>2.4606978913150486E-3</v>
      </c>
      <c r="AO162" s="114">
        <f t="shared" si="113"/>
        <v>567.77777777777771</v>
      </c>
    </row>
    <row r="163" spans="1:41" hidden="1" outlineLevel="1" x14ac:dyDescent="0.3">
      <c r="A163" s="146">
        <f t="shared" si="84"/>
        <v>141</v>
      </c>
      <c r="B163" s="147">
        <f t="shared" si="77"/>
        <v>144</v>
      </c>
      <c r="C163" s="147">
        <f t="shared" si="76"/>
        <v>216</v>
      </c>
      <c r="D163" s="149">
        <f t="shared" si="85"/>
        <v>196590707.34979105</v>
      </c>
      <c r="E163" s="149">
        <f t="shared" si="86"/>
        <v>1925805.9869929738</v>
      </c>
      <c r="F163" s="149">
        <f t="shared" si="78"/>
        <v>991404.37752402551</v>
      </c>
      <c r="G163" s="149">
        <f t="shared" si="79"/>
        <v>958357.56493989134</v>
      </c>
      <c r="H163" s="149">
        <f t="shared" si="87"/>
        <v>33046.812584134168</v>
      </c>
      <c r="I163" s="149">
        <f t="shared" si="88"/>
        <v>934401.60946894833</v>
      </c>
      <c r="J163" s="147">
        <f t="shared" si="89"/>
        <v>4.4999999999999998E-2</v>
      </c>
      <c r="K163" s="175">
        <f t="shared" si="80"/>
        <v>3.8296430163020645E-3</v>
      </c>
      <c r="L163" s="149">
        <f t="shared" si="90"/>
        <v>755766.54554511176</v>
      </c>
      <c r="M163" s="149">
        <f t="shared" si="91"/>
        <v>2648525.7199539514</v>
      </c>
      <c r="N163" s="149">
        <f t="shared" si="92"/>
        <v>1690168.15501406</v>
      </c>
      <c r="P163" s="149">
        <f t="shared" si="93"/>
        <v>0</v>
      </c>
      <c r="Q163" s="149">
        <f t="shared" si="94"/>
        <v>0</v>
      </c>
      <c r="R163" s="176">
        <f t="shared" si="95"/>
        <v>0</v>
      </c>
      <c r="S163" s="113">
        <f t="shared" si="96"/>
        <v>0</v>
      </c>
      <c r="T163" s="113">
        <f t="shared" si="81"/>
        <v>0</v>
      </c>
      <c r="U163" s="114">
        <f t="shared" si="97"/>
        <v>23.5</v>
      </c>
      <c r="V163" s="114">
        <f t="shared" si="98"/>
        <v>0</v>
      </c>
      <c r="W163" s="114">
        <f t="shared" si="99"/>
        <v>575.75</v>
      </c>
      <c r="X163" s="114"/>
      <c r="Y163" s="149">
        <f t="shared" si="100"/>
        <v>96590707.34979099</v>
      </c>
      <c r="Z163" s="149">
        <f t="shared" si="101"/>
        <v>475024.23160655773</v>
      </c>
      <c r="AA163" s="176">
        <f t="shared" si="102"/>
        <v>1690168.15501406</v>
      </c>
      <c r="AB163" s="113">
        <f t="shared" si="103"/>
        <v>2165192.3866206175</v>
      </c>
      <c r="AC163" s="113">
        <f t="shared" si="82"/>
        <v>1099653.6322997173</v>
      </c>
      <c r="AD163" s="114">
        <f t="shared" si="104"/>
        <v>23.5</v>
      </c>
      <c r="AE163" s="114">
        <f t="shared" si="105"/>
        <v>5.4890125664732309E-3</v>
      </c>
      <c r="AF163" s="114">
        <f t="shared" si="106"/>
        <v>575.75</v>
      </c>
      <c r="AG163" s="114"/>
      <c r="AH163" s="176">
        <f t="shared" si="107"/>
        <v>100000000</v>
      </c>
      <c r="AI163" s="176">
        <f t="shared" si="108"/>
        <v>483333.33333333337</v>
      </c>
      <c r="AJ163" s="176">
        <f t="shared" si="109"/>
        <v>0</v>
      </c>
      <c r="AK163" s="113">
        <f t="shared" si="110"/>
        <v>483333.33333333337</v>
      </c>
      <c r="AL163" s="113">
        <f t="shared" si="83"/>
        <v>245474.37857985537</v>
      </c>
      <c r="AM163" s="114">
        <f t="shared" si="111"/>
        <v>23.5</v>
      </c>
      <c r="AN163" s="114">
        <f t="shared" si="112"/>
        <v>2.4489024430537258E-3</v>
      </c>
      <c r="AO163" s="114">
        <f t="shared" si="113"/>
        <v>575.75</v>
      </c>
    </row>
    <row r="164" spans="1:41" hidden="1" outlineLevel="1" x14ac:dyDescent="0.3">
      <c r="A164" s="146">
        <f t="shared" si="84"/>
        <v>142</v>
      </c>
      <c r="B164" s="147">
        <f t="shared" si="77"/>
        <v>143</v>
      </c>
      <c r="C164" s="147">
        <f t="shared" si="76"/>
        <v>217</v>
      </c>
      <c r="D164" s="149">
        <f t="shared" si="85"/>
        <v>194905940.36363578</v>
      </c>
      <c r="E164" s="149">
        <f t="shared" si="86"/>
        <v>1918430.8375441334</v>
      </c>
      <c r="F164" s="149">
        <f t="shared" si="78"/>
        <v>982953.53674895526</v>
      </c>
      <c r="G164" s="149">
        <f t="shared" si="79"/>
        <v>950188.41885732347</v>
      </c>
      <c r="H164" s="149">
        <f t="shared" si="87"/>
        <v>32765.117891631788</v>
      </c>
      <c r="I164" s="149">
        <f t="shared" si="88"/>
        <v>935477.30079517816</v>
      </c>
      <c r="J164" s="147">
        <f t="shared" si="89"/>
        <v>4.4999999999999998E-2</v>
      </c>
      <c r="K164" s="175">
        <f t="shared" si="80"/>
        <v>3.8296430163020645E-3</v>
      </c>
      <c r="L164" s="149">
        <f t="shared" si="90"/>
        <v>749289.68536011095</v>
      </c>
      <c r="M164" s="149">
        <f t="shared" si="91"/>
        <v>2634955.4050126127</v>
      </c>
      <c r="N164" s="149">
        <f t="shared" si="92"/>
        <v>1684766.9861552892</v>
      </c>
      <c r="P164" s="149">
        <f t="shared" si="93"/>
        <v>0</v>
      </c>
      <c r="Q164" s="149">
        <f t="shared" si="94"/>
        <v>0</v>
      </c>
      <c r="R164" s="176">
        <f t="shared" si="95"/>
        <v>0</v>
      </c>
      <c r="S164" s="113">
        <f t="shared" si="96"/>
        <v>0</v>
      </c>
      <c r="T164" s="113">
        <f t="shared" si="81"/>
        <v>0</v>
      </c>
      <c r="U164" s="114">
        <f t="shared" si="97"/>
        <v>23.666666666666668</v>
      </c>
      <c r="V164" s="114">
        <f t="shared" si="98"/>
        <v>0</v>
      </c>
      <c r="W164" s="114">
        <f t="shared" si="99"/>
        <v>583.77777777777783</v>
      </c>
      <c r="X164" s="114"/>
      <c r="Y164" s="149">
        <f t="shared" si="100"/>
        <v>94905940.363635704</v>
      </c>
      <c r="Z164" s="149">
        <f t="shared" si="101"/>
        <v>466855.08552398981</v>
      </c>
      <c r="AA164" s="176">
        <f t="shared" si="102"/>
        <v>1684766.9861552892</v>
      </c>
      <c r="AB164" s="113">
        <f t="shared" si="103"/>
        <v>2151622.0716792792</v>
      </c>
      <c r="AC164" s="113">
        <f t="shared" si="82"/>
        <v>1087523.3737152263</v>
      </c>
      <c r="AD164" s="114">
        <f t="shared" si="104"/>
        <v>23.666666666666668</v>
      </c>
      <c r="AE164" s="114">
        <f t="shared" si="105"/>
        <v>5.4284633718458333E-3</v>
      </c>
      <c r="AF164" s="114">
        <f t="shared" si="106"/>
        <v>583.77777777777783</v>
      </c>
      <c r="AG164" s="114"/>
      <c r="AH164" s="176">
        <f t="shared" si="107"/>
        <v>100000000</v>
      </c>
      <c r="AI164" s="176">
        <f t="shared" si="108"/>
        <v>483333.33333333337</v>
      </c>
      <c r="AJ164" s="176">
        <f t="shared" si="109"/>
        <v>0</v>
      </c>
      <c r="AK164" s="113">
        <f t="shared" si="110"/>
        <v>483333.33333333337</v>
      </c>
      <c r="AL164" s="113">
        <f t="shared" si="83"/>
        <v>244297.68787668584</v>
      </c>
      <c r="AM164" s="114">
        <f t="shared" si="111"/>
        <v>23.666666666666668</v>
      </c>
      <c r="AN164" s="114">
        <f t="shared" si="112"/>
        <v>2.4371635367190546E-3</v>
      </c>
      <c r="AO164" s="114">
        <f t="shared" si="113"/>
        <v>583.77777777777783</v>
      </c>
    </row>
    <row r="165" spans="1:41" hidden="1" outlineLevel="1" x14ac:dyDescent="0.3">
      <c r="A165" s="146">
        <f t="shared" si="84"/>
        <v>143</v>
      </c>
      <c r="B165" s="147">
        <f t="shared" si="77"/>
        <v>142</v>
      </c>
      <c r="C165" s="147">
        <f t="shared" si="76"/>
        <v>218</v>
      </c>
      <c r="D165" s="149">
        <f t="shared" si="85"/>
        <v>193226552.62818781</v>
      </c>
      <c r="E165" s="149">
        <f t="shared" si="86"/>
        <v>1911083.9322848739</v>
      </c>
      <c r="F165" s="149">
        <f t="shared" si="78"/>
        <v>974529.70181817887</v>
      </c>
      <c r="G165" s="149">
        <f t="shared" si="79"/>
        <v>942045.37842423969</v>
      </c>
      <c r="H165" s="149">
        <f t="shared" si="87"/>
        <v>32484.323393939179</v>
      </c>
      <c r="I165" s="149">
        <f t="shared" si="88"/>
        <v>936554.23046669504</v>
      </c>
      <c r="J165" s="147">
        <f t="shared" si="89"/>
        <v>4.4999999999999998E-2</v>
      </c>
      <c r="K165" s="175">
        <f t="shared" si="80"/>
        <v>3.8296430163020645E-3</v>
      </c>
      <c r="L165" s="149">
        <f t="shared" si="90"/>
        <v>742833.5049812895</v>
      </c>
      <c r="M165" s="149">
        <f t="shared" si="91"/>
        <v>2621433.1138722245</v>
      </c>
      <c r="N165" s="149">
        <f t="shared" si="92"/>
        <v>1679387.7354479847</v>
      </c>
      <c r="P165" s="149">
        <f t="shared" si="93"/>
        <v>0</v>
      </c>
      <c r="Q165" s="149">
        <f t="shared" si="94"/>
        <v>0</v>
      </c>
      <c r="R165" s="176">
        <f t="shared" si="95"/>
        <v>0</v>
      </c>
      <c r="S165" s="113">
        <f t="shared" si="96"/>
        <v>0</v>
      </c>
      <c r="T165" s="113">
        <f t="shared" si="81"/>
        <v>0</v>
      </c>
      <c r="U165" s="114">
        <f t="shared" si="97"/>
        <v>23.833333333333332</v>
      </c>
      <c r="V165" s="114">
        <f t="shared" si="98"/>
        <v>0</v>
      </c>
      <c r="W165" s="114">
        <f t="shared" si="99"/>
        <v>591.86111111111109</v>
      </c>
      <c r="X165" s="114"/>
      <c r="Y165" s="149">
        <f t="shared" si="100"/>
        <v>93226552.628187716</v>
      </c>
      <c r="Z165" s="149">
        <f t="shared" si="101"/>
        <v>458712.04509090591</v>
      </c>
      <c r="AA165" s="176">
        <f t="shared" si="102"/>
        <v>1679387.7354479847</v>
      </c>
      <c r="AB165" s="113">
        <f t="shared" si="103"/>
        <v>2138099.7805388905</v>
      </c>
      <c r="AC165" s="113">
        <f t="shared" si="82"/>
        <v>1075508.2979526313</v>
      </c>
      <c r="AD165" s="114">
        <f t="shared" si="104"/>
        <v>23.833333333333332</v>
      </c>
      <c r="AE165" s="114">
        <f t="shared" si="105"/>
        <v>5.3684891218539624E-3</v>
      </c>
      <c r="AF165" s="114">
        <f t="shared" si="106"/>
        <v>591.86111111111109</v>
      </c>
      <c r="AG165" s="114"/>
      <c r="AH165" s="176">
        <f t="shared" si="107"/>
        <v>100000000</v>
      </c>
      <c r="AI165" s="176">
        <f t="shared" si="108"/>
        <v>483333.33333333337</v>
      </c>
      <c r="AJ165" s="176">
        <f t="shared" si="109"/>
        <v>0</v>
      </c>
      <c r="AK165" s="113">
        <f t="shared" si="110"/>
        <v>483333.33333333337</v>
      </c>
      <c r="AL165" s="113">
        <f t="shared" si="83"/>
        <v>243126.6376848355</v>
      </c>
      <c r="AM165" s="114">
        <f t="shared" si="111"/>
        <v>23.833333333333332</v>
      </c>
      <c r="AN165" s="114">
        <f t="shared" si="112"/>
        <v>2.4254809012751771E-3</v>
      </c>
      <c r="AO165" s="114">
        <f t="shared" si="113"/>
        <v>591.86111111111109</v>
      </c>
    </row>
    <row r="166" spans="1:41" hidden="1" outlineLevel="1" x14ac:dyDescent="0.3">
      <c r="A166" s="146">
        <f t="shared" si="84"/>
        <v>144</v>
      </c>
      <c r="B166" s="147">
        <f t="shared" si="77"/>
        <v>141</v>
      </c>
      <c r="C166" s="147">
        <f t="shared" si="76"/>
        <v>219</v>
      </c>
      <c r="D166" s="149">
        <f t="shared" si="85"/>
        <v>191552522.30781424</v>
      </c>
      <c r="E166" s="149">
        <f t="shared" si="86"/>
        <v>1903765.163050032</v>
      </c>
      <c r="F166" s="149">
        <f t="shared" si="78"/>
        <v>966132.76314093906</v>
      </c>
      <c r="G166" s="149">
        <f t="shared" si="79"/>
        <v>933928.33770290774</v>
      </c>
      <c r="H166" s="149">
        <f t="shared" si="87"/>
        <v>32204.425438031321</v>
      </c>
      <c r="I166" s="149">
        <f t="shared" si="88"/>
        <v>937632.39990909293</v>
      </c>
      <c r="J166" s="147">
        <f t="shared" si="89"/>
        <v>4.4999999999999998E-2</v>
      </c>
      <c r="K166" s="175">
        <f t="shared" si="80"/>
        <v>3.8296430163020645E-3</v>
      </c>
      <c r="L166" s="149">
        <f t="shared" si="90"/>
        <v>736397.9204644924</v>
      </c>
      <c r="M166" s="149">
        <f t="shared" si="91"/>
        <v>2607958.6580764931</v>
      </c>
      <c r="N166" s="149">
        <f t="shared" si="92"/>
        <v>1674030.3203735854</v>
      </c>
      <c r="P166" s="149">
        <f t="shared" si="93"/>
        <v>0</v>
      </c>
      <c r="Q166" s="149">
        <f t="shared" si="94"/>
        <v>0</v>
      </c>
      <c r="R166" s="176">
        <f t="shared" si="95"/>
        <v>0</v>
      </c>
      <c r="S166" s="113">
        <f t="shared" si="96"/>
        <v>0</v>
      </c>
      <c r="T166" s="113">
        <f t="shared" si="81"/>
        <v>0</v>
      </c>
      <c r="U166" s="114">
        <f t="shared" si="97"/>
        <v>24</v>
      </c>
      <c r="V166" s="114">
        <f t="shared" si="98"/>
        <v>0</v>
      </c>
      <c r="W166" s="114">
        <f t="shared" si="99"/>
        <v>600</v>
      </c>
      <c r="X166" s="114"/>
      <c r="Y166" s="149">
        <f t="shared" si="100"/>
        <v>91552522.307814136</v>
      </c>
      <c r="Z166" s="149">
        <f t="shared" si="101"/>
        <v>450595.00436957396</v>
      </c>
      <c r="AA166" s="176">
        <f t="shared" si="102"/>
        <v>1674030.3203735854</v>
      </c>
      <c r="AB166" s="113">
        <f t="shared" si="103"/>
        <v>2124625.3247431596</v>
      </c>
      <c r="AC166" s="113">
        <f t="shared" si="82"/>
        <v>1063607.3693343527</v>
      </c>
      <c r="AD166" s="114">
        <f t="shared" si="104"/>
        <v>24</v>
      </c>
      <c r="AE166" s="114">
        <f t="shared" si="105"/>
        <v>5.3090846468268407E-3</v>
      </c>
      <c r="AF166" s="114">
        <f t="shared" si="106"/>
        <v>600</v>
      </c>
      <c r="AG166" s="114"/>
      <c r="AH166" s="176">
        <f t="shared" si="107"/>
        <v>100000000</v>
      </c>
      <c r="AI166" s="176">
        <f t="shared" si="108"/>
        <v>483333.33333333337</v>
      </c>
      <c r="AJ166" s="176">
        <f t="shared" si="109"/>
        <v>0</v>
      </c>
      <c r="AK166" s="113">
        <f t="shared" si="110"/>
        <v>483333.33333333337</v>
      </c>
      <c r="AL166" s="113">
        <f t="shared" si="83"/>
        <v>241961.20096630024</v>
      </c>
      <c r="AM166" s="114">
        <f t="shared" si="111"/>
        <v>24</v>
      </c>
      <c r="AN166" s="114">
        <f t="shared" si="112"/>
        <v>2.413854266985452E-3</v>
      </c>
      <c r="AO166" s="114">
        <f t="shared" si="113"/>
        <v>600</v>
      </c>
    </row>
    <row r="167" spans="1:41" hidden="1" outlineLevel="1" x14ac:dyDescent="0.3">
      <c r="A167" s="146">
        <f t="shared" si="84"/>
        <v>145</v>
      </c>
      <c r="B167" s="147">
        <f t="shared" si="77"/>
        <v>140</v>
      </c>
      <c r="C167" s="147">
        <f t="shared" si="76"/>
        <v>220</v>
      </c>
      <c r="D167" s="149">
        <f t="shared" si="85"/>
        <v>189883827.64908305</v>
      </c>
      <c r="E167" s="149">
        <f t="shared" si="86"/>
        <v>1896474.4220886782</v>
      </c>
      <c r="F167" s="149">
        <f t="shared" si="78"/>
        <v>957762.61153907119</v>
      </c>
      <c r="G167" s="149">
        <f t="shared" si="79"/>
        <v>925837.19115443551</v>
      </c>
      <c r="H167" s="149">
        <f t="shared" si="87"/>
        <v>31925.420384635683</v>
      </c>
      <c r="I167" s="149">
        <f t="shared" si="88"/>
        <v>938711.81054960703</v>
      </c>
      <c r="J167" s="147">
        <f t="shared" si="89"/>
        <v>4.4999999999999998E-2</v>
      </c>
      <c r="K167" s="175">
        <f t="shared" si="80"/>
        <v>3.8296430163020645E-3</v>
      </c>
      <c r="L167" s="149">
        <f t="shared" si="90"/>
        <v>729982.84818157461</v>
      </c>
      <c r="M167" s="149">
        <f t="shared" si="91"/>
        <v>2594531.8498856174</v>
      </c>
      <c r="N167" s="149">
        <f t="shared" si="92"/>
        <v>1668694.6587311816</v>
      </c>
      <c r="P167" s="149">
        <f t="shared" si="93"/>
        <v>0</v>
      </c>
      <c r="Q167" s="149">
        <f t="shared" si="94"/>
        <v>0</v>
      </c>
      <c r="R167" s="176">
        <f t="shared" si="95"/>
        <v>0</v>
      </c>
      <c r="S167" s="113">
        <f t="shared" si="96"/>
        <v>0</v>
      </c>
      <c r="T167" s="113">
        <f t="shared" si="81"/>
        <v>0</v>
      </c>
      <c r="U167" s="114">
        <f t="shared" si="97"/>
        <v>24.166666666666668</v>
      </c>
      <c r="V167" s="114">
        <f t="shared" si="98"/>
        <v>0</v>
      </c>
      <c r="W167" s="114">
        <f t="shared" si="99"/>
        <v>608.19444444444446</v>
      </c>
      <c r="X167" s="114"/>
      <c r="Y167" s="149">
        <f t="shared" si="100"/>
        <v>89883827.649082959</v>
      </c>
      <c r="Z167" s="149">
        <f t="shared" si="101"/>
        <v>442503.85782110167</v>
      </c>
      <c r="AA167" s="176">
        <f t="shared" si="102"/>
        <v>1668694.6587311816</v>
      </c>
      <c r="AB167" s="113">
        <f t="shared" si="103"/>
        <v>2111198.5165522834</v>
      </c>
      <c r="AC167" s="113">
        <f t="shared" si="82"/>
        <v>1051819.5612817733</v>
      </c>
      <c r="AD167" s="114">
        <f t="shared" si="104"/>
        <v>24.166666666666668</v>
      </c>
      <c r="AE167" s="114">
        <f t="shared" si="105"/>
        <v>5.2502448225119173E-3</v>
      </c>
      <c r="AF167" s="114">
        <f t="shared" si="106"/>
        <v>608.19444444444446</v>
      </c>
      <c r="AG167" s="114"/>
      <c r="AH167" s="176">
        <f t="shared" si="107"/>
        <v>100000000</v>
      </c>
      <c r="AI167" s="176">
        <f t="shared" si="108"/>
        <v>483333.33333333337</v>
      </c>
      <c r="AJ167" s="176">
        <f t="shared" si="109"/>
        <v>0</v>
      </c>
      <c r="AK167" s="113">
        <f t="shared" si="110"/>
        <v>483333.33333333337</v>
      </c>
      <c r="AL167" s="113">
        <f t="shared" si="83"/>
        <v>240801.35081268367</v>
      </c>
      <c r="AM167" s="114">
        <f t="shared" si="111"/>
        <v>24.166666666666668</v>
      </c>
      <c r="AN167" s="114">
        <f t="shared" si="112"/>
        <v>2.4022833654062316E-3</v>
      </c>
      <c r="AO167" s="114">
        <f t="shared" si="113"/>
        <v>608.19444444444446</v>
      </c>
    </row>
    <row r="168" spans="1:41" hidden="1" outlineLevel="1" x14ac:dyDescent="0.3">
      <c r="A168" s="146">
        <f t="shared" si="84"/>
        <v>146</v>
      </c>
      <c r="B168" s="147">
        <f t="shared" si="77"/>
        <v>139</v>
      </c>
      <c r="C168" s="147">
        <f t="shared" si="76"/>
        <v>221</v>
      </c>
      <c r="D168" s="149">
        <f t="shared" si="85"/>
        <v>188220446.98044676</v>
      </c>
      <c r="E168" s="149">
        <f t="shared" si="86"/>
        <v>1889211.6020625308</v>
      </c>
      <c r="F168" s="149">
        <f t="shared" si="78"/>
        <v>949419.13824541529</v>
      </c>
      <c r="G168" s="149">
        <f t="shared" si="79"/>
        <v>917771.83363723475</v>
      </c>
      <c r="H168" s="149">
        <f t="shared" si="87"/>
        <v>31647.304608180537</v>
      </c>
      <c r="I168" s="149">
        <f t="shared" si="88"/>
        <v>939792.46381711552</v>
      </c>
      <c r="J168" s="147">
        <f t="shared" si="89"/>
        <v>4.4999999999999998E-2</v>
      </c>
      <c r="K168" s="175">
        <f t="shared" si="80"/>
        <v>3.8296430163020645E-3</v>
      </c>
      <c r="L168" s="149">
        <f t="shared" si="90"/>
        <v>723588.20481918519</v>
      </c>
      <c r="M168" s="149">
        <f t="shared" si="91"/>
        <v>2581152.5022735354</v>
      </c>
      <c r="N168" s="149">
        <f t="shared" si="92"/>
        <v>1663380.6686363006</v>
      </c>
      <c r="P168" s="149">
        <f t="shared" si="93"/>
        <v>0</v>
      </c>
      <c r="Q168" s="149">
        <f t="shared" si="94"/>
        <v>0</v>
      </c>
      <c r="R168" s="176">
        <f t="shared" si="95"/>
        <v>0</v>
      </c>
      <c r="S168" s="113">
        <f t="shared" si="96"/>
        <v>0</v>
      </c>
      <c r="T168" s="113">
        <f t="shared" si="81"/>
        <v>0</v>
      </c>
      <c r="U168" s="114">
        <f t="shared" si="97"/>
        <v>24.333333333333332</v>
      </c>
      <c r="V168" s="114">
        <f t="shared" si="98"/>
        <v>0</v>
      </c>
      <c r="W168" s="114">
        <f t="shared" si="99"/>
        <v>616.44444444444434</v>
      </c>
      <c r="X168" s="114"/>
      <c r="Y168" s="149">
        <f t="shared" si="100"/>
        <v>88220446.980446652</v>
      </c>
      <c r="Z168" s="149">
        <f t="shared" si="101"/>
        <v>434438.50030390098</v>
      </c>
      <c r="AA168" s="176">
        <f t="shared" si="102"/>
        <v>1663380.6686363006</v>
      </c>
      <c r="AB168" s="113">
        <f t="shared" si="103"/>
        <v>2097819.1689402014</v>
      </c>
      <c r="AC168" s="113">
        <f t="shared" si="82"/>
        <v>1040143.8562361436</v>
      </c>
      <c r="AD168" s="114">
        <f t="shared" si="104"/>
        <v>24.333333333333332</v>
      </c>
      <c r="AE168" s="114">
        <f t="shared" si="105"/>
        <v>5.1919645696800612E-3</v>
      </c>
      <c r="AF168" s="114">
        <f t="shared" si="106"/>
        <v>616.44444444444434</v>
      </c>
      <c r="AG168" s="114"/>
      <c r="AH168" s="176">
        <f t="shared" si="107"/>
        <v>100000000</v>
      </c>
      <c r="AI168" s="176">
        <f t="shared" si="108"/>
        <v>483333.33333333337</v>
      </c>
      <c r="AJ168" s="176">
        <f t="shared" si="109"/>
        <v>0</v>
      </c>
      <c r="AK168" s="113">
        <f t="shared" si="110"/>
        <v>483333.33333333337</v>
      </c>
      <c r="AL168" s="113">
        <f t="shared" si="83"/>
        <v>239647.06044457608</v>
      </c>
      <c r="AM168" s="114">
        <f t="shared" si="111"/>
        <v>24.333333333333332</v>
      </c>
      <c r="AN168" s="114">
        <f t="shared" si="112"/>
        <v>2.3907679293806647E-3</v>
      </c>
      <c r="AO168" s="114">
        <f t="shared" si="113"/>
        <v>616.44444444444434</v>
      </c>
    </row>
    <row r="169" spans="1:41" hidden="1" outlineLevel="1" x14ac:dyDescent="0.3">
      <c r="A169" s="146">
        <f t="shared" si="84"/>
        <v>147</v>
      </c>
      <c r="B169" s="147">
        <f t="shared" si="77"/>
        <v>138</v>
      </c>
      <c r="C169" s="147">
        <f t="shared" si="76"/>
        <v>222</v>
      </c>
      <c r="D169" s="149">
        <f t="shared" si="85"/>
        <v>186562358.71192709</v>
      </c>
      <c r="E169" s="149">
        <f t="shared" si="86"/>
        <v>1881976.5960443751</v>
      </c>
      <c r="F169" s="149">
        <f t="shared" si="78"/>
        <v>941102.23490223382</v>
      </c>
      <c r="G169" s="149">
        <f t="shared" si="79"/>
        <v>909732.16040549264</v>
      </c>
      <c r="H169" s="149">
        <f t="shared" si="87"/>
        <v>31370.074496741174</v>
      </c>
      <c r="I169" s="149">
        <f t="shared" si="88"/>
        <v>940874.36114214128</v>
      </c>
      <c r="J169" s="147">
        <f t="shared" si="89"/>
        <v>4.4999999999999998E-2</v>
      </c>
      <c r="K169" s="175">
        <f t="shared" si="80"/>
        <v>3.8296430163020645E-3</v>
      </c>
      <c r="L169" s="149">
        <f t="shared" si="90"/>
        <v>717213.90737755527</v>
      </c>
      <c r="M169" s="149">
        <f t="shared" si="91"/>
        <v>2567820.4289251892</v>
      </c>
      <c r="N169" s="149">
        <f t="shared" si="92"/>
        <v>1658088.2685196965</v>
      </c>
      <c r="P169" s="149">
        <f t="shared" si="93"/>
        <v>0</v>
      </c>
      <c r="Q169" s="149">
        <f t="shared" si="94"/>
        <v>0</v>
      </c>
      <c r="R169" s="176">
        <f t="shared" si="95"/>
        <v>0</v>
      </c>
      <c r="S169" s="113">
        <f t="shared" si="96"/>
        <v>0</v>
      </c>
      <c r="T169" s="113">
        <f t="shared" si="81"/>
        <v>0</v>
      </c>
      <c r="U169" s="114">
        <f t="shared" si="97"/>
        <v>24.5</v>
      </c>
      <c r="V169" s="114">
        <f t="shared" si="98"/>
        <v>0</v>
      </c>
      <c r="W169" s="114">
        <f t="shared" si="99"/>
        <v>624.75</v>
      </c>
      <c r="X169" s="114"/>
      <c r="Y169" s="149">
        <f t="shared" si="100"/>
        <v>86562358.711926952</v>
      </c>
      <c r="Z169" s="149">
        <f t="shared" si="101"/>
        <v>426398.82707215886</v>
      </c>
      <c r="AA169" s="176">
        <f t="shared" si="102"/>
        <v>1658088.2685196965</v>
      </c>
      <c r="AB169" s="113">
        <f t="shared" si="103"/>
        <v>2084487.0955918555</v>
      </c>
      <c r="AC169" s="113">
        <f t="shared" si="82"/>
        <v>1028579.2455801696</v>
      </c>
      <c r="AD169" s="114">
        <f t="shared" si="104"/>
        <v>24.5</v>
      </c>
      <c r="AE169" s="114">
        <f t="shared" si="105"/>
        <v>5.1342388537341608E-3</v>
      </c>
      <c r="AF169" s="114">
        <f t="shared" si="106"/>
        <v>624.75</v>
      </c>
      <c r="AG169" s="114"/>
      <c r="AH169" s="176">
        <f t="shared" si="107"/>
        <v>100000000</v>
      </c>
      <c r="AI169" s="176">
        <f t="shared" si="108"/>
        <v>483333.33333333337</v>
      </c>
      <c r="AJ169" s="176">
        <f t="shared" si="109"/>
        <v>0</v>
      </c>
      <c r="AK169" s="113">
        <f t="shared" si="110"/>
        <v>483333.33333333337</v>
      </c>
      <c r="AL169" s="113">
        <f t="shared" si="83"/>
        <v>238498.3032109355</v>
      </c>
      <c r="AM169" s="114">
        <f t="shared" si="111"/>
        <v>24.5</v>
      </c>
      <c r="AN169" s="114">
        <f t="shared" si="112"/>
        <v>2.3793076930325244E-3</v>
      </c>
      <c r="AO169" s="114">
        <f t="shared" si="113"/>
        <v>624.75</v>
      </c>
    </row>
    <row r="170" spans="1:41" hidden="1" outlineLevel="1" x14ac:dyDescent="0.3">
      <c r="A170" s="146">
        <f t="shared" si="84"/>
        <v>148</v>
      </c>
      <c r="B170" s="147">
        <f t="shared" si="77"/>
        <v>137</v>
      </c>
      <c r="C170" s="147">
        <f t="shared" si="76"/>
        <v>223</v>
      </c>
      <c r="D170" s="149">
        <f t="shared" si="85"/>
        <v>184909541.33480093</v>
      </c>
      <c r="E170" s="149">
        <f t="shared" si="86"/>
        <v>1874769.2975164899</v>
      </c>
      <c r="F170" s="149">
        <f t="shared" si="78"/>
        <v>932811.79355963541</v>
      </c>
      <c r="G170" s="149">
        <f t="shared" si="79"/>
        <v>901718.06710764766</v>
      </c>
      <c r="H170" s="149">
        <f t="shared" si="87"/>
        <v>31093.72645198775</v>
      </c>
      <c r="I170" s="149">
        <f t="shared" si="88"/>
        <v>941957.50395685446</v>
      </c>
      <c r="J170" s="147">
        <f t="shared" si="89"/>
        <v>4.4999999999999998E-2</v>
      </c>
      <c r="K170" s="175">
        <f t="shared" si="80"/>
        <v>3.8296430163020645E-3</v>
      </c>
      <c r="L170" s="149">
        <f t="shared" si="90"/>
        <v>710859.87316929048</v>
      </c>
      <c r="M170" s="149">
        <f t="shared" si="91"/>
        <v>2554535.4442337924</v>
      </c>
      <c r="N170" s="149">
        <f t="shared" si="92"/>
        <v>1652817.3771261449</v>
      </c>
      <c r="P170" s="149">
        <f t="shared" si="93"/>
        <v>0</v>
      </c>
      <c r="Q170" s="149">
        <f t="shared" si="94"/>
        <v>0</v>
      </c>
      <c r="R170" s="176">
        <f t="shared" si="95"/>
        <v>0</v>
      </c>
      <c r="S170" s="113">
        <f t="shared" si="96"/>
        <v>0</v>
      </c>
      <c r="T170" s="113">
        <f t="shared" si="81"/>
        <v>0</v>
      </c>
      <c r="U170" s="114">
        <f t="shared" si="97"/>
        <v>24.666666666666668</v>
      </c>
      <c r="V170" s="114">
        <f t="shared" si="98"/>
        <v>0</v>
      </c>
      <c r="W170" s="114">
        <f t="shared" si="99"/>
        <v>633.1111111111112</v>
      </c>
      <c r="X170" s="114"/>
      <c r="Y170" s="149">
        <f t="shared" si="100"/>
        <v>84909541.33480081</v>
      </c>
      <c r="Z170" s="149">
        <f t="shared" si="101"/>
        <v>418384.73377431364</v>
      </c>
      <c r="AA170" s="176">
        <f t="shared" si="102"/>
        <v>1652817.3771261449</v>
      </c>
      <c r="AB170" s="113">
        <f t="shared" si="103"/>
        <v>2071202.1109004586</v>
      </c>
      <c r="AC170" s="113">
        <f t="shared" si="82"/>
        <v>1017124.7295602791</v>
      </c>
      <c r="AD170" s="114">
        <f t="shared" si="104"/>
        <v>24.666666666666668</v>
      </c>
      <c r="AE170" s="114">
        <f t="shared" si="105"/>
        <v>5.077062684321107E-3</v>
      </c>
      <c r="AF170" s="114">
        <f t="shared" si="106"/>
        <v>633.1111111111112</v>
      </c>
      <c r="AG170" s="114"/>
      <c r="AH170" s="176">
        <f t="shared" si="107"/>
        <v>100000000</v>
      </c>
      <c r="AI170" s="176">
        <f t="shared" si="108"/>
        <v>483333.33333333337</v>
      </c>
      <c r="AJ170" s="176">
        <f t="shared" si="109"/>
        <v>0</v>
      </c>
      <c r="AK170" s="113">
        <f t="shared" si="110"/>
        <v>483333.33333333337</v>
      </c>
      <c r="AL170" s="113">
        <f t="shared" si="83"/>
        <v>237355.0525884731</v>
      </c>
      <c r="AM170" s="114">
        <f t="shared" si="111"/>
        <v>24.666666666666668</v>
      </c>
      <c r="AN170" s="114">
        <f t="shared" si="112"/>
        <v>2.3679023917600735E-3</v>
      </c>
      <c r="AO170" s="114">
        <f t="shared" si="113"/>
        <v>633.1111111111112</v>
      </c>
    </row>
    <row r="171" spans="1:41" hidden="1" outlineLevel="1" x14ac:dyDescent="0.3">
      <c r="A171" s="146">
        <f t="shared" si="84"/>
        <v>149</v>
      </c>
      <c r="B171" s="147">
        <f t="shared" si="77"/>
        <v>136</v>
      </c>
      <c r="C171" s="147">
        <f t="shared" si="76"/>
        <v>224</v>
      </c>
      <c r="D171" s="149">
        <f t="shared" si="85"/>
        <v>183261973.42128769</v>
      </c>
      <c r="E171" s="149">
        <f t="shared" si="86"/>
        <v>1867589.6003690783</v>
      </c>
      <c r="F171" s="149">
        <f t="shared" si="78"/>
        <v>924547.70667400467</v>
      </c>
      <c r="G171" s="149">
        <f t="shared" si="79"/>
        <v>893729.44978487119</v>
      </c>
      <c r="H171" s="149">
        <f t="shared" si="87"/>
        <v>30818.256889133481</v>
      </c>
      <c r="I171" s="149">
        <f t="shared" si="88"/>
        <v>943041.89369507367</v>
      </c>
      <c r="J171" s="147">
        <f t="shared" si="89"/>
        <v>4.4999999999999998E-2</v>
      </c>
      <c r="K171" s="175">
        <f t="shared" si="80"/>
        <v>3.8296430163020645E-3</v>
      </c>
      <c r="L171" s="149">
        <f t="shared" si="90"/>
        <v>704526.0198181686</v>
      </c>
      <c r="M171" s="149">
        <f t="shared" si="91"/>
        <v>2541297.3632981135</v>
      </c>
      <c r="N171" s="149">
        <f t="shared" si="92"/>
        <v>1647567.9135132423</v>
      </c>
      <c r="P171" s="149">
        <f t="shared" si="93"/>
        <v>0</v>
      </c>
      <c r="Q171" s="149">
        <f t="shared" si="94"/>
        <v>0</v>
      </c>
      <c r="R171" s="176">
        <f t="shared" si="95"/>
        <v>0</v>
      </c>
      <c r="S171" s="113">
        <f t="shared" si="96"/>
        <v>0</v>
      </c>
      <c r="T171" s="113">
        <f t="shared" si="81"/>
        <v>0</v>
      </c>
      <c r="U171" s="114">
        <f t="shared" si="97"/>
        <v>24.833333333333332</v>
      </c>
      <c r="V171" s="114">
        <f t="shared" si="98"/>
        <v>0</v>
      </c>
      <c r="W171" s="114">
        <f t="shared" si="99"/>
        <v>641.52777777777771</v>
      </c>
      <c r="X171" s="114"/>
      <c r="Y171" s="149">
        <f t="shared" si="100"/>
        <v>83261973.421287566</v>
      </c>
      <c r="Z171" s="149">
        <f t="shared" si="101"/>
        <v>410396.11645153729</v>
      </c>
      <c r="AA171" s="176">
        <f t="shared" si="102"/>
        <v>1647567.9135132423</v>
      </c>
      <c r="AB171" s="113">
        <f t="shared" si="103"/>
        <v>2057964.0299647795</v>
      </c>
      <c r="AC171" s="113">
        <f t="shared" si="82"/>
        <v>1005779.3172095604</v>
      </c>
      <c r="AD171" s="114">
        <f t="shared" si="104"/>
        <v>24.833333333333332</v>
      </c>
      <c r="AE171" s="114">
        <f t="shared" si="105"/>
        <v>5.0204311149471409E-3</v>
      </c>
      <c r="AF171" s="114">
        <f t="shared" si="106"/>
        <v>641.52777777777771</v>
      </c>
      <c r="AG171" s="114"/>
      <c r="AH171" s="176">
        <f t="shared" si="107"/>
        <v>100000000</v>
      </c>
      <c r="AI171" s="176">
        <f t="shared" si="108"/>
        <v>483333.33333333337</v>
      </c>
      <c r="AJ171" s="176">
        <f t="shared" si="109"/>
        <v>0</v>
      </c>
      <c r="AK171" s="113">
        <f t="shared" si="110"/>
        <v>483333.33333333337</v>
      </c>
      <c r="AL171" s="113">
        <f t="shared" si="83"/>
        <v>236217.28218104018</v>
      </c>
      <c r="AM171" s="114">
        <f t="shared" si="111"/>
        <v>24.833333333333332</v>
      </c>
      <c r="AN171" s="114">
        <f t="shared" si="112"/>
        <v>2.356551762229952E-3</v>
      </c>
      <c r="AO171" s="114">
        <f t="shared" si="113"/>
        <v>641.52777777777771</v>
      </c>
    </row>
    <row r="172" spans="1:41" hidden="1" outlineLevel="1" x14ac:dyDescent="0.3">
      <c r="A172" s="146">
        <f t="shared" si="84"/>
        <v>150</v>
      </c>
      <c r="B172" s="147">
        <f t="shared" si="77"/>
        <v>135</v>
      </c>
      <c r="C172" s="147">
        <f t="shared" si="76"/>
        <v>225</v>
      </c>
      <c r="D172" s="149">
        <f t="shared" si="85"/>
        <v>181619633.62423748</v>
      </c>
      <c r="E172" s="149">
        <f t="shared" si="86"/>
        <v>1860437.3988987065</v>
      </c>
      <c r="F172" s="149">
        <f t="shared" si="78"/>
        <v>916309.8671064385</v>
      </c>
      <c r="G172" s="149">
        <f t="shared" si="79"/>
        <v>885766.20486955717</v>
      </c>
      <c r="H172" s="149">
        <f t="shared" si="87"/>
        <v>30543.662236881326</v>
      </c>
      <c r="I172" s="149">
        <f t="shared" si="88"/>
        <v>944127.53179226804</v>
      </c>
      <c r="J172" s="147">
        <f t="shared" si="89"/>
        <v>4.4999999999999998E-2</v>
      </c>
      <c r="K172" s="175">
        <f t="shared" si="80"/>
        <v>3.8296430163020645E-3</v>
      </c>
      <c r="L172" s="149">
        <f t="shared" si="90"/>
        <v>698212.26525794226</v>
      </c>
      <c r="M172" s="149">
        <f t="shared" si="91"/>
        <v>2528106.0019197678</v>
      </c>
      <c r="N172" s="149">
        <f t="shared" si="92"/>
        <v>1642339.7970502102</v>
      </c>
      <c r="P172" s="149">
        <f t="shared" si="93"/>
        <v>0</v>
      </c>
      <c r="Q172" s="149">
        <f t="shared" si="94"/>
        <v>0</v>
      </c>
      <c r="R172" s="176">
        <f t="shared" si="95"/>
        <v>0</v>
      </c>
      <c r="S172" s="113">
        <f t="shared" si="96"/>
        <v>0</v>
      </c>
      <c r="T172" s="113">
        <f t="shared" si="81"/>
        <v>0</v>
      </c>
      <c r="U172" s="114">
        <f t="shared" si="97"/>
        <v>25</v>
      </c>
      <c r="V172" s="114">
        <f t="shared" si="98"/>
        <v>0</v>
      </c>
      <c r="W172" s="114">
        <f t="shared" si="99"/>
        <v>650</v>
      </c>
      <c r="X172" s="114"/>
      <c r="Y172" s="149">
        <f t="shared" si="100"/>
        <v>81619633.624237359</v>
      </c>
      <c r="Z172" s="149">
        <f t="shared" si="101"/>
        <v>402432.87153622328</v>
      </c>
      <c r="AA172" s="176">
        <f t="shared" si="102"/>
        <v>1642339.7970502102</v>
      </c>
      <c r="AB172" s="113">
        <f t="shared" si="103"/>
        <v>2044772.6685864334</v>
      </c>
      <c r="AC172" s="113">
        <f t="shared" si="82"/>
        <v>994542.02627136942</v>
      </c>
      <c r="AD172" s="114">
        <f t="shared" si="104"/>
        <v>25</v>
      </c>
      <c r="AE172" s="114">
        <f t="shared" si="105"/>
        <v>4.9643392425965261E-3</v>
      </c>
      <c r="AF172" s="114">
        <f t="shared" si="106"/>
        <v>650</v>
      </c>
      <c r="AG172" s="114"/>
      <c r="AH172" s="176">
        <f t="shared" si="107"/>
        <v>100000000</v>
      </c>
      <c r="AI172" s="176">
        <f t="shared" si="108"/>
        <v>483333.33333333337</v>
      </c>
      <c r="AJ172" s="176">
        <f t="shared" si="109"/>
        <v>0</v>
      </c>
      <c r="AK172" s="113">
        <f t="shared" si="110"/>
        <v>483333.33333333337</v>
      </c>
      <c r="AL172" s="113">
        <f t="shared" si="83"/>
        <v>235084.96571901895</v>
      </c>
      <c r="AM172" s="114">
        <f t="shared" si="111"/>
        <v>25</v>
      </c>
      <c r="AN172" s="114">
        <f t="shared" si="112"/>
        <v>2.3452555423710978E-3</v>
      </c>
      <c r="AO172" s="114">
        <f t="shared" si="113"/>
        <v>650</v>
      </c>
    </row>
    <row r="173" spans="1:41" hidden="1" outlineLevel="1" x14ac:dyDescent="0.3">
      <c r="A173" s="146">
        <f t="shared" si="84"/>
        <v>151</v>
      </c>
      <c r="B173" s="147">
        <f t="shared" si="77"/>
        <v>134</v>
      </c>
      <c r="C173" s="147">
        <f t="shared" si="76"/>
        <v>226</v>
      </c>
      <c r="D173" s="149">
        <f t="shared" si="85"/>
        <v>179982500.67682076</v>
      </c>
      <c r="E173" s="149">
        <f t="shared" si="86"/>
        <v>1853312.5878067468</v>
      </c>
      <c r="F173" s="149">
        <f t="shared" si="78"/>
        <v>908098.16812118737</v>
      </c>
      <c r="G173" s="149">
        <f t="shared" si="79"/>
        <v>877828.22918381449</v>
      </c>
      <c r="H173" s="149">
        <f t="shared" si="87"/>
        <v>30269.938937372877</v>
      </c>
      <c r="I173" s="149">
        <f t="shared" si="88"/>
        <v>945214.41968555946</v>
      </c>
      <c r="J173" s="147">
        <f t="shared" si="89"/>
        <v>4.4999999999999998E-2</v>
      </c>
      <c r="K173" s="175">
        <f t="shared" si="80"/>
        <v>3.8296430163020645E-3</v>
      </c>
      <c r="L173" s="149">
        <f t="shared" si="90"/>
        <v>691918.52773114375</v>
      </c>
      <c r="M173" s="149">
        <f t="shared" si="91"/>
        <v>2514961.1766005177</v>
      </c>
      <c r="N173" s="149">
        <f t="shared" si="92"/>
        <v>1637132.9474167032</v>
      </c>
      <c r="P173" s="149">
        <f t="shared" si="93"/>
        <v>0</v>
      </c>
      <c r="Q173" s="149">
        <f t="shared" si="94"/>
        <v>0</v>
      </c>
      <c r="R173" s="176">
        <f t="shared" si="95"/>
        <v>0</v>
      </c>
      <c r="S173" s="113">
        <f t="shared" si="96"/>
        <v>0</v>
      </c>
      <c r="T173" s="113">
        <f t="shared" si="81"/>
        <v>0</v>
      </c>
      <c r="U173" s="114">
        <f t="shared" si="97"/>
        <v>25.166666666666668</v>
      </c>
      <c r="V173" s="114">
        <f t="shared" si="98"/>
        <v>0</v>
      </c>
      <c r="W173" s="114">
        <f t="shared" si="99"/>
        <v>658.52777777777783</v>
      </c>
      <c r="X173" s="114"/>
      <c r="Y173" s="149">
        <f t="shared" si="100"/>
        <v>79982500.676820651</v>
      </c>
      <c r="Z173" s="149">
        <f t="shared" si="101"/>
        <v>394494.89585048059</v>
      </c>
      <c r="AA173" s="176">
        <f t="shared" si="102"/>
        <v>1637132.9474167032</v>
      </c>
      <c r="AB173" s="113">
        <f t="shared" si="103"/>
        <v>2031627.8432671838</v>
      </c>
      <c r="AC173" s="113">
        <f t="shared" si="82"/>
        <v>983411.88312359457</v>
      </c>
      <c r="AD173" s="114">
        <f t="shared" si="104"/>
        <v>25.166666666666668</v>
      </c>
      <c r="AE173" s="114">
        <f t="shared" si="105"/>
        <v>4.9087822073535133E-3</v>
      </c>
      <c r="AF173" s="114">
        <f t="shared" si="106"/>
        <v>658.52777777777783</v>
      </c>
      <c r="AG173" s="114"/>
      <c r="AH173" s="176">
        <f t="shared" si="107"/>
        <v>100000000</v>
      </c>
      <c r="AI173" s="176">
        <f t="shared" si="108"/>
        <v>483333.33333333337</v>
      </c>
      <c r="AJ173" s="176">
        <f t="shared" si="109"/>
        <v>0</v>
      </c>
      <c r="AK173" s="113">
        <f t="shared" si="110"/>
        <v>483333.33333333337</v>
      </c>
      <c r="AL173" s="113">
        <f t="shared" si="83"/>
        <v>233958.0770587163</v>
      </c>
      <c r="AM173" s="114">
        <f t="shared" si="111"/>
        <v>25.166666666666668</v>
      </c>
      <c r="AN173" s="114">
        <f t="shared" si="112"/>
        <v>2.3340134713686978E-3</v>
      </c>
      <c r="AO173" s="114">
        <f t="shared" si="113"/>
        <v>658.52777777777783</v>
      </c>
    </row>
    <row r="174" spans="1:41" hidden="1" outlineLevel="1" x14ac:dyDescent="0.3">
      <c r="A174" s="146">
        <f t="shared" si="84"/>
        <v>152</v>
      </c>
      <c r="B174" s="147">
        <f t="shared" si="77"/>
        <v>133</v>
      </c>
      <c r="C174" s="147">
        <f t="shared" si="76"/>
        <v>227</v>
      </c>
      <c r="D174" s="149">
        <f t="shared" si="85"/>
        <v>178350553.39221913</v>
      </c>
      <c r="E174" s="149">
        <f t="shared" si="86"/>
        <v>1846215.062197828</v>
      </c>
      <c r="F174" s="149">
        <f t="shared" si="78"/>
        <v>899912.50338410377</v>
      </c>
      <c r="G174" s="149">
        <f t="shared" si="79"/>
        <v>869915.41993796697</v>
      </c>
      <c r="H174" s="149">
        <f t="shared" si="87"/>
        <v>29997.083446136792</v>
      </c>
      <c r="I174" s="149">
        <f t="shared" si="88"/>
        <v>946302.5588137242</v>
      </c>
      <c r="J174" s="147">
        <f t="shared" si="89"/>
        <v>4.4999999999999998E-2</v>
      </c>
      <c r="K174" s="175">
        <f t="shared" si="80"/>
        <v>3.8296430163020645E-3</v>
      </c>
      <c r="L174" s="149">
        <f t="shared" si="90"/>
        <v>685644.72578789841</v>
      </c>
      <c r="M174" s="149">
        <f t="shared" si="91"/>
        <v>2501862.7045395896</v>
      </c>
      <c r="N174" s="149">
        <f t="shared" si="92"/>
        <v>1631947.2846016227</v>
      </c>
      <c r="P174" s="149">
        <f t="shared" si="93"/>
        <v>0</v>
      </c>
      <c r="Q174" s="149">
        <f t="shared" si="94"/>
        <v>0</v>
      </c>
      <c r="R174" s="176">
        <f t="shared" si="95"/>
        <v>0</v>
      </c>
      <c r="S174" s="113">
        <f t="shared" si="96"/>
        <v>0</v>
      </c>
      <c r="T174" s="113">
        <f t="shared" si="81"/>
        <v>0</v>
      </c>
      <c r="U174" s="114">
        <f t="shared" si="97"/>
        <v>25.333333333333332</v>
      </c>
      <c r="V174" s="114">
        <f t="shared" si="98"/>
        <v>0</v>
      </c>
      <c r="W174" s="114">
        <f t="shared" si="99"/>
        <v>667.11111111111109</v>
      </c>
      <c r="X174" s="114"/>
      <c r="Y174" s="149">
        <f t="shared" si="100"/>
        <v>78350553.392219022</v>
      </c>
      <c r="Z174" s="149">
        <f t="shared" si="101"/>
        <v>386582.08660463314</v>
      </c>
      <c r="AA174" s="176">
        <f t="shared" si="102"/>
        <v>1631947.2846016227</v>
      </c>
      <c r="AB174" s="113">
        <f t="shared" si="103"/>
        <v>2018529.3712062559</v>
      </c>
      <c r="AC174" s="113">
        <f t="shared" si="82"/>
        <v>972387.9227035779</v>
      </c>
      <c r="AD174" s="114">
        <f t="shared" si="104"/>
        <v>25.333333333333332</v>
      </c>
      <c r="AE174" s="114">
        <f t="shared" si="105"/>
        <v>4.85375519202758E-3</v>
      </c>
      <c r="AF174" s="114">
        <f t="shared" si="106"/>
        <v>667.11111111111109</v>
      </c>
      <c r="AG174" s="114"/>
      <c r="AH174" s="176">
        <f t="shared" si="107"/>
        <v>100000000</v>
      </c>
      <c r="AI174" s="176">
        <f t="shared" si="108"/>
        <v>483333.33333333337</v>
      </c>
      <c r="AJ174" s="176">
        <f t="shared" si="109"/>
        <v>0</v>
      </c>
      <c r="AK174" s="113">
        <f t="shared" si="110"/>
        <v>483333.33333333337</v>
      </c>
      <c r="AL174" s="113">
        <f t="shared" si="83"/>
        <v>232836.59018175968</v>
      </c>
      <c r="AM174" s="114">
        <f t="shared" si="111"/>
        <v>25.333333333333332</v>
      </c>
      <c r="AN174" s="114">
        <f t="shared" si="112"/>
        <v>2.3228252896581639E-3</v>
      </c>
      <c r="AO174" s="114">
        <f t="shared" si="113"/>
        <v>667.11111111111109</v>
      </c>
    </row>
    <row r="175" spans="1:41" hidden="1" outlineLevel="1" x14ac:dyDescent="0.3">
      <c r="A175" s="146">
        <f t="shared" si="84"/>
        <v>153</v>
      </c>
      <c r="B175" s="147">
        <f t="shared" si="77"/>
        <v>132</v>
      </c>
      <c r="C175" s="147">
        <f t="shared" si="76"/>
        <v>228</v>
      </c>
      <c r="D175" s="149">
        <f t="shared" si="85"/>
        <v>176723770.6633172</v>
      </c>
      <c r="E175" s="149">
        <f t="shared" si="86"/>
        <v>1839144.7175782903</v>
      </c>
      <c r="F175" s="149">
        <f t="shared" si="78"/>
        <v>891752.76696109562</v>
      </c>
      <c r="G175" s="149">
        <f t="shared" si="79"/>
        <v>862027.6747290591</v>
      </c>
      <c r="H175" s="149">
        <f t="shared" si="87"/>
        <v>29725.092232036521</v>
      </c>
      <c r="I175" s="149">
        <f t="shared" si="88"/>
        <v>947391.95061719464</v>
      </c>
      <c r="J175" s="147">
        <f t="shared" si="89"/>
        <v>4.4999999999999998E-2</v>
      </c>
      <c r="K175" s="175">
        <f t="shared" si="80"/>
        <v>3.8296430163020645E-3</v>
      </c>
      <c r="L175" s="149">
        <f t="shared" si="90"/>
        <v>679390.77828473854</v>
      </c>
      <c r="M175" s="149">
        <f t="shared" si="91"/>
        <v>2488810.4036309924</v>
      </c>
      <c r="N175" s="149">
        <f t="shared" si="92"/>
        <v>1626782.7289019332</v>
      </c>
      <c r="P175" s="149">
        <f t="shared" si="93"/>
        <v>0</v>
      </c>
      <c r="Q175" s="149">
        <f t="shared" si="94"/>
        <v>0</v>
      </c>
      <c r="R175" s="176">
        <f t="shared" si="95"/>
        <v>0</v>
      </c>
      <c r="S175" s="113">
        <f t="shared" si="96"/>
        <v>0</v>
      </c>
      <c r="T175" s="113">
        <f t="shared" si="81"/>
        <v>0</v>
      </c>
      <c r="U175" s="114">
        <f t="shared" si="97"/>
        <v>25.5</v>
      </c>
      <c r="V175" s="114">
        <f t="shared" si="98"/>
        <v>0</v>
      </c>
      <c r="W175" s="114">
        <f t="shared" si="99"/>
        <v>675.75</v>
      </c>
      <c r="X175" s="114"/>
      <c r="Y175" s="149">
        <f t="shared" si="100"/>
        <v>76723770.663317084</v>
      </c>
      <c r="Z175" s="149">
        <f t="shared" si="101"/>
        <v>378694.34139572526</v>
      </c>
      <c r="AA175" s="176">
        <f t="shared" si="102"/>
        <v>1626782.7289019332</v>
      </c>
      <c r="AB175" s="113">
        <f t="shared" si="103"/>
        <v>2005477.0702976584</v>
      </c>
      <c r="AC175" s="113">
        <f t="shared" si="82"/>
        <v>961469.18843368662</v>
      </c>
      <c r="AD175" s="114">
        <f t="shared" si="104"/>
        <v>25.5</v>
      </c>
      <c r="AE175" s="114">
        <f t="shared" si="105"/>
        <v>4.7992534217819105E-3</v>
      </c>
      <c r="AF175" s="114">
        <f t="shared" si="106"/>
        <v>675.75</v>
      </c>
      <c r="AG175" s="114"/>
      <c r="AH175" s="176">
        <f t="shared" si="107"/>
        <v>100000000</v>
      </c>
      <c r="AI175" s="176">
        <f t="shared" si="108"/>
        <v>483333.33333333337</v>
      </c>
      <c r="AJ175" s="176">
        <f t="shared" si="109"/>
        <v>0</v>
      </c>
      <c r="AK175" s="113">
        <f t="shared" si="110"/>
        <v>483333.33333333337</v>
      </c>
      <c r="AL175" s="113">
        <f t="shared" si="83"/>
        <v>231720.47919449661</v>
      </c>
      <c r="AM175" s="114">
        <f t="shared" si="111"/>
        <v>25.5</v>
      </c>
      <c r="AN175" s="114">
        <f t="shared" si="112"/>
        <v>2.3116907389191406E-3</v>
      </c>
      <c r="AO175" s="114">
        <f t="shared" si="113"/>
        <v>675.75</v>
      </c>
    </row>
    <row r="176" spans="1:41" hidden="1" outlineLevel="1" x14ac:dyDescent="0.3">
      <c r="A176" s="146">
        <f t="shared" si="84"/>
        <v>154</v>
      </c>
      <c r="B176" s="147">
        <f t="shared" si="77"/>
        <v>131</v>
      </c>
      <c r="C176" s="147">
        <f t="shared" si="76"/>
        <v>229</v>
      </c>
      <c r="D176" s="149">
        <f t="shared" si="85"/>
        <v>175102131.4623957</v>
      </c>
      <c r="E176" s="149">
        <f t="shared" si="86"/>
        <v>1832101.4498546477</v>
      </c>
      <c r="F176" s="149">
        <f t="shared" si="78"/>
        <v>883618.853316586</v>
      </c>
      <c r="G176" s="149">
        <f t="shared" si="79"/>
        <v>854164.89153936657</v>
      </c>
      <c r="H176" s="149">
        <f t="shared" si="87"/>
        <v>29453.961777219432</v>
      </c>
      <c r="I176" s="149">
        <f t="shared" si="88"/>
        <v>948482.59653806174</v>
      </c>
      <c r="J176" s="147">
        <f t="shared" si="89"/>
        <v>4.4999999999999998E-2</v>
      </c>
      <c r="K176" s="175">
        <f t="shared" si="80"/>
        <v>3.8296430163020645E-3</v>
      </c>
      <c r="L176" s="149">
        <f t="shared" si="90"/>
        <v>673156.60438342439</v>
      </c>
      <c r="M176" s="149">
        <f t="shared" si="91"/>
        <v>2475804.0924608526</v>
      </c>
      <c r="N176" s="149">
        <f t="shared" si="92"/>
        <v>1621639.2009214861</v>
      </c>
      <c r="P176" s="149">
        <f t="shared" si="93"/>
        <v>0</v>
      </c>
      <c r="Q176" s="149">
        <f t="shared" si="94"/>
        <v>0</v>
      </c>
      <c r="R176" s="176">
        <f t="shared" si="95"/>
        <v>0</v>
      </c>
      <c r="S176" s="113">
        <f t="shared" si="96"/>
        <v>0</v>
      </c>
      <c r="T176" s="113">
        <f t="shared" si="81"/>
        <v>0</v>
      </c>
      <c r="U176" s="114">
        <f t="shared" si="97"/>
        <v>25.666666666666668</v>
      </c>
      <c r="V176" s="114">
        <f t="shared" si="98"/>
        <v>0</v>
      </c>
      <c r="W176" s="114">
        <f t="shared" si="99"/>
        <v>684.44444444444446</v>
      </c>
      <c r="X176" s="114"/>
      <c r="Y176" s="149">
        <f t="shared" si="100"/>
        <v>75102131.462395594</v>
      </c>
      <c r="Z176" s="149">
        <f t="shared" si="101"/>
        <v>370831.55820603261</v>
      </c>
      <c r="AA176" s="176">
        <f t="shared" si="102"/>
        <v>1621639.2009214861</v>
      </c>
      <c r="AB176" s="113">
        <f t="shared" si="103"/>
        <v>1992470.7591275186</v>
      </c>
      <c r="AC176" s="113">
        <f t="shared" si="82"/>
        <v>950654.73214752751</v>
      </c>
      <c r="AD176" s="114">
        <f t="shared" si="104"/>
        <v>25.666666666666668</v>
      </c>
      <c r="AE176" s="114">
        <f t="shared" si="105"/>
        <v>4.7452721637650918E-3</v>
      </c>
      <c r="AF176" s="114">
        <f t="shared" si="106"/>
        <v>684.44444444444446</v>
      </c>
      <c r="AG176" s="114"/>
      <c r="AH176" s="176">
        <f t="shared" si="107"/>
        <v>100000000</v>
      </c>
      <c r="AI176" s="176">
        <f t="shared" si="108"/>
        <v>483333.33333333337</v>
      </c>
      <c r="AJ176" s="176">
        <f t="shared" si="109"/>
        <v>0</v>
      </c>
      <c r="AK176" s="113">
        <f t="shared" si="110"/>
        <v>483333.33333333337</v>
      </c>
      <c r="AL176" s="113">
        <f t="shared" si="83"/>
        <v>230609.71832739687</v>
      </c>
      <c r="AM176" s="114">
        <f t="shared" si="111"/>
        <v>25.666666666666668</v>
      </c>
      <c r="AN176" s="114">
        <f t="shared" si="112"/>
        <v>2.300609562069541E-3</v>
      </c>
      <c r="AO176" s="114">
        <f t="shared" si="113"/>
        <v>684.44444444444446</v>
      </c>
    </row>
    <row r="177" spans="1:41" hidden="1" outlineLevel="1" x14ac:dyDescent="0.3">
      <c r="A177" s="146">
        <f t="shared" si="84"/>
        <v>155</v>
      </c>
      <c r="B177" s="147">
        <f t="shared" si="77"/>
        <v>130</v>
      </c>
      <c r="C177" s="147">
        <f t="shared" si="76"/>
        <v>230</v>
      </c>
      <c r="D177" s="149">
        <f t="shared" si="85"/>
        <v>173485614.84082586</v>
      </c>
      <c r="E177" s="149">
        <f t="shared" si="86"/>
        <v>1825085.1553320549</v>
      </c>
      <c r="F177" s="149">
        <f t="shared" si="78"/>
        <v>875510.65731197852</v>
      </c>
      <c r="G177" s="149">
        <f t="shared" si="79"/>
        <v>846326.96873491257</v>
      </c>
      <c r="H177" s="149">
        <f t="shared" si="87"/>
        <v>29183.688577065943</v>
      </c>
      <c r="I177" s="149">
        <f t="shared" si="88"/>
        <v>949574.49802007643</v>
      </c>
      <c r="J177" s="147">
        <f t="shared" si="89"/>
        <v>4.4999999999999998E-2</v>
      </c>
      <c r="K177" s="175">
        <f t="shared" si="80"/>
        <v>3.8296430163020645E-3</v>
      </c>
      <c r="L177" s="149">
        <f t="shared" si="90"/>
        <v>666942.12354976858</v>
      </c>
      <c r="M177" s="149">
        <f t="shared" si="91"/>
        <v>2462843.5903047575</v>
      </c>
      <c r="N177" s="149">
        <f t="shared" si="92"/>
        <v>1616516.6215698449</v>
      </c>
      <c r="P177" s="149">
        <f t="shared" si="93"/>
        <v>0</v>
      </c>
      <c r="Q177" s="149">
        <f t="shared" si="94"/>
        <v>0</v>
      </c>
      <c r="R177" s="176">
        <f t="shared" si="95"/>
        <v>0</v>
      </c>
      <c r="S177" s="113">
        <f t="shared" si="96"/>
        <v>0</v>
      </c>
      <c r="T177" s="113">
        <f t="shared" si="81"/>
        <v>0</v>
      </c>
      <c r="U177" s="114">
        <f t="shared" si="97"/>
        <v>25.833333333333332</v>
      </c>
      <c r="V177" s="114">
        <f t="shared" si="98"/>
        <v>0</v>
      </c>
      <c r="W177" s="114">
        <f t="shared" si="99"/>
        <v>693.19444444444434</v>
      </c>
      <c r="X177" s="114"/>
      <c r="Y177" s="149">
        <f t="shared" si="100"/>
        <v>73485614.840825751</v>
      </c>
      <c r="Z177" s="149">
        <f t="shared" si="101"/>
        <v>362993.63540157874</v>
      </c>
      <c r="AA177" s="176">
        <f t="shared" si="102"/>
        <v>1616516.6215698449</v>
      </c>
      <c r="AB177" s="113">
        <f t="shared" si="103"/>
        <v>1979510.2569714235</v>
      </c>
      <c r="AC177" s="113">
        <f t="shared" si="82"/>
        <v>939943.61401679914</v>
      </c>
      <c r="AD177" s="114">
        <f t="shared" si="104"/>
        <v>25.833333333333332</v>
      </c>
      <c r="AE177" s="114">
        <f t="shared" si="105"/>
        <v>4.6918067267459895E-3</v>
      </c>
      <c r="AF177" s="114">
        <f t="shared" si="106"/>
        <v>693.19444444444434</v>
      </c>
      <c r="AG177" s="114"/>
      <c r="AH177" s="176">
        <f t="shared" si="107"/>
        <v>100000000</v>
      </c>
      <c r="AI177" s="176">
        <f t="shared" si="108"/>
        <v>483333.33333333337</v>
      </c>
      <c r="AJ177" s="176">
        <f t="shared" si="109"/>
        <v>0</v>
      </c>
      <c r="AK177" s="113">
        <f t="shared" si="110"/>
        <v>483333.33333333337</v>
      </c>
      <c r="AL177" s="113">
        <f t="shared" si="83"/>
        <v>229504.28193445731</v>
      </c>
      <c r="AM177" s="114">
        <f t="shared" si="111"/>
        <v>25.833333333333332</v>
      </c>
      <c r="AN177" s="114">
        <f t="shared" si="112"/>
        <v>2.2895815032596086E-3</v>
      </c>
      <c r="AO177" s="114">
        <f t="shared" si="113"/>
        <v>693.19444444444434</v>
      </c>
    </row>
    <row r="178" spans="1:41" hidden="1" outlineLevel="1" x14ac:dyDescent="0.3">
      <c r="A178" s="146">
        <f t="shared" si="84"/>
        <v>156</v>
      </c>
      <c r="B178" s="147">
        <f t="shared" si="77"/>
        <v>129</v>
      </c>
      <c r="C178" s="147">
        <f t="shared" si="76"/>
        <v>231</v>
      </c>
      <c r="D178" s="149">
        <f t="shared" si="85"/>
        <v>171874199.92876473</v>
      </c>
      <c r="E178" s="149">
        <f t="shared" si="86"/>
        <v>1818095.730712781</v>
      </c>
      <c r="F178" s="149">
        <f t="shared" si="78"/>
        <v>867428.07420412928</v>
      </c>
      <c r="G178" s="149">
        <f t="shared" si="79"/>
        <v>838513.80506399169</v>
      </c>
      <c r="H178" s="149">
        <f t="shared" si="87"/>
        <v>28914.269140137592</v>
      </c>
      <c r="I178" s="149">
        <f t="shared" si="88"/>
        <v>950667.65650865168</v>
      </c>
      <c r="J178" s="147">
        <f t="shared" si="89"/>
        <v>4.4999999999999998E-2</v>
      </c>
      <c r="K178" s="175">
        <f t="shared" si="80"/>
        <v>3.8296430163020645E-3</v>
      </c>
      <c r="L178" s="149">
        <f t="shared" si="90"/>
        <v>660747.25555246591</v>
      </c>
      <c r="M178" s="149">
        <f t="shared" si="91"/>
        <v>2449928.7171251094</v>
      </c>
      <c r="N178" s="149">
        <f t="shared" si="92"/>
        <v>1611414.9120611176</v>
      </c>
      <c r="P178" s="149">
        <f t="shared" si="93"/>
        <v>0</v>
      </c>
      <c r="Q178" s="149">
        <f t="shared" si="94"/>
        <v>0</v>
      </c>
      <c r="R178" s="176">
        <f t="shared" si="95"/>
        <v>0</v>
      </c>
      <c r="S178" s="113">
        <f t="shared" si="96"/>
        <v>0</v>
      </c>
      <c r="T178" s="113">
        <f t="shared" si="81"/>
        <v>0</v>
      </c>
      <c r="U178" s="114">
        <f t="shared" si="97"/>
        <v>26</v>
      </c>
      <c r="V178" s="114">
        <f t="shared" si="98"/>
        <v>0</v>
      </c>
      <c r="W178" s="114">
        <f t="shared" si="99"/>
        <v>702</v>
      </c>
      <c r="X178" s="114"/>
      <c r="Y178" s="149">
        <f t="shared" si="100"/>
        <v>71874199.928764641</v>
      </c>
      <c r="Z178" s="149">
        <f t="shared" si="101"/>
        <v>355180.47173065779</v>
      </c>
      <c r="AA178" s="176">
        <f t="shared" si="102"/>
        <v>1611414.9120611176</v>
      </c>
      <c r="AB178" s="113">
        <f t="shared" si="103"/>
        <v>1966595.3837917754</v>
      </c>
      <c r="AC178" s="113">
        <f t="shared" si="82"/>
        <v>929334.90247877978</v>
      </c>
      <c r="AD178" s="114">
        <f t="shared" si="104"/>
        <v>26</v>
      </c>
      <c r="AE178" s="114">
        <f t="shared" si="105"/>
        <v>4.6388524607517984E-3</v>
      </c>
      <c r="AF178" s="114">
        <f t="shared" si="106"/>
        <v>702</v>
      </c>
      <c r="AG178" s="114"/>
      <c r="AH178" s="176">
        <f t="shared" si="107"/>
        <v>100000000</v>
      </c>
      <c r="AI178" s="176">
        <f t="shared" si="108"/>
        <v>483333.33333333337</v>
      </c>
      <c r="AJ178" s="176">
        <f t="shared" si="109"/>
        <v>0</v>
      </c>
      <c r="AK178" s="113">
        <f t="shared" si="110"/>
        <v>483333.33333333337</v>
      </c>
      <c r="AL178" s="113">
        <f t="shared" si="83"/>
        <v>228404.14449261024</v>
      </c>
      <c r="AM178" s="114">
        <f t="shared" si="111"/>
        <v>26</v>
      </c>
      <c r="AN178" s="114">
        <f t="shared" si="112"/>
        <v>2.2786063078660181E-3</v>
      </c>
      <c r="AO178" s="114">
        <f t="shared" si="113"/>
        <v>702</v>
      </c>
    </row>
    <row r="179" spans="1:41" hidden="1" outlineLevel="1" x14ac:dyDescent="0.3">
      <c r="A179" s="146">
        <f t="shared" si="84"/>
        <v>157</v>
      </c>
      <c r="B179" s="147">
        <f t="shared" si="77"/>
        <v>128</v>
      </c>
      <c r="C179" s="147">
        <f t="shared" si="76"/>
        <v>232</v>
      </c>
      <c r="D179" s="149">
        <f t="shared" si="85"/>
        <v>170267865.93485194</v>
      </c>
      <c r="E179" s="149">
        <f t="shared" si="86"/>
        <v>1811133.0730946881</v>
      </c>
      <c r="F179" s="149">
        <f t="shared" si="78"/>
        <v>859370.99964382371</v>
      </c>
      <c r="G179" s="149">
        <f t="shared" si="79"/>
        <v>830725.29965569626</v>
      </c>
      <c r="H179" s="149">
        <f t="shared" si="87"/>
        <v>28645.699988127453</v>
      </c>
      <c r="I179" s="149">
        <f t="shared" si="88"/>
        <v>951762.07345086441</v>
      </c>
      <c r="J179" s="147">
        <f t="shared" si="89"/>
        <v>4.4999999999999998E-2</v>
      </c>
      <c r="K179" s="175">
        <f t="shared" si="80"/>
        <v>3.8296430163020645E-3</v>
      </c>
      <c r="L179" s="149">
        <f t="shared" si="90"/>
        <v>654571.92046192638</v>
      </c>
      <c r="M179" s="149">
        <f t="shared" si="91"/>
        <v>2437059.2935684873</v>
      </c>
      <c r="N179" s="149">
        <f t="shared" si="92"/>
        <v>1606333.9939127909</v>
      </c>
      <c r="P179" s="149">
        <f t="shared" si="93"/>
        <v>0</v>
      </c>
      <c r="Q179" s="149">
        <f t="shared" si="94"/>
        <v>0</v>
      </c>
      <c r="R179" s="176">
        <f t="shared" si="95"/>
        <v>0</v>
      </c>
      <c r="S179" s="113">
        <f t="shared" si="96"/>
        <v>0</v>
      </c>
      <c r="T179" s="113">
        <f t="shared" si="81"/>
        <v>0</v>
      </c>
      <c r="U179" s="114">
        <f t="shared" si="97"/>
        <v>26.166666666666668</v>
      </c>
      <c r="V179" s="114">
        <f t="shared" si="98"/>
        <v>0</v>
      </c>
      <c r="W179" s="114">
        <f t="shared" si="99"/>
        <v>710.8611111111112</v>
      </c>
      <c r="X179" s="114"/>
      <c r="Y179" s="149">
        <f t="shared" si="100"/>
        <v>70267865.934851855</v>
      </c>
      <c r="Z179" s="149">
        <f t="shared" si="101"/>
        <v>347391.96632236242</v>
      </c>
      <c r="AA179" s="176">
        <f t="shared" si="102"/>
        <v>1606333.9939127909</v>
      </c>
      <c r="AB179" s="113">
        <f t="shared" si="103"/>
        <v>1953725.9602351533</v>
      </c>
      <c r="AC179" s="113">
        <f t="shared" si="82"/>
        <v>918827.67416443652</v>
      </c>
      <c r="AD179" s="114">
        <f t="shared" si="104"/>
        <v>26.166666666666668</v>
      </c>
      <c r="AE179" s="114">
        <f t="shared" si="105"/>
        <v>4.5864047567091915E-3</v>
      </c>
      <c r="AF179" s="114">
        <f t="shared" si="106"/>
        <v>710.8611111111112</v>
      </c>
      <c r="AG179" s="114"/>
      <c r="AH179" s="176">
        <f t="shared" si="107"/>
        <v>100000000</v>
      </c>
      <c r="AI179" s="176">
        <f t="shared" si="108"/>
        <v>483333.33333333337</v>
      </c>
      <c r="AJ179" s="176">
        <f t="shared" si="109"/>
        <v>0</v>
      </c>
      <c r="AK179" s="113">
        <f t="shared" si="110"/>
        <v>483333.33333333337</v>
      </c>
      <c r="AL179" s="113">
        <f t="shared" si="83"/>
        <v>227309.28060113327</v>
      </c>
      <c r="AM179" s="114">
        <f t="shared" si="111"/>
        <v>26.166666666666668</v>
      </c>
      <c r="AN179" s="114">
        <f t="shared" si="112"/>
        <v>2.2676837224859842E-3</v>
      </c>
      <c r="AO179" s="114">
        <f t="shared" si="113"/>
        <v>710.8611111111112</v>
      </c>
    </row>
    <row r="180" spans="1:41" hidden="1" outlineLevel="1" x14ac:dyDescent="0.3">
      <c r="A180" s="146">
        <f t="shared" si="84"/>
        <v>158</v>
      </c>
      <c r="B180" s="147">
        <f t="shared" si="77"/>
        <v>127</v>
      </c>
      <c r="C180" s="147">
        <f t="shared" si="76"/>
        <v>233</v>
      </c>
      <c r="D180" s="149">
        <f t="shared" si="85"/>
        <v>168666592.14590737</v>
      </c>
      <c r="E180" s="149">
        <f t="shared" si="86"/>
        <v>1804197.0799697174</v>
      </c>
      <c r="F180" s="149">
        <f t="shared" si="78"/>
        <v>851339.32967425976</v>
      </c>
      <c r="G180" s="149">
        <f t="shared" si="79"/>
        <v>822961.35201845109</v>
      </c>
      <c r="H180" s="149">
        <f t="shared" si="87"/>
        <v>28377.977655808674</v>
      </c>
      <c r="I180" s="149">
        <f t="shared" si="88"/>
        <v>952857.75029545766</v>
      </c>
      <c r="J180" s="147">
        <f t="shared" si="89"/>
        <v>4.4999999999999998E-2</v>
      </c>
      <c r="K180" s="175">
        <f t="shared" si="80"/>
        <v>3.8296430163020645E-3</v>
      </c>
      <c r="L180" s="149">
        <f t="shared" si="90"/>
        <v>648416.03864911362</v>
      </c>
      <c r="M180" s="149">
        <f t="shared" si="91"/>
        <v>2424235.1409630226</v>
      </c>
      <c r="N180" s="149">
        <f t="shared" si="92"/>
        <v>1601273.7889445713</v>
      </c>
      <c r="P180" s="149">
        <f t="shared" si="93"/>
        <v>0</v>
      </c>
      <c r="Q180" s="149">
        <f t="shared" si="94"/>
        <v>0</v>
      </c>
      <c r="R180" s="176">
        <f t="shared" si="95"/>
        <v>0</v>
      </c>
      <c r="S180" s="113">
        <f t="shared" si="96"/>
        <v>0</v>
      </c>
      <c r="T180" s="113">
        <f t="shared" si="81"/>
        <v>0</v>
      </c>
      <c r="U180" s="114">
        <f t="shared" si="97"/>
        <v>26.333333333333332</v>
      </c>
      <c r="V180" s="114">
        <f t="shared" si="98"/>
        <v>0</v>
      </c>
      <c r="W180" s="114">
        <f t="shared" si="99"/>
        <v>719.77777777777771</v>
      </c>
      <c r="X180" s="114"/>
      <c r="Y180" s="149">
        <f t="shared" si="100"/>
        <v>68666592.145907283</v>
      </c>
      <c r="Z180" s="149">
        <f t="shared" si="101"/>
        <v>339628.01868511731</v>
      </c>
      <c r="AA180" s="176">
        <f t="shared" si="102"/>
        <v>1601273.7889445713</v>
      </c>
      <c r="AB180" s="113">
        <f t="shared" si="103"/>
        <v>1940901.8076296886</v>
      </c>
      <c r="AC180" s="113">
        <f t="shared" si="82"/>
        <v>908421.01382716338</v>
      </c>
      <c r="AD180" s="114">
        <f t="shared" si="104"/>
        <v>26.333333333333332</v>
      </c>
      <c r="AE180" s="114">
        <f t="shared" si="105"/>
        <v>4.5344590460886115E-3</v>
      </c>
      <c r="AF180" s="114">
        <f t="shared" si="106"/>
        <v>719.77777777777771</v>
      </c>
      <c r="AG180" s="114"/>
      <c r="AH180" s="176">
        <f t="shared" si="107"/>
        <v>100000000</v>
      </c>
      <c r="AI180" s="176">
        <f t="shared" si="108"/>
        <v>483333.33333333337</v>
      </c>
      <c r="AJ180" s="176">
        <f t="shared" si="109"/>
        <v>0</v>
      </c>
      <c r="AK180" s="113">
        <f t="shared" si="110"/>
        <v>483333.33333333337</v>
      </c>
      <c r="AL180" s="113">
        <f t="shared" si="83"/>
        <v>226219.66498106363</v>
      </c>
      <c r="AM180" s="114">
        <f t="shared" si="111"/>
        <v>26.333333333333332</v>
      </c>
      <c r="AN180" s="114">
        <f t="shared" si="112"/>
        <v>2.2568134949314208E-3</v>
      </c>
      <c r="AO180" s="114">
        <f t="shared" si="113"/>
        <v>719.77777777777771</v>
      </c>
    </row>
    <row r="181" spans="1:41" hidden="1" outlineLevel="1" x14ac:dyDescent="0.3">
      <c r="A181" s="146">
        <f t="shared" si="84"/>
        <v>159</v>
      </c>
      <c r="B181" s="147">
        <f t="shared" si="77"/>
        <v>126</v>
      </c>
      <c r="C181" s="147">
        <f t="shared" si="76"/>
        <v>234</v>
      </c>
      <c r="D181" s="149">
        <f t="shared" si="85"/>
        <v>167070357.92663014</v>
      </c>
      <c r="E181" s="149">
        <f t="shared" si="86"/>
        <v>1797287.6492223789</v>
      </c>
      <c r="F181" s="149">
        <f t="shared" si="78"/>
        <v>843332.96072953683</v>
      </c>
      <c r="G181" s="149">
        <f t="shared" si="79"/>
        <v>815221.8620385523</v>
      </c>
      <c r="H181" s="149">
        <f t="shared" si="87"/>
        <v>28111.098690984538</v>
      </c>
      <c r="I181" s="149">
        <f t="shared" si="88"/>
        <v>953954.68849284202</v>
      </c>
      <c r="J181" s="147">
        <f t="shared" si="89"/>
        <v>4.4999999999999998E-2</v>
      </c>
      <c r="K181" s="175">
        <f t="shared" si="80"/>
        <v>3.8296430163020645E-3</v>
      </c>
      <c r="L181" s="149">
        <f t="shared" si="90"/>
        <v>642279.53078438761</v>
      </c>
      <c r="M181" s="149">
        <f t="shared" si="91"/>
        <v>2411456.0813157819</v>
      </c>
      <c r="N181" s="149">
        <f t="shared" si="92"/>
        <v>1596234.2192772296</v>
      </c>
      <c r="P181" s="149">
        <f t="shared" si="93"/>
        <v>0</v>
      </c>
      <c r="Q181" s="149">
        <f t="shared" si="94"/>
        <v>0</v>
      </c>
      <c r="R181" s="176">
        <f t="shared" si="95"/>
        <v>0</v>
      </c>
      <c r="S181" s="113">
        <f t="shared" si="96"/>
        <v>0</v>
      </c>
      <c r="T181" s="113">
        <f t="shared" si="81"/>
        <v>0</v>
      </c>
      <c r="U181" s="114">
        <f t="shared" si="97"/>
        <v>26.5</v>
      </c>
      <c r="V181" s="114">
        <f t="shared" si="98"/>
        <v>0</v>
      </c>
      <c r="W181" s="114">
        <f t="shared" si="99"/>
        <v>728.75</v>
      </c>
      <c r="X181" s="114"/>
      <c r="Y181" s="149">
        <f t="shared" si="100"/>
        <v>67070357.92663005</v>
      </c>
      <c r="Z181" s="149">
        <f t="shared" si="101"/>
        <v>331888.52870521857</v>
      </c>
      <c r="AA181" s="176">
        <f t="shared" si="102"/>
        <v>1596234.2192772296</v>
      </c>
      <c r="AB181" s="113">
        <f t="shared" si="103"/>
        <v>1928122.7479824482</v>
      </c>
      <c r="AC181" s="113">
        <f t="shared" si="82"/>
        <v>898114.01427213172</v>
      </c>
      <c r="AD181" s="114">
        <f t="shared" si="104"/>
        <v>26.5</v>
      </c>
      <c r="AE181" s="114">
        <f t="shared" si="105"/>
        <v>4.483010800551618E-3</v>
      </c>
      <c r="AF181" s="114">
        <f t="shared" si="106"/>
        <v>728.75</v>
      </c>
      <c r="AG181" s="114"/>
      <c r="AH181" s="176">
        <f t="shared" si="107"/>
        <v>100000000</v>
      </c>
      <c r="AI181" s="176">
        <f t="shared" si="108"/>
        <v>483333.33333333337</v>
      </c>
      <c r="AJ181" s="176">
        <f t="shared" si="109"/>
        <v>0</v>
      </c>
      <c r="AK181" s="113">
        <f t="shared" si="110"/>
        <v>483333.33333333337</v>
      </c>
      <c r="AL181" s="113">
        <f t="shared" si="83"/>
        <v>225135.2724746142</v>
      </c>
      <c r="AM181" s="114">
        <f t="shared" si="111"/>
        <v>26.5</v>
      </c>
      <c r="AN181" s="114">
        <f t="shared" si="112"/>
        <v>2.2459953742231154E-3</v>
      </c>
      <c r="AO181" s="114">
        <f t="shared" si="113"/>
        <v>728.75</v>
      </c>
    </row>
    <row r="182" spans="1:41" hidden="1" outlineLevel="1" x14ac:dyDescent="0.3">
      <c r="A182" s="146">
        <f t="shared" si="84"/>
        <v>160</v>
      </c>
      <c r="B182" s="147">
        <f t="shared" si="77"/>
        <v>125</v>
      </c>
      <c r="C182" s="147">
        <f t="shared" si="76"/>
        <v>235</v>
      </c>
      <c r="D182" s="149">
        <f t="shared" si="85"/>
        <v>165479142.71929869</v>
      </c>
      <c r="E182" s="149">
        <f t="shared" si="86"/>
        <v>1790404.6791282485</v>
      </c>
      <c r="F182" s="149">
        <f t="shared" si="78"/>
        <v>835351.78963315068</v>
      </c>
      <c r="G182" s="149">
        <f t="shared" si="79"/>
        <v>807506.72997871239</v>
      </c>
      <c r="H182" s="149">
        <f t="shared" si="87"/>
        <v>27845.059654438286</v>
      </c>
      <c r="I182" s="149">
        <f t="shared" si="88"/>
        <v>955052.8894950978</v>
      </c>
      <c r="J182" s="147">
        <f t="shared" si="89"/>
        <v>4.4999999999999998E-2</v>
      </c>
      <c r="K182" s="175">
        <f t="shared" si="80"/>
        <v>3.8296430163020645E-3</v>
      </c>
      <c r="L182" s="149">
        <f t="shared" si="90"/>
        <v>636162.31783635134</v>
      </c>
      <c r="M182" s="149">
        <f t="shared" si="91"/>
        <v>2398721.9373101615</v>
      </c>
      <c r="N182" s="149">
        <f t="shared" si="92"/>
        <v>1591215.2073314493</v>
      </c>
      <c r="P182" s="149">
        <f t="shared" si="93"/>
        <v>0</v>
      </c>
      <c r="Q182" s="149">
        <f t="shared" si="94"/>
        <v>0</v>
      </c>
      <c r="R182" s="176">
        <f t="shared" si="95"/>
        <v>0</v>
      </c>
      <c r="S182" s="113">
        <f t="shared" si="96"/>
        <v>0</v>
      </c>
      <c r="T182" s="113">
        <f t="shared" si="81"/>
        <v>0</v>
      </c>
      <c r="U182" s="114">
        <f t="shared" si="97"/>
        <v>26.666666666666668</v>
      </c>
      <c r="V182" s="114">
        <f t="shared" si="98"/>
        <v>0</v>
      </c>
      <c r="W182" s="114">
        <f t="shared" si="99"/>
        <v>737.77777777777783</v>
      </c>
      <c r="X182" s="114"/>
      <c r="Y182" s="149">
        <f t="shared" si="100"/>
        <v>65479142.719298601</v>
      </c>
      <c r="Z182" s="149">
        <f t="shared" si="101"/>
        <v>324173.39664537861</v>
      </c>
      <c r="AA182" s="176">
        <f t="shared" si="102"/>
        <v>1591215.2073314493</v>
      </c>
      <c r="AB182" s="113">
        <f t="shared" si="103"/>
        <v>1915388.6039768278</v>
      </c>
      <c r="AC182" s="113">
        <f t="shared" si="82"/>
        <v>887905.77628625231</v>
      </c>
      <c r="AD182" s="114">
        <f t="shared" si="104"/>
        <v>26.666666666666668</v>
      </c>
      <c r="AE182" s="114">
        <f t="shared" si="105"/>
        <v>4.4320555316012854E-3</v>
      </c>
      <c r="AF182" s="114">
        <f t="shared" si="106"/>
        <v>737.77777777777783</v>
      </c>
      <c r="AG182" s="114"/>
      <c r="AH182" s="176">
        <f t="shared" si="107"/>
        <v>100000000</v>
      </c>
      <c r="AI182" s="176">
        <f t="shared" si="108"/>
        <v>483333.33333333337</v>
      </c>
      <c r="AJ182" s="176">
        <f t="shared" si="109"/>
        <v>0</v>
      </c>
      <c r="AK182" s="113">
        <f t="shared" si="110"/>
        <v>483333.33333333337</v>
      </c>
      <c r="AL182" s="113">
        <f t="shared" si="83"/>
        <v>224056.07804459255</v>
      </c>
      <c r="AM182" s="114">
        <f t="shared" si="111"/>
        <v>26.666666666666668</v>
      </c>
      <c r="AN182" s="114">
        <f t="shared" si="112"/>
        <v>2.2352291105849319E-3</v>
      </c>
      <c r="AO182" s="114">
        <f t="shared" si="113"/>
        <v>737.77777777777783</v>
      </c>
    </row>
    <row r="183" spans="1:41" hidden="1" outlineLevel="1" x14ac:dyDescent="0.3">
      <c r="A183" s="146">
        <f t="shared" si="84"/>
        <v>161</v>
      </c>
      <c r="B183" s="147">
        <f t="shared" si="77"/>
        <v>124</v>
      </c>
      <c r="C183" s="147">
        <f t="shared" si="76"/>
        <v>236</v>
      </c>
      <c r="D183" s="149">
        <f t="shared" si="85"/>
        <v>163892926.04347202</v>
      </c>
      <c r="E183" s="149">
        <f t="shared" si="86"/>
        <v>1783548.0683524704</v>
      </c>
      <c r="F183" s="149">
        <f t="shared" si="78"/>
        <v>827395.71359649347</v>
      </c>
      <c r="G183" s="149">
        <f t="shared" si="79"/>
        <v>799815.85647661041</v>
      </c>
      <c r="H183" s="149">
        <f t="shared" si="87"/>
        <v>27579.857119883061</v>
      </c>
      <c r="I183" s="149">
        <f t="shared" si="88"/>
        <v>956152.35475597694</v>
      </c>
      <c r="J183" s="147">
        <f t="shared" si="89"/>
        <v>4.4999999999999998E-2</v>
      </c>
      <c r="K183" s="175">
        <f t="shared" si="80"/>
        <v>3.8296430163020645E-3</v>
      </c>
      <c r="L183" s="149">
        <f t="shared" si="90"/>
        <v>630064.32107070286</v>
      </c>
      <c r="M183" s="149">
        <f t="shared" si="91"/>
        <v>2386032.53230329</v>
      </c>
      <c r="N183" s="149">
        <f t="shared" si="92"/>
        <v>1586216.6758266799</v>
      </c>
      <c r="P183" s="149">
        <f t="shared" si="93"/>
        <v>0</v>
      </c>
      <c r="Q183" s="149">
        <f t="shared" si="94"/>
        <v>0</v>
      </c>
      <c r="R183" s="176">
        <f t="shared" si="95"/>
        <v>0</v>
      </c>
      <c r="S183" s="113">
        <f t="shared" si="96"/>
        <v>0</v>
      </c>
      <c r="T183" s="113">
        <f t="shared" si="81"/>
        <v>0</v>
      </c>
      <c r="U183" s="114">
        <f t="shared" si="97"/>
        <v>26.833333333333332</v>
      </c>
      <c r="V183" s="114">
        <f t="shared" si="98"/>
        <v>0</v>
      </c>
      <c r="W183" s="114">
        <f t="shared" si="99"/>
        <v>746.86111111111109</v>
      </c>
      <c r="X183" s="114"/>
      <c r="Y183" s="149">
        <f t="shared" si="100"/>
        <v>63892926.043471918</v>
      </c>
      <c r="Z183" s="149">
        <f t="shared" si="101"/>
        <v>316482.52314327657</v>
      </c>
      <c r="AA183" s="176">
        <f t="shared" si="102"/>
        <v>1586216.6758266799</v>
      </c>
      <c r="AB183" s="113">
        <f t="shared" si="103"/>
        <v>1902699.1989699565</v>
      </c>
      <c r="AC183" s="113">
        <f t="shared" si="82"/>
        <v>877795.40856874455</v>
      </c>
      <c r="AD183" s="114">
        <f t="shared" si="104"/>
        <v>26.833333333333332</v>
      </c>
      <c r="AE183" s="114">
        <f t="shared" si="105"/>
        <v>4.3815887902356378E-3</v>
      </c>
      <c r="AF183" s="114">
        <f t="shared" si="106"/>
        <v>746.86111111111109</v>
      </c>
      <c r="AG183" s="114"/>
      <c r="AH183" s="176">
        <f t="shared" si="107"/>
        <v>100000000</v>
      </c>
      <c r="AI183" s="176">
        <f t="shared" si="108"/>
        <v>483333.33333333337</v>
      </c>
      <c r="AJ183" s="176">
        <f t="shared" si="109"/>
        <v>0</v>
      </c>
      <c r="AK183" s="113">
        <f t="shared" si="110"/>
        <v>483333.33333333337</v>
      </c>
      <c r="AL183" s="113">
        <f t="shared" si="83"/>
        <v>222982.0567738231</v>
      </c>
      <c r="AM183" s="114">
        <f t="shared" si="111"/>
        <v>26.833333333333332</v>
      </c>
      <c r="AN183" s="114">
        <f t="shared" si="112"/>
        <v>2.224514455438047E-3</v>
      </c>
      <c r="AO183" s="114">
        <f t="shared" si="113"/>
        <v>746.86111111111109</v>
      </c>
    </row>
    <row r="184" spans="1:41" hidden="1" outlineLevel="1" x14ac:dyDescent="0.3">
      <c r="A184" s="146">
        <f t="shared" si="84"/>
        <v>162</v>
      </c>
      <c r="B184" s="147">
        <f t="shared" si="77"/>
        <v>123</v>
      </c>
      <c r="C184" s="147">
        <f t="shared" si="76"/>
        <v>237</v>
      </c>
      <c r="D184" s="149">
        <f t="shared" si="85"/>
        <v>162311687.49569201</v>
      </c>
      <c r="E184" s="149">
        <f t="shared" si="86"/>
        <v>1776717.7159482653</v>
      </c>
      <c r="F184" s="149">
        <f t="shared" si="78"/>
        <v>819464.6302173601</v>
      </c>
      <c r="G184" s="149">
        <f t="shared" si="79"/>
        <v>792149.14254344814</v>
      </c>
      <c r="H184" s="149">
        <f t="shared" si="87"/>
        <v>27315.487673911965</v>
      </c>
      <c r="I184" s="149">
        <f t="shared" si="88"/>
        <v>957253.08573090518</v>
      </c>
      <c r="J184" s="147">
        <f t="shared" si="89"/>
        <v>4.4999999999999998E-2</v>
      </c>
      <c r="K184" s="175">
        <f t="shared" si="80"/>
        <v>3.8296430163020645E-3</v>
      </c>
      <c r="L184" s="149">
        <f t="shared" si="90"/>
        <v>623985.46204909042</v>
      </c>
      <c r="M184" s="149">
        <f t="shared" si="91"/>
        <v>2373387.6903234436</v>
      </c>
      <c r="N184" s="149">
        <f t="shared" si="92"/>
        <v>1581238.5477799955</v>
      </c>
      <c r="P184" s="149">
        <f t="shared" si="93"/>
        <v>0</v>
      </c>
      <c r="Q184" s="149">
        <f t="shared" si="94"/>
        <v>0</v>
      </c>
      <c r="R184" s="176">
        <f t="shared" si="95"/>
        <v>0</v>
      </c>
      <c r="S184" s="113">
        <f t="shared" si="96"/>
        <v>0</v>
      </c>
      <c r="T184" s="113">
        <f t="shared" si="81"/>
        <v>0</v>
      </c>
      <c r="U184" s="114">
        <f t="shared" si="97"/>
        <v>27</v>
      </c>
      <c r="V184" s="114">
        <f t="shared" si="98"/>
        <v>0</v>
      </c>
      <c r="W184" s="114">
        <f t="shared" si="99"/>
        <v>756</v>
      </c>
      <c r="X184" s="114"/>
      <c r="Y184" s="149">
        <f t="shared" si="100"/>
        <v>62311687.495691925</v>
      </c>
      <c r="Z184" s="149">
        <f t="shared" si="101"/>
        <v>308815.8092101143</v>
      </c>
      <c r="AA184" s="176">
        <f t="shared" si="102"/>
        <v>1581238.5477799955</v>
      </c>
      <c r="AB184" s="113">
        <f t="shared" si="103"/>
        <v>1890054.3569901097</v>
      </c>
      <c r="AC184" s="113">
        <f t="shared" si="82"/>
        <v>867782.02766230493</v>
      </c>
      <c r="AD184" s="114">
        <f t="shared" si="104"/>
        <v>27</v>
      </c>
      <c r="AE184" s="114">
        <f t="shared" si="105"/>
        <v>4.3316061666040639E-3</v>
      </c>
      <c r="AF184" s="114">
        <f t="shared" si="106"/>
        <v>756</v>
      </c>
      <c r="AG184" s="114"/>
      <c r="AH184" s="176">
        <f t="shared" si="107"/>
        <v>100000000</v>
      </c>
      <c r="AI184" s="176">
        <f t="shared" si="108"/>
        <v>483333.33333333337</v>
      </c>
      <c r="AJ184" s="176">
        <f t="shared" si="109"/>
        <v>0</v>
      </c>
      <c r="AK184" s="113">
        <f t="shared" si="110"/>
        <v>483333.33333333337</v>
      </c>
      <c r="AL184" s="113">
        <f t="shared" si="83"/>
        <v>221913.18386457156</v>
      </c>
      <c r="AM184" s="114">
        <f t="shared" si="111"/>
        <v>27</v>
      </c>
      <c r="AN184" s="114">
        <f t="shared" si="112"/>
        <v>2.2138511613952086E-3</v>
      </c>
      <c r="AO184" s="114">
        <f t="shared" si="113"/>
        <v>756</v>
      </c>
    </row>
    <row r="185" spans="1:41" hidden="1" outlineLevel="1" x14ac:dyDescent="0.3">
      <c r="A185" s="146">
        <f t="shared" si="84"/>
        <v>163</v>
      </c>
      <c r="B185" s="147">
        <f t="shared" si="77"/>
        <v>122</v>
      </c>
      <c r="C185" s="147">
        <f t="shared" si="76"/>
        <v>238</v>
      </c>
      <c r="D185" s="149">
        <f t="shared" si="85"/>
        <v>160735406.74918705</v>
      </c>
      <c r="E185" s="149">
        <f t="shared" si="86"/>
        <v>1769913.5213554439</v>
      </c>
      <c r="F185" s="149">
        <f t="shared" si="78"/>
        <v>811558.43747846014</v>
      </c>
      <c r="G185" s="149">
        <f t="shared" si="79"/>
        <v>784506.48956251144</v>
      </c>
      <c r="H185" s="149">
        <f t="shared" si="87"/>
        <v>27051.947915948695</v>
      </c>
      <c r="I185" s="149">
        <f t="shared" si="88"/>
        <v>958355.08387698373</v>
      </c>
      <c r="J185" s="147">
        <f t="shared" si="89"/>
        <v>4.4999999999999998E-2</v>
      </c>
      <c r="K185" s="175">
        <f t="shared" si="80"/>
        <v>3.8296430163020645E-3</v>
      </c>
      <c r="L185" s="149">
        <f t="shared" si="90"/>
        <v>617925.6626279729</v>
      </c>
      <c r="M185" s="149">
        <f t="shared" si="91"/>
        <v>2360787.2360674683</v>
      </c>
      <c r="N185" s="149">
        <f t="shared" si="92"/>
        <v>1576280.7465049566</v>
      </c>
      <c r="P185" s="149">
        <f t="shared" si="93"/>
        <v>0</v>
      </c>
      <c r="Q185" s="149">
        <f t="shared" si="94"/>
        <v>0</v>
      </c>
      <c r="R185" s="176">
        <f t="shared" si="95"/>
        <v>0</v>
      </c>
      <c r="S185" s="113">
        <f t="shared" si="96"/>
        <v>0</v>
      </c>
      <c r="T185" s="113">
        <f t="shared" si="81"/>
        <v>0</v>
      </c>
      <c r="U185" s="114">
        <f t="shared" si="97"/>
        <v>27.166666666666668</v>
      </c>
      <c r="V185" s="114">
        <f t="shared" si="98"/>
        <v>0</v>
      </c>
      <c r="W185" s="114">
        <f t="shared" si="99"/>
        <v>765.19444444444446</v>
      </c>
      <c r="X185" s="114"/>
      <c r="Y185" s="149">
        <f t="shared" si="100"/>
        <v>60735406.74918697</v>
      </c>
      <c r="Z185" s="149">
        <f t="shared" si="101"/>
        <v>301173.15622917766</v>
      </c>
      <c r="AA185" s="176">
        <f t="shared" si="102"/>
        <v>1576280.7465049566</v>
      </c>
      <c r="AB185" s="113">
        <f t="shared" si="103"/>
        <v>1877453.9027341343</v>
      </c>
      <c r="AC185" s="113">
        <f t="shared" si="82"/>
        <v>857864.75788487331</v>
      </c>
      <c r="AD185" s="114">
        <f t="shared" si="104"/>
        <v>27.166666666666668</v>
      </c>
      <c r="AE185" s="114">
        <f t="shared" si="105"/>
        <v>4.2821032896667279E-3</v>
      </c>
      <c r="AF185" s="114">
        <f t="shared" si="106"/>
        <v>765.19444444444446</v>
      </c>
      <c r="AG185" s="114"/>
      <c r="AH185" s="176">
        <f t="shared" si="107"/>
        <v>100000000</v>
      </c>
      <c r="AI185" s="176">
        <f t="shared" si="108"/>
        <v>483333.33333333337</v>
      </c>
      <c r="AJ185" s="176">
        <f t="shared" si="109"/>
        <v>0</v>
      </c>
      <c r="AK185" s="113">
        <f t="shared" si="110"/>
        <v>483333.33333333337</v>
      </c>
      <c r="AL185" s="113">
        <f t="shared" si="83"/>
        <v>220849.43463797262</v>
      </c>
      <c r="AM185" s="114">
        <f t="shared" si="111"/>
        <v>27.166666666666668</v>
      </c>
      <c r="AN185" s="114">
        <f t="shared" si="112"/>
        <v>2.2032389822550249E-3</v>
      </c>
      <c r="AO185" s="114">
        <f t="shared" si="113"/>
        <v>765.19444444444446</v>
      </c>
    </row>
    <row r="186" spans="1:41" hidden="1" outlineLevel="1" x14ac:dyDescent="0.3">
      <c r="A186" s="146">
        <f t="shared" si="84"/>
        <v>164</v>
      </c>
      <c r="B186" s="147">
        <f t="shared" si="77"/>
        <v>121</v>
      </c>
      <c r="C186" s="147">
        <f t="shared" si="76"/>
        <v>239</v>
      </c>
      <c r="D186" s="149">
        <f t="shared" si="85"/>
        <v>159164063.55357659</v>
      </c>
      <c r="E186" s="149">
        <f t="shared" si="86"/>
        <v>1763135.3843989263</v>
      </c>
      <c r="F186" s="149">
        <f t="shared" si="78"/>
        <v>803677.0337459353</v>
      </c>
      <c r="G186" s="149">
        <f t="shared" si="79"/>
        <v>776887.79928773746</v>
      </c>
      <c r="H186" s="149">
        <f t="shared" si="87"/>
        <v>26789.23445819784</v>
      </c>
      <c r="I186" s="149">
        <f t="shared" si="88"/>
        <v>959458.35065299098</v>
      </c>
      <c r="J186" s="147">
        <f t="shared" si="89"/>
        <v>4.4999999999999998E-2</v>
      </c>
      <c r="K186" s="175">
        <f t="shared" si="80"/>
        <v>3.8296430163020645E-3</v>
      </c>
      <c r="L186" s="149">
        <f t="shared" si="90"/>
        <v>611884.84495748498</v>
      </c>
      <c r="M186" s="149">
        <f t="shared" si="91"/>
        <v>2348230.9948982135</v>
      </c>
      <c r="N186" s="149">
        <f t="shared" si="92"/>
        <v>1571343.195610476</v>
      </c>
      <c r="P186" s="149">
        <f t="shared" si="93"/>
        <v>0</v>
      </c>
      <c r="Q186" s="149">
        <f t="shared" si="94"/>
        <v>0</v>
      </c>
      <c r="R186" s="176">
        <f t="shared" si="95"/>
        <v>0</v>
      </c>
      <c r="S186" s="113">
        <f t="shared" si="96"/>
        <v>0</v>
      </c>
      <c r="T186" s="113">
        <f t="shared" si="81"/>
        <v>0</v>
      </c>
      <c r="U186" s="114">
        <f t="shared" si="97"/>
        <v>27.333333333333332</v>
      </c>
      <c r="V186" s="114">
        <f t="shared" si="98"/>
        <v>0</v>
      </c>
      <c r="W186" s="114">
        <f t="shared" si="99"/>
        <v>774.44444444444434</v>
      </c>
      <c r="X186" s="114"/>
      <c r="Y186" s="149">
        <f t="shared" si="100"/>
        <v>59164063.553576492</v>
      </c>
      <c r="Z186" s="149">
        <f t="shared" si="101"/>
        <v>293554.46595440368</v>
      </c>
      <c r="AA186" s="176">
        <f t="shared" si="102"/>
        <v>1571343.195610476</v>
      </c>
      <c r="AB186" s="113">
        <f t="shared" si="103"/>
        <v>1864897.6615648796</v>
      </c>
      <c r="AC186" s="113">
        <f t="shared" si="82"/>
        <v>848042.73126198584</v>
      </c>
      <c r="AD186" s="114">
        <f t="shared" si="104"/>
        <v>27.333333333333332</v>
      </c>
      <c r="AE186" s="114">
        <f t="shared" si="105"/>
        <v>4.2330758268569017E-3</v>
      </c>
      <c r="AF186" s="114">
        <f t="shared" si="106"/>
        <v>774.44444444444434</v>
      </c>
      <c r="AG186" s="114"/>
      <c r="AH186" s="176">
        <f t="shared" si="107"/>
        <v>100000000</v>
      </c>
      <c r="AI186" s="176">
        <f t="shared" si="108"/>
        <v>483333.33333333337</v>
      </c>
      <c r="AJ186" s="176">
        <f t="shared" si="109"/>
        <v>0</v>
      </c>
      <c r="AK186" s="113">
        <f t="shared" si="110"/>
        <v>483333.33333333337</v>
      </c>
      <c r="AL186" s="113">
        <f t="shared" si="83"/>
        <v>219790.78453346001</v>
      </c>
      <c r="AM186" s="114">
        <f t="shared" si="111"/>
        <v>27.333333333333332</v>
      </c>
      <c r="AN186" s="114">
        <f t="shared" si="112"/>
        <v>2.1926776729962803E-3</v>
      </c>
      <c r="AO186" s="114">
        <f t="shared" si="113"/>
        <v>774.44444444444434</v>
      </c>
    </row>
    <row r="187" spans="1:41" hidden="1" outlineLevel="1" x14ac:dyDescent="0.3">
      <c r="A187" s="146">
        <f t="shared" si="84"/>
        <v>165</v>
      </c>
      <c r="B187" s="147">
        <f t="shared" si="77"/>
        <v>120</v>
      </c>
      <c r="C187" s="147">
        <f t="shared" si="76"/>
        <v>240</v>
      </c>
      <c r="D187" s="149">
        <f t="shared" si="85"/>
        <v>157597637.73457688</v>
      </c>
      <c r="E187" s="149">
        <f t="shared" si="86"/>
        <v>1756383.2052872679</v>
      </c>
      <c r="F187" s="149">
        <f t="shared" si="78"/>
        <v>795820.31776788295</v>
      </c>
      <c r="G187" s="149">
        <f t="shared" si="79"/>
        <v>769292.97384228685</v>
      </c>
      <c r="H187" s="149">
        <f t="shared" si="87"/>
        <v>26527.343925596098</v>
      </c>
      <c r="I187" s="149">
        <f t="shared" si="88"/>
        <v>960562.88751938497</v>
      </c>
      <c r="J187" s="147">
        <f t="shared" si="89"/>
        <v>4.4999999999999998E-2</v>
      </c>
      <c r="K187" s="175">
        <f t="shared" si="80"/>
        <v>3.8296430163020645E-3</v>
      </c>
      <c r="L187" s="149">
        <f t="shared" si="90"/>
        <v>605862.93148030492</v>
      </c>
      <c r="M187" s="149">
        <f t="shared" si="91"/>
        <v>2335718.7928419765</v>
      </c>
      <c r="N187" s="149">
        <f t="shared" si="92"/>
        <v>1566425.81899969</v>
      </c>
      <c r="P187" s="149">
        <f t="shared" si="93"/>
        <v>0</v>
      </c>
      <c r="Q187" s="149">
        <f t="shared" si="94"/>
        <v>0</v>
      </c>
      <c r="R187" s="176">
        <f t="shared" si="95"/>
        <v>0</v>
      </c>
      <c r="S187" s="113">
        <f t="shared" si="96"/>
        <v>0</v>
      </c>
      <c r="T187" s="113">
        <f t="shared" si="81"/>
        <v>0</v>
      </c>
      <c r="U187" s="114">
        <f t="shared" si="97"/>
        <v>27.5</v>
      </c>
      <c r="V187" s="114">
        <f t="shared" si="98"/>
        <v>0</v>
      </c>
      <c r="W187" s="114">
        <f t="shared" si="99"/>
        <v>783.75</v>
      </c>
      <c r="X187" s="114"/>
      <c r="Y187" s="149">
        <f t="shared" si="100"/>
        <v>57597637.734576799</v>
      </c>
      <c r="Z187" s="149">
        <f t="shared" si="101"/>
        <v>285959.64050895307</v>
      </c>
      <c r="AA187" s="176">
        <f t="shared" si="102"/>
        <v>1566425.81899969</v>
      </c>
      <c r="AB187" s="113">
        <f t="shared" si="103"/>
        <v>1852385.459508643</v>
      </c>
      <c r="AC187" s="113">
        <f t="shared" si="82"/>
        <v>838315.08745971741</v>
      </c>
      <c r="AD187" s="114">
        <f t="shared" si="104"/>
        <v>27.5</v>
      </c>
      <c r="AE187" s="114">
        <f t="shared" si="105"/>
        <v>4.1845194837462438E-3</v>
      </c>
      <c r="AF187" s="114">
        <f t="shared" si="106"/>
        <v>783.75</v>
      </c>
      <c r="AG187" s="114"/>
      <c r="AH187" s="176">
        <f t="shared" si="107"/>
        <v>100000000</v>
      </c>
      <c r="AI187" s="176">
        <f t="shared" si="108"/>
        <v>483333.33333333337</v>
      </c>
      <c r="AJ187" s="176">
        <f t="shared" si="109"/>
        <v>0</v>
      </c>
      <c r="AK187" s="113">
        <f t="shared" si="110"/>
        <v>483333.33333333337</v>
      </c>
      <c r="AL187" s="113">
        <f t="shared" si="83"/>
        <v>218737.20910819943</v>
      </c>
      <c r="AM187" s="114">
        <f t="shared" si="111"/>
        <v>27.5</v>
      </c>
      <c r="AN187" s="114">
        <f t="shared" si="112"/>
        <v>2.1821669897722769E-3</v>
      </c>
      <c r="AO187" s="114">
        <f t="shared" si="113"/>
        <v>783.75</v>
      </c>
    </row>
    <row r="188" spans="1:41" hidden="1" outlineLevel="1" x14ac:dyDescent="0.3">
      <c r="A188" s="146">
        <f t="shared" si="84"/>
        <v>166</v>
      </c>
      <c r="B188" s="147">
        <f t="shared" si="77"/>
        <v>119</v>
      </c>
      <c r="C188" s="147">
        <f t="shared" si="76"/>
        <v>241</v>
      </c>
      <c r="D188" s="149">
        <f t="shared" si="85"/>
        <v>156036109.19370803</v>
      </c>
      <c r="E188" s="149">
        <f t="shared" si="86"/>
        <v>1749656.8846111894</v>
      </c>
      <c r="F188" s="149">
        <f t="shared" si="78"/>
        <v>787988.18867288437</v>
      </c>
      <c r="G188" s="149">
        <f t="shared" si="79"/>
        <v>761721.91571712168</v>
      </c>
      <c r="H188" s="149">
        <f t="shared" si="87"/>
        <v>26266.272955762688</v>
      </c>
      <c r="I188" s="149">
        <f t="shared" si="88"/>
        <v>961668.695938305</v>
      </c>
      <c r="J188" s="147">
        <f t="shared" si="89"/>
        <v>4.4999999999999998E-2</v>
      </c>
      <c r="K188" s="175">
        <f t="shared" si="80"/>
        <v>3.8296430163020645E-3</v>
      </c>
      <c r="L188" s="149">
        <f t="shared" si="90"/>
        <v>599859.84493052855</v>
      </c>
      <c r="M188" s="149">
        <f t="shared" si="91"/>
        <v>2323250.4565859553</v>
      </c>
      <c r="N188" s="149">
        <f t="shared" si="92"/>
        <v>1561528.5408688337</v>
      </c>
      <c r="P188" s="149">
        <f t="shared" si="93"/>
        <v>0</v>
      </c>
      <c r="Q188" s="149">
        <f t="shared" si="94"/>
        <v>0</v>
      </c>
      <c r="R188" s="176">
        <f t="shared" si="95"/>
        <v>0</v>
      </c>
      <c r="S188" s="113">
        <f t="shared" si="96"/>
        <v>0</v>
      </c>
      <c r="T188" s="113">
        <f t="shared" si="81"/>
        <v>0</v>
      </c>
      <c r="U188" s="114">
        <f t="shared" si="97"/>
        <v>27.666666666666668</v>
      </c>
      <c r="V188" s="114">
        <f t="shared" si="98"/>
        <v>0</v>
      </c>
      <c r="W188" s="114">
        <f t="shared" si="99"/>
        <v>793.1111111111112</v>
      </c>
      <c r="X188" s="114"/>
      <c r="Y188" s="149">
        <f t="shared" si="100"/>
        <v>56036109.193707965</v>
      </c>
      <c r="Z188" s="149">
        <f t="shared" si="101"/>
        <v>278388.5823837879</v>
      </c>
      <c r="AA188" s="176">
        <f t="shared" si="102"/>
        <v>1561528.5408688337</v>
      </c>
      <c r="AB188" s="113">
        <f t="shared" si="103"/>
        <v>1839917.1232526216</v>
      </c>
      <c r="AC188" s="113">
        <f t="shared" si="82"/>
        <v>828680.97371820128</v>
      </c>
      <c r="AD188" s="114">
        <f t="shared" si="104"/>
        <v>27.666666666666668</v>
      </c>
      <c r="AE188" s="114">
        <f t="shared" si="105"/>
        <v>4.1364300037129518E-3</v>
      </c>
      <c r="AF188" s="114">
        <f t="shared" si="106"/>
        <v>793.1111111111112</v>
      </c>
      <c r="AG188" s="114"/>
      <c r="AH188" s="176">
        <f t="shared" si="107"/>
        <v>100000000</v>
      </c>
      <c r="AI188" s="176">
        <f t="shared" si="108"/>
        <v>483333.33333333337</v>
      </c>
      <c r="AJ188" s="176">
        <f t="shared" si="109"/>
        <v>0</v>
      </c>
      <c r="AK188" s="113">
        <f t="shared" si="110"/>
        <v>483333.33333333337</v>
      </c>
      <c r="AL188" s="113">
        <f t="shared" si="83"/>
        <v>217688.68403652427</v>
      </c>
      <c r="AM188" s="114">
        <f t="shared" si="111"/>
        <v>27.666666666666668</v>
      </c>
      <c r="AN188" s="114">
        <f t="shared" si="112"/>
        <v>2.1717066899052048E-3</v>
      </c>
      <c r="AO188" s="114">
        <f t="shared" si="113"/>
        <v>793.1111111111112</v>
      </c>
    </row>
    <row r="189" spans="1:41" hidden="1" outlineLevel="1" x14ac:dyDescent="0.3">
      <c r="A189" s="146">
        <f t="shared" si="84"/>
        <v>167</v>
      </c>
      <c r="B189" s="147">
        <f t="shared" si="77"/>
        <v>118</v>
      </c>
      <c r="C189" s="147">
        <f t="shared" si="76"/>
        <v>242</v>
      </c>
      <c r="D189" s="149">
        <f t="shared" si="85"/>
        <v>154479457.9080019</v>
      </c>
      <c r="E189" s="149">
        <f t="shared" si="86"/>
        <v>1742956.3233421133</v>
      </c>
      <c r="F189" s="149">
        <f t="shared" si="78"/>
        <v>780180.54596854013</v>
      </c>
      <c r="G189" s="149">
        <f t="shared" si="79"/>
        <v>754174.52776958887</v>
      </c>
      <c r="H189" s="149">
        <f t="shared" si="87"/>
        <v>26006.018198951264</v>
      </c>
      <c r="I189" s="149">
        <f t="shared" si="88"/>
        <v>962775.77737357316</v>
      </c>
      <c r="J189" s="147">
        <f t="shared" si="89"/>
        <v>4.4999999999999998E-2</v>
      </c>
      <c r="K189" s="175">
        <f t="shared" si="80"/>
        <v>3.8296430163020645E-3</v>
      </c>
      <c r="L189" s="149">
        <f t="shared" si="90"/>
        <v>593875.5083325468</v>
      </c>
      <c r="M189" s="149">
        <f t="shared" si="91"/>
        <v>2310825.8134757089</v>
      </c>
      <c r="N189" s="149">
        <f t="shared" si="92"/>
        <v>1556651.2857061201</v>
      </c>
      <c r="P189" s="149">
        <f t="shared" si="93"/>
        <v>0</v>
      </c>
      <c r="Q189" s="149">
        <f t="shared" si="94"/>
        <v>0</v>
      </c>
      <c r="R189" s="176">
        <f t="shared" si="95"/>
        <v>0</v>
      </c>
      <c r="S189" s="113">
        <f t="shared" si="96"/>
        <v>0</v>
      </c>
      <c r="T189" s="113">
        <f t="shared" si="81"/>
        <v>0</v>
      </c>
      <c r="U189" s="114">
        <f t="shared" si="97"/>
        <v>27.833333333333332</v>
      </c>
      <c r="V189" s="114">
        <f t="shared" si="98"/>
        <v>0</v>
      </c>
      <c r="W189" s="114">
        <f t="shared" si="99"/>
        <v>802.52777777777771</v>
      </c>
      <c r="X189" s="114"/>
      <c r="Y189" s="149">
        <f t="shared" si="100"/>
        <v>54479457.908001848</v>
      </c>
      <c r="Z189" s="149">
        <f t="shared" si="101"/>
        <v>270841.1944362552</v>
      </c>
      <c r="AA189" s="176">
        <f t="shared" si="102"/>
        <v>1556651.2857061201</v>
      </c>
      <c r="AB189" s="113">
        <f t="shared" si="103"/>
        <v>1827492.4801423752</v>
      </c>
      <c r="AC189" s="113">
        <f t="shared" si="82"/>
        <v>819139.54478572507</v>
      </c>
      <c r="AD189" s="114">
        <f t="shared" si="104"/>
        <v>27.833333333333332</v>
      </c>
      <c r="AE189" s="114">
        <f t="shared" si="105"/>
        <v>4.0888031676128015E-3</v>
      </c>
      <c r="AF189" s="114">
        <f t="shared" si="106"/>
        <v>802.52777777777771</v>
      </c>
      <c r="AG189" s="114"/>
      <c r="AH189" s="176">
        <f t="shared" si="107"/>
        <v>100000000</v>
      </c>
      <c r="AI189" s="176">
        <f t="shared" si="108"/>
        <v>483333.33333333337</v>
      </c>
      <c r="AJ189" s="176">
        <f t="shared" si="109"/>
        <v>0</v>
      </c>
      <c r="AK189" s="113">
        <f t="shared" si="110"/>
        <v>483333.33333333337</v>
      </c>
      <c r="AL189" s="113">
        <f t="shared" si="83"/>
        <v>216645.18510937397</v>
      </c>
      <c r="AM189" s="114">
        <f t="shared" si="111"/>
        <v>27.833333333333332</v>
      </c>
      <c r="AN189" s="114">
        <f t="shared" si="112"/>
        <v>2.1612965318805418E-3</v>
      </c>
      <c r="AO189" s="114">
        <f t="shared" si="113"/>
        <v>802.52777777777771</v>
      </c>
    </row>
    <row r="190" spans="1:41" hidden="1" outlineLevel="1" x14ac:dyDescent="0.3">
      <c r="A190" s="146">
        <f t="shared" si="84"/>
        <v>168</v>
      </c>
      <c r="B190" s="147">
        <f t="shared" si="77"/>
        <v>117</v>
      </c>
      <c r="C190" s="147">
        <f t="shared" si="76"/>
        <v>243</v>
      </c>
      <c r="D190" s="149">
        <f t="shared" si="85"/>
        <v>152927663.92971125</v>
      </c>
      <c r="E190" s="149">
        <f t="shared" si="86"/>
        <v>1736281.4228307067</v>
      </c>
      <c r="F190" s="149">
        <f t="shared" si="78"/>
        <v>772397.28954000946</v>
      </c>
      <c r="G190" s="149">
        <f t="shared" si="79"/>
        <v>746650.71322200925</v>
      </c>
      <c r="H190" s="149">
        <f t="shared" si="87"/>
        <v>25746.57631800021</v>
      </c>
      <c r="I190" s="149">
        <f t="shared" si="88"/>
        <v>963884.13329069724</v>
      </c>
      <c r="J190" s="147">
        <f t="shared" si="89"/>
        <v>4.4999999999999998E-2</v>
      </c>
      <c r="K190" s="175">
        <f t="shared" si="80"/>
        <v>3.8296430163020645E-3</v>
      </c>
      <c r="L190" s="149">
        <f t="shared" si="90"/>
        <v>587909.8449999271</v>
      </c>
      <c r="M190" s="149">
        <f t="shared" si="91"/>
        <v>2298444.6915126336</v>
      </c>
      <c r="N190" s="149">
        <f t="shared" si="92"/>
        <v>1551793.9782906245</v>
      </c>
      <c r="P190" s="149">
        <f t="shared" si="93"/>
        <v>0</v>
      </c>
      <c r="Q190" s="149">
        <f t="shared" si="94"/>
        <v>0</v>
      </c>
      <c r="R190" s="176">
        <f t="shared" si="95"/>
        <v>0</v>
      </c>
      <c r="S190" s="113">
        <f t="shared" si="96"/>
        <v>0</v>
      </c>
      <c r="T190" s="113">
        <f t="shared" si="81"/>
        <v>0</v>
      </c>
      <c r="U190" s="114">
        <f t="shared" si="97"/>
        <v>28</v>
      </c>
      <c r="V190" s="114">
        <f t="shared" si="98"/>
        <v>0</v>
      </c>
      <c r="W190" s="114">
        <f t="shared" si="99"/>
        <v>812</v>
      </c>
      <c r="X190" s="114"/>
      <c r="Y190" s="149">
        <f t="shared" si="100"/>
        <v>52927663.929711223</v>
      </c>
      <c r="Z190" s="149">
        <f t="shared" si="101"/>
        <v>263317.37988867558</v>
      </c>
      <c r="AA190" s="176">
        <f t="shared" si="102"/>
        <v>1551793.9782906245</v>
      </c>
      <c r="AB190" s="113">
        <f t="shared" si="103"/>
        <v>1815111.3581793001</v>
      </c>
      <c r="AC190" s="113">
        <f t="shared" si="82"/>
        <v>809689.96285339736</v>
      </c>
      <c r="AD190" s="114">
        <f t="shared" si="104"/>
        <v>28</v>
      </c>
      <c r="AE190" s="114">
        <f t="shared" si="105"/>
        <v>4.0416347934530295E-3</v>
      </c>
      <c r="AF190" s="114">
        <f t="shared" si="106"/>
        <v>812</v>
      </c>
      <c r="AG190" s="114"/>
      <c r="AH190" s="176">
        <f t="shared" si="107"/>
        <v>100000000</v>
      </c>
      <c r="AI190" s="176">
        <f t="shared" si="108"/>
        <v>483333.33333333337</v>
      </c>
      <c r="AJ190" s="176">
        <f t="shared" si="109"/>
        <v>0</v>
      </c>
      <c r="AK190" s="113">
        <f t="shared" si="110"/>
        <v>483333.33333333337</v>
      </c>
      <c r="AL190" s="113">
        <f t="shared" si="83"/>
        <v>215606.68823373489</v>
      </c>
      <c r="AM190" s="114">
        <f t="shared" si="111"/>
        <v>28</v>
      </c>
      <c r="AN190" s="114">
        <f t="shared" si="112"/>
        <v>2.1509362753414714E-3</v>
      </c>
      <c r="AO190" s="114">
        <f t="shared" si="113"/>
        <v>812</v>
      </c>
    </row>
    <row r="191" spans="1:41" hidden="1" outlineLevel="1" x14ac:dyDescent="0.3">
      <c r="A191" s="146">
        <f t="shared" si="84"/>
        <v>169</v>
      </c>
      <c r="B191" s="147">
        <f t="shared" si="77"/>
        <v>116</v>
      </c>
      <c r="C191" s="147">
        <f t="shared" si="76"/>
        <v>244</v>
      </c>
      <c r="D191" s="149">
        <f t="shared" si="85"/>
        <v>151380707.38602009</v>
      </c>
      <c r="E191" s="149">
        <f t="shared" si="86"/>
        <v>1729632.0848054281</v>
      </c>
      <c r="F191" s="149">
        <f t="shared" si="78"/>
        <v>764638.31964855629</v>
      </c>
      <c r="G191" s="149">
        <f t="shared" si="79"/>
        <v>739150.37566027103</v>
      </c>
      <c r="H191" s="149">
        <f t="shared" si="87"/>
        <v>25487.94398828526</v>
      </c>
      <c r="I191" s="149">
        <f t="shared" si="88"/>
        <v>964993.76515687176</v>
      </c>
      <c r="J191" s="147">
        <f t="shared" si="89"/>
        <v>4.4999999999999998E-2</v>
      </c>
      <c r="K191" s="175">
        <f t="shared" si="80"/>
        <v>3.8296430163020645E-3</v>
      </c>
      <c r="L191" s="149">
        <f t="shared" si="90"/>
        <v>581962.77853429981</v>
      </c>
      <c r="M191" s="149">
        <f t="shared" si="91"/>
        <v>2286106.9193514427</v>
      </c>
      <c r="N191" s="149">
        <f t="shared" si="92"/>
        <v>1546956.5436911716</v>
      </c>
      <c r="P191" s="149">
        <f t="shared" si="93"/>
        <v>0</v>
      </c>
      <c r="Q191" s="149">
        <f t="shared" si="94"/>
        <v>0</v>
      </c>
      <c r="R191" s="176">
        <f t="shared" si="95"/>
        <v>0</v>
      </c>
      <c r="S191" s="113">
        <f t="shared" si="96"/>
        <v>0</v>
      </c>
      <c r="T191" s="113">
        <f t="shared" si="81"/>
        <v>0</v>
      </c>
      <c r="U191" s="114">
        <f t="shared" si="97"/>
        <v>28.166666666666668</v>
      </c>
      <c r="V191" s="114">
        <f t="shared" si="98"/>
        <v>0</v>
      </c>
      <c r="W191" s="114">
        <f t="shared" si="99"/>
        <v>821.52777777777783</v>
      </c>
      <c r="X191" s="114"/>
      <c r="Y191" s="149">
        <f t="shared" si="100"/>
        <v>51380707.386020049</v>
      </c>
      <c r="Z191" s="149">
        <f t="shared" si="101"/>
        <v>255817.04232693758</v>
      </c>
      <c r="AA191" s="176">
        <f t="shared" si="102"/>
        <v>1546956.5436911716</v>
      </c>
      <c r="AB191" s="113">
        <f t="shared" si="103"/>
        <v>1802773.5860181092</v>
      </c>
      <c r="AC191" s="113">
        <f t="shared" si="82"/>
        <v>800331.39749037882</v>
      </c>
      <c r="AD191" s="114">
        <f t="shared" si="104"/>
        <v>28.166666666666668</v>
      </c>
      <c r="AE191" s="114">
        <f t="shared" si="105"/>
        <v>3.9949207360690329E-3</v>
      </c>
      <c r="AF191" s="114">
        <f t="shared" si="106"/>
        <v>821.52777777777783</v>
      </c>
      <c r="AG191" s="114"/>
      <c r="AH191" s="176">
        <f t="shared" si="107"/>
        <v>100000000</v>
      </c>
      <c r="AI191" s="176">
        <f t="shared" si="108"/>
        <v>483333.33333333337</v>
      </c>
      <c r="AJ191" s="176">
        <f t="shared" si="109"/>
        <v>0</v>
      </c>
      <c r="AK191" s="113">
        <f t="shared" si="110"/>
        <v>483333.33333333337</v>
      </c>
      <c r="AL191" s="113">
        <f t="shared" si="83"/>
        <v>214573.16943208422</v>
      </c>
      <c r="AM191" s="114">
        <f t="shared" si="111"/>
        <v>28.166666666666668</v>
      </c>
      <c r="AN191" s="114">
        <f t="shared" si="112"/>
        <v>2.1406256810833379E-3</v>
      </c>
      <c r="AO191" s="114">
        <f t="shared" si="113"/>
        <v>821.52777777777783</v>
      </c>
    </row>
    <row r="192" spans="1:41" hidden="1" outlineLevel="1" x14ac:dyDescent="0.3">
      <c r="A192" s="146">
        <f t="shared" si="84"/>
        <v>170</v>
      </c>
      <c r="B192" s="147">
        <f t="shared" si="77"/>
        <v>115</v>
      </c>
      <c r="C192" s="147">
        <f t="shared" si="76"/>
        <v>245</v>
      </c>
      <c r="D192" s="149">
        <f t="shared" si="85"/>
        <v>149838568.47875488</v>
      </c>
      <c r="E192" s="149">
        <f t="shared" si="86"/>
        <v>1723008.2113710809</v>
      </c>
      <c r="F192" s="149">
        <f t="shared" si="78"/>
        <v>756903.53693010053</v>
      </c>
      <c r="G192" s="149">
        <f t="shared" si="79"/>
        <v>731673.41903243051</v>
      </c>
      <c r="H192" s="149">
        <f t="shared" si="87"/>
        <v>25230.117897670018</v>
      </c>
      <c r="I192" s="149">
        <f t="shared" si="88"/>
        <v>966104.67444098042</v>
      </c>
      <c r="J192" s="147">
        <f t="shared" si="89"/>
        <v>4.4999999999999998E-2</v>
      </c>
      <c r="K192" s="175">
        <f t="shared" si="80"/>
        <v>3.8296430163020645E-3</v>
      </c>
      <c r="L192" s="149">
        <f t="shared" si="90"/>
        <v>576034.23282424849</v>
      </c>
      <c r="M192" s="149">
        <f t="shared" si="91"/>
        <v>2273812.3262976594</v>
      </c>
      <c r="N192" s="149">
        <f t="shared" si="92"/>
        <v>1542138.9072652289</v>
      </c>
      <c r="P192" s="149">
        <f t="shared" si="93"/>
        <v>0</v>
      </c>
      <c r="Q192" s="149">
        <f t="shared" si="94"/>
        <v>0</v>
      </c>
      <c r="R192" s="176">
        <f t="shared" si="95"/>
        <v>0</v>
      </c>
      <c r="S192" s="113">
        <f t="shared" si="96"/>
        <v>0</v>
      </c>
      <c r="T192" s="113">
        <f t="shared" si="81"/>
        <v>0</v>
      </c>
      <c r="U192" s="114">
        <f t="shared" si="97"/>
        <v>28.333333333333332</v>
      </c>
      <c r="V192" s="114">
        <f t="shared" si="98"/>
        <v>0</v>
      </c>
      <c r="W192" s="114">
        <f t="shared" si="99"/>
        <v>831.11111111111109</v>
      </c>
      <c r="X192" s="114"/>
      <c r="Y192" s="149">
        <f t="shared" si="100"/>
        <v>49838568.478754818</v>
      </c>
      <c r="Z192" s="149">
        <f t="shared" si="101"/>
        <v>248340.0856990969</v>
      </c>
      <c r="AA192" s="176">
        <f t="shared" si="102"/>
        <v>1542138.9072652289</v>
      </c>
      <c r="AB192" s="113">
        <f t="shared" si="103"/>
        <v>1790478.9929643259</v>
      </c>
      <c r="AC192" s="113">
        <f t="shared" si="82"/>
        <v>791063.02557967475</v>
      </c>
      <c r="AD192" s="114">
        <f t="shared" si="104"/>
        <v>28.333333333333332</v>
      </c>
      <c r="AE192" s="114">
        <f t="shared" si="105"/>
        <v>3.9486568868038708E-3</v>
      </c>
      <c r="AF192" s="114">
        <f t="shared" si="106"/>
        <v>831.11111111111109</v>
      </c>
      <c r="AG192" s="114"/>
      <c r="AH192" s="176">
        <f t="shared" si="107"/>
        <v>100000000</v>
      </c>
      <c r="AI192" s="176">
        <f t="shared" si="108"/>
        <v>483333.33333333337</v>
      </c>
      <c r="AJ192" s="176">
        <f t="shared" si="109"/>
        <v>0</v>
      </c>
      <c r="AK192" s="113">
        <f t="shared" si="110"/>
        <v>483333.33333333337</v>
      </c>
      <c r="AL192" s="113">
        <f t="shared" si="83"/>
        <v>213544.60484183638</v>
      </c>
      <c r="AM192" s="114">
        <f t="shared" si="111"/>
        <v>28.333333333333332</v>
      </c>
      <c r="AN192" s="114">
        <f t="shared" si="112"/>
        <v>2.1303645110481236E-3</v>
      </c>
      <c r="AO192" s="114">
        <f t="shared" si="113"/>
        <v>831.11111111111109</v>
      </c>
    </row>
    <row r="193" spans="1:41" hidden="1" outlineLevel="1" x14ac:dyDescent="0.3">
      <c r="A193" s="146">
        <f t="shared" si="84"/>
        <v>171</v>
      </c>
      <c r="B193" s="147">
        <f t="shared" si="77"/>
        <v>114</v>
      </c>
      <c r="C193" s="147">
        <f t="shared" si="76"/>
        <v>246</v>
      </c>
      <c r="D193" s="149">
        <f t="shared" si="85"/>
        <v>148301227.48409709</v>
      </c>
      <c r="E193" s="149">
        <f t="shared" si="86"/>
        <v>1716409.7050073727</v>
      </c>
      <c r="F193" s="149">
        <f t="shared" si="78"/>
        <v>749192.84239377442</v>
      </c>
      <c r="G193" s="149">
        <f t="shared" si="79"/>
        <v>724219.74764731526</v>
      </c>
      <c r="H193" s="149">
        <f t="shared" si="87"/>
        <v>24973.094746459159</v>
      </c>
      <c r="I193" s="149">
        <f t="shared" si="88"/>
        <v>967216.86261359823</v>
      </c>
      <c r="J193" s="147">
        <f t="shared" si="89"/>
        <v>4.4999999999999998E-2</v>
      </c>
      <c r="K193" s="175">
        <f t="shared" si="80"/>
        <v>3.8296430163020645E-3</v>
      </c>
      <c r="L193" s="149">
        <f t="shared" si="90"/>
        <v>570124.13204420451</v>
      </c>
      <c r="M193" s="149">
        <f t="shared" si="91"/>
        <v>2261560.7423051181</v>
      </c>
      <c r="N193" s="149">
        <f t="shared" si="92"/>
        <v>1537340.9946578029</v>
      </c>
      <c r="P193" s="149">
        <f t="shared" si="93"/>
        <v>0</v>
      </c>
      <c r="Q193" s="149">
        <f t="shared" si="94"/>
        <v>0</v>
      </c>
      <c r="R193" s="176">
        <f t="shared" si="95"/>
        <v>0</v>
      </c>
      <c r="S193" s="113">
        <f t="shared" si="96"/>
        <v>0</v>
      </c>
      <c r="T193" s="113">
        <f t="shared" si="81"/>
        <v>0</v>
      </c>
      <c r="U193" s="114">
        <f t="shared" si="97"/>
        <v>28.5</v>
      </c>
      <c r="V193" s="114">
        <f t="shared" si="98"/>
        <v>0</v>
      </c>
      <c r="W193" s="114">
        <f t="shared" si="99"/>
        <v>840.75</v>
      </c>
      <c r="X193" s="114"/>
      <c r="Y193" s="149">
        <f t="shared" si="100"/>
        <v>48301227.484097019</v>
      </c>
      <c r="Z193" s="149">
        <f t="shared" si="101"/>
        <v>240886.41431398163</v>
      </c>
      <c r="AA193" s="176">
        <f t="shared" si="102"/>
        <v>1537340.9946578029</v>
      </c>
      <c r="AB193" s="113">
        <f t="shared" si="103"/>
        <v>1778227.4089717844</v>
      </c>
      <c r="AC193" s="113">
        <f t="shared" si="82"/>
        <v>781884.03125448129</v>
      </c>
      <c r="AD193" s="114">
        <f t="shared" si="104"/>
        <v>28.5</v>
      </c>
      <c r="AE193" s="114">
        <f t="shared" si="105"/>
        <v>3.9028391731905344E-3</v>
      </c>
      <c r="AF193" s="114">
        <f t="shared" si="106"/>
        <v>840.75</v>
      </c>
      <c r="AG193" s="114"/>
      <c r="AH193" s="176">
        <f t="shared" si="107"/>
        <v>100000000</v>
      </c>
      <c r="AI193" s="176">
        <f t="shared" si="108"/>
        <v>483333.33333333337</v>
      </c>
      <c r="AJ193" s="176">
        <f t="shared" si="109"/>
        <v>0</v>
      </c>
      <c r="AK193" s="113">
        <f t="shared" si="110"/>
        <v>483333.33333333337</v>
      </c>
      <c r="AL193" s="113">
        <f t="shared" si="83"/>
        <v>212520.97071479179</v>
      </c>
      <c r="AM193" s="114">
        <f t="shared" si="111"/>
        <v>28.5</v>
      </c>
      <c r="AN193" s="114">
        <f t="shared" si="112"/>
        <v>2.1201525283189478E-3</v>
      </c>
      <c r="AO193" s="114">
        <f t="shared" si="113"/>
        <v>840.75</v>
      </c>
    </row>
    <row r="194" spans="1:41" hidden="1" outlineLevel="1" x14ac:dyDescent="0.3">
      <c r="A194" s="146">
        <f t="shared" si="84"/>
        <v>172</v>
      </c>
      <c r="B194" s="147">
        <f t="shared" si="77"/>
        <v>113</v>
      </c>
      <c r="C194" s="147">
        <f t="shared" si="76"/>
        <v>247</v>
      </c>
      <c r="D194" s="149">
        <f t="shared" si="85"/>
        <v>146768664.75229678</v>
      </c>
      <c r="E194" s="149">
        <f t="shared" si="86"/>
        <v>1709836.468567478</v>
      </c>
      <c r="F194" s="149">
        <f t="shared" si="78"/>
        <v>741506.13742048549</v>
      </c>
      <c r="G194" s="149">
        <f t="shared" si="79"/>
        <v>716789.26617313595</v>
      </c>
      <c r="H194" s="149">
        <f t="shared" si="87"/>
        <v>24716.87124734954</v>
      </c>
      <c r="I194" s="149">
        <f t="shared" si="88"/>
        <v>968330.33114699251</v>
      </c>
      <c r="J194" s="147">
        <f t="shared" si="89"/>
        <v>4.4999999999999998E-2</v>
      </c>
      <c r="K194" s="175">
        <f t="shared" si="80"/>
        <v>3.8296430163020645E-3</v>
      </c>
      <c r="L194" s="149">
        <f t="shared" si="90"/>
        <v>564232.40065334574</v>
      </c>
      <c r="M194" s="149">
        <f t="shared" si="91"/>
        <v>2249351.9979734742</v>
      </c>
      <c r="N194" s="149">
        <f t="shared" si="92"/>
        <v>1532562.7318003383</v>
      </c>
      <c r="P194" s="149">
        <f t="shared" si="93"/>
        <v>0</v>
      </c>
      <c r="Q194" s="149">
        <f t="shared" si="94"/>
        <v>0</v>
      </c>
      <c r="R194" s="176">
        <f t="shared" si="95"/>
        <v>0</v>
      </c>
      <c r="S194" s="113">
        <f t="shared" si="96"/>
        <v>0</v>
      </c>
      <c r="T194" s="113">
        <f t="shared" si="81"/>
        <v>0</v>
      </c>
      <c r="U194" s="114">
        <f t="shared" si="97"/>
        <v>28.666666666666668</v>
      </c>
      <c r="V194" s="114">
        <f t="shared" si="98"/>
        <v>0</v>
      </c>
      <c r="W194" s="114">
        <f t="shared" si="99"/>
        <v>850.44444444444446</v>
      </c>
      <c r="X194" s="114"/>
      <c r="Y194" s="149">
        <f t="shared" si="100"/>
        <v>46768664.752296679</v>
      </c>
      <c r="Z194" s="149">
        <f t="shared" si="101"/>
        <v>233455.93283980226</v>
      </c>
      <c r="AA194" s="176">
        <f t="shared" si="102"/>
        <v>1532562.7318003383</v>
      </c>
      <c r="AB194" s="113">
        <f t="shared" si="103"/>
        <v>1766018.6646401405</v>
      </c>
      <c r="AC194" s="113">
        <f t="shared" si="82"/>
        <v>772793.60583508702</v>
      </c>
      <c r="AD194" s="114">
        <f t="shared" si="104"/>
        <v>28.666666666666668</v>
      </c>
      <c r="AE194" s="114">
        <f t="shared" si="105"/>
        <v>3.8574635586369845E-3</v>
      </c>
      <c r="AF194" s="114">
        <f t="shared" si="106"/>
        <v>850.44444444444446</v>
      </c>
      <c r="AG194" s="114"/>
      <c r="AH194" s="176">
        <f t="shared" si="107"/>
        <v>100000000</v>
      </c>
      <c r="AI194" s="176">
        <f t="shared" si="108"/>
        <v>483333.33333333337</v>
      </c>
      <c r="AJ194" s="176">
        <f t="shared" si="109"/>
        <v>0</v>
      </c>
      <c r="AK194" s="113">
        <f t="shared" si="110"/>
        <v>483333.33333333337</v>
      </c>
      <c r="AL194" s="113">
        <f t="shared" si="83"/>
        <v>211502.24341658916</v>
      </c>
      <c r="AM194" s="114">
        <f t="shared" si="111"/>
        <v>28.666666666666668</v>
      </c>
      <c r="AN194" s="114">
        <f t="shared" si="112"/>
        <v>2.1099894971146039E-3</v>
      </c>
      <c r="AO194" s="114">
        <f t="shared" si="113"/>
        <v>850.44444444444446</v>
      </c>
    </row>
    <row r="195" spans="1:41" hidden="1" outlineLevel="1" x14ac:dyDescent="0.3">
      <c r="A195" s="146">
        <f t="shared" si="84"/>
        <v>173</v>
      </c>
      <c r="B195" s="147">
        <f t="shared" si="77"/>
        <v>112</v>
      </c>
      <c r="C195" s="147">
        <f t="shared" si="76"/>
        <v>248</v>
      </c>
      <c r="D195" s="149">
        <f t="shared" si="85"/>
        <v>145240860.70738715</v>
      </c>
      <c r="E195" s="149">
        <f t="shared" si="86"/>
        <v>1703288.4052766101</v>
      </c>
      <c r="F195" s="149">
        <f t="shared" si="78"/>
        <v>733843.32376148389</v>
      </c>
      <c r="G195" s="149">
        <f t="shared" si="79"/>
        <v>709381.87963610108</v>
      </c>
      <c r="H195" s="149">
        <f t="shared" si="87"/>
        <v>24461.444125382812</v>
      </c>
      <c r="I195" s="149">
        <f t="shared" si="88"/>
        <v>969445.08151512616</v>
      </c>
      <c r="J195" s="147">
        <f t="shared" si="89"/>
        <v>4.4999999999999998E-2</v>
      </c>
      <c r="K195" s="175">
        <f t="shared" si="80"/>
        <v>3.8296430163020645E-3</v>
      </c>
      <c r="L195" s="149">
        <f t="shared" si="90"/>
        <v>558358.9633944995</v>
      </c>
      <c r="M195" s="149">
        <f t="shared" si="91"/>
        <v>2237185.9245457267</v>
      </c>
      <c r="N195" s="149">
        <f t="shared" si="92"/>
        <v>1527804.0449096258</v>
      </c>
      <c r="P195" s="149">
        <f t="shared" si="93"/>
        <v>0</v>
      </c>
      <c r="Q195" s="149">
        <f t="shared" si="94"/>
        <v>0</v>
      </c>
      <c r="R195" s="176">
        <f t="shared" si="95"/>
        <v>0</v>
      </c>
      <c r="S195" s="113">
        <f t="shared" si="96"/>
        <v>0</v>
      </c>
      <c r="T195" s="113">
        <f t="shared" si="81"/>
        <v>0</v>
      </c>
      <c r="U195" s="114">
        <f t="shared" si="97"/>
        <v>28.833333333333332</v>
      </c>
      <c r="V195" s="114">
        <f t="shared" si="98"/>
        <v>0</v>
      </c>
      <c r="W195" s="114">
        <f t="shared" si="99"/>
        <v>860.19444444444434</v>
      </c>
      <c r="X195" s="114"/>
      <c r="Y195" s="149">
        <f t="shared" si="100"/>
        <v>45240860.707387052</v>
      </c>
      <c r="Z195" s="149">
        <f t="shared" si="101"/>
        <v>226048.5463027673</v>
      </c>
      <c r="AA195" s="176">
        <f t="shared" si="102"/>
        <v>1527804.0449096258</v>
      </c>
      <c r="AB195" s="113">
        <f t="shared" si="103"/>
        <v>1753852.591212393</v>
      </c>
      <c r="AC195" s="113">
        <f t="shared" si="82"/>
        <v>763790.94776631286</v>
      </c>
      <c r="AD195" s="114">
        <f t="shared" si="104"/>
        <v>28.833333333333332</v>
      </c>
      <c r="AE195" s="114">
        <f t="shared" si="105"/>
        <v>3.8125260421138776E-3</v>
      </c>
      <c r="AF195" s="114">
        <f t="shared" si="106"/>
        <v>860.19444444444434</v>
      </c>
      <c r="AG195" s="114"/>
      <c r="AH195" s="176">
        <f t="shared" si="107"/>
        <v>100000000</v>
      </c>
      <c r="AI195" s="176">
        <f t="shared" si="108"/>
        <v>483333.33333333337</v>
      </c>
      <c r="AJ195" s="176">
        <f t="shared" si="109"/>
        <v>0</v>
      </c>
      <c r="AK195" s="113">
        <f t="shared" si="110"/>
        <v>483333.33333333337</v>
      </c>
      <c r="AL195" s="113">
        <f t="shared" si="83"/>
        <v>210488.3994261589</v>
      </c>
      <c r="AM195" s="114">
        <f t="shared" si="111"/>
        <v>28.833333333333332</v>
      </c>
      <c r="AN195" s="114">
        <f t="shared" si="112"/>
        <v>2.0998751827841075E-3</v>
      </c>
      <c r="AO195" s="114">
        <f t="shared" si="113"/>
        <v>860.19444444444434</v>
      </c>
    </row>
    <row r="196" spans="1:41" hidden="1" outlineLevel="1" x14ac:dyDescent="0.3">
      <c r="A196" s="146">
        <f t="shared" si="84"/>
        <v>174</v>
      </c>
      <c r="B196" s="147">
        <f t="shared" si="77"/>
        <v>111</v>
      </c>
      <c r="C196" s="147">
        <f t="shared" si="76"/>
        <v>249</v>
      </c>
      <c r="D196" s="149">
        <f t="shared" si="85"/>
        <v>143717795.84690043</v>
      </c>
      <c r="E196" s="149">
        <f t="shared" si="86"/>
        <v>1696765.4187305942</v>
      </c>
      <c r="F196" s="149">
        <f t="shared" si="78"/>
        <v>726204.30353693571</v>
      </c>
      <c r="G196" s="149">
        <f t="shared" si="79"/>
        <v>701997.4934190379</v>
      </c>
      <c r="H196" s="149">
        <f t="shared" si="87"/>
        <v>24206.81011789781</v>
      </c>
      <c r="I196" s="149">
        <f t="shared" si="88"/>
        <v>970561.11519365851</v>
      </c>
      <c r="J196" s="147">
        <f t="shared" si="89"/>
        <v>4.4999999999999998E-2</v>
      </c>
      <c r="K196" s="175">
        <f t="shared" si="80"/>
        <v>3.8296430163020645E-3</v>
      </c>
      <c r="L196" s="149">
        <f t="shared" si="90"/>
        <v>552503.74529305031</v>
      </c>
      <c r="M196" s="149">
        <f t="shared" si="91"/>
        <v>2225062.3539057467</v>
      </c>
      <c r="N196" s="149">
        <f t="shared" si="92"/>
        <v>1523064.8604867088</v>
      </c>
      <c r="P196" s="149">
        <f t="shared" si="93"/>
        <v>0</v>
      </c>
      <c r="Q196" s="149">
        <f t="shared" si="94"/>
        <v>0</v>
      </c>
      <c r="R196" s="176">
        <f t="shared" si="95"/>
        <v>0</v>
      </c>
      <c r="S196" s="113">
        <f t="shared" si="96"/>
        <v>0</v>
      </c>
      <c r="T196" s="113">
        <f t="shared" si="81"/>
        <v>0</v>
      </c>
      <c r="U196" s="114">
        <f t="shared" si="97"/>
        <v>29</v>
      </c>
      <c r="V196" s="114">
        <f t="shared" si="98"/>
        <v>0</v>
      </c>
      <c r="W196" s="114">
        <f t="shared" si="99"/>
        <v>870</v>
      </c>
      <c r="X196" s="114"/>
      <c r="Y196" s="149">
        <f t="shared" si="100"/>
        <v>43717795.846900344</v>
      </c>
      <c r="Z196" s="149">
        <f t="shared" si="101"/>
        <v>218664.16008570409</v>
      </c>
      <c r="AA196" s="176">
        <f t="shared" si="102"/>
        <v>1523064.8604867088</v>
      </c>
      <c r="AB196" s="113">
        <f t="shared" si="103"/>
        <v>1741729.020572413</v>
      </c>
      <c r="AC196" s="113">
        <f t="shared" si="82"/>
        <v>754875.26255550259</v>
      </c>
      <c r="AD196" s="114">
        <f t="shared" si="104"/>
        <v>29</v>
      </c>
      <c r="AE196" s="114">
        <f t="shared" si="105"/>
        <v>3.7680226578450404E-3</v>
      </c>
      <c r="AF196" s="114">
        <f t="shared" si="106"/>
        <v>870</v>
      </c>
      <c r="AG196" s="114"/>
      <c r="AH196" s="176">
        <f t="shared" si="107"/>
        <v>100000000</v>
      </c>
      <c r="AI196" s="176">
        <f t="shared" si="108"/>
        <v>483333.33333333337</v>
      </c>
      <c r="AJ196" s="176">
        <f t="shared" si="109"/>
        <v>0</v>
      </c>
      <c r="AK196" s="113">
        <f t="shared" si="110"/>
        <v>483333.33333333337</v>
      </c>
      <c r="AL196" s="113">
        <f t="shared" si="83"/>
        <v>209479.41533518085</v>
      </c>
      <c r="AM196" s="114">
        <f t="shared" si="111"/>
        <v>29</v>
      </c>
      <c r="AN196" s="114">
        <f t="shared" si="112"/>
        <v>2.0898093518012836E-3</v>
      </c>
      <c r="AO196" s="114">
        <f t="shared" si="113"/>
        <v>870</v>
      </c>
    </row>
    <row r="197" spans="1:41" hidden="1" outlineLevel="1" x14ac:dyDescent="0.3">
      <c r="A197" s="146">
        <f t="shared" si="84"/>
        <v>175</v>
      </c>
      <c r="B197" s="147">
        <f t="shared" si="77"/>
        <v>110</v>
      </c>
      <c r="C197" s="147">
        <f t="shared" si="76"/>
        <v>250</v>
      </c>
      <c r="D197" s="149">
        <f t="shared" si="85"/>
        <v>142199450.74158463</v>
      </c>
      <c r="E197" s="149">
        <f t="shared" si="86"/>
        <v>1690267.4128944497</v>
      </c>
      <c r="F197" s="149">
        <f t="shared" si="78"/>
        <v>718588.97923450219</v>
      </c>
      <c r="G197" s="149">
        <f t="shared" si="79"/>
        <v>694636.01326001878</v>
      </c>
      <c r="H197" s="149">
        <f t="shared" si="87"/>
        <v>23952.965974483406</v>
      </c>
      <c r="I197" s="149">
        <f t="shared" si="88"/>
        <v>971678.43365994748</v>
      </c>
      <c r="J197" s="147">
        <f t="shared" si="89"/>
        <v>4.4999999999999998E-2</v>
      </c>
      <c r="K197" s="175">
        <f t="shared" si="80"/>
        <v>3.8296430163020645E-3</v>
      </c>
      <c r="L197" s="149">
        <f t="shared" si="90"/>
        <v>546666.67165585095</v>
      </c>
      <c r="M197" s="149">
        <f t="shared" si="91"/>
        <v>2212981.118575817</v>
      </c>
      <c r="N197" s="149">
        <f t="shared" si="92"/>
        <v>1518345.1053157984</v>
      </c>
      <c r="P197" s="149">
        <f t="shared" si="93"/>
        <v>0</v>
      </c>
      <c r="Q197" s="149">
        <f t="shared" si="94"/>
        <v>0</v>
      </c>
      <c r="R197" s="176">
        <f t="shared" si="95"/>
        <v>0</v>
      </c>
      <c r="S197" s="113">
        <f t="shared" si="96"/>
        <v>0</v>
      </c>
      <c r="T197" s="113">
        <f t="shared" si="81"/>
        <v>0</v>
      </c>
      <c r="U197" s="114">
        <f t="shared" si="97"/>
        <v>29.166666666666668</v>
      </c>
      <c r="V197" s="114">
        <f t="shared" si="98"/>
        <v>0</v>
      </c>
      <c r="W197" s="114">
        <f t="shared" si="99"/>
        <v>879.8611111111112</v>
      </c>
      <c r="X197" s="114"/>
      <c r="Y197" s="149">
        <f t="shared" si="100"/>
        <v>42199450.741584547</v>
      </c>
      <c r="Z197" s="149">
        <f t="shared" si="101"/>
        <v>211302.679926685</v>
      </c>
      <c r="AA197" s="176">
        <f t="shared" si="102"/>
        <v>1518345.1053157984</v>
      </c>
      <c r="AB197" s="113">
        <f t="shared" si="103"/>
        <v>1729647.7852424835</v>
      </c>
      <c r="AC197" s="113">
        <f t="shared" si="82"/>
        <v>746045.76271104289</v>
      </c>
      <c r="AD197" s="114">
        <f t="shared" si="104"/>
        <v>29.166666666666668</v>
      </c>
      <c r="AE197" s="114">
        <f t="shared" si="105"/>
        <v>3.7239494750005869E-3</v>
      </c>
      <c r="AF197" s="114">
        <f t="shared" si="106"/>
        <v>879.8611111111112</v>
      </c>
      <c r="AG197" s="114"/>
      <c r="AH197" s="176">
        <f t="shared" si="107"/>
        <v>100000000</v>
      </c>
      <c r="AI197" s="176">
        <f t="shared" si="108"/>
        <v>483333.33333333337</v>
      </c>
      <c r="AJ197" s="176">
        <f t="shared" si="109"/>
        <v>0</v>
      </c>
      <c r="AK197" s="113">
        <f t="shared" si="110"/>
        <v>483333.33333333337</v>
      </c>
      <c r="AL197" s="113">
        <f t="shared" si="83"/>
        <v>208475.26784754364</v>
      </c>
      <c r="AM197" s="114">
        <f t="shared" si="111"/>
        <v>29.166666666666668</v>
      </c>
      <c r="AN197" s="114">
        <f t="shared" si="112"/>
        <v>2.079791771759377E-3</v>
      </c>
      <c r="AO197" s="114">
        <f t="shared" si="113"/>
        <v>879.8611111111112</v>
      </c>
    </row>
    <row r="198" spans="1:41" hidden="1" outlineLevel="1" x14ac:dyDescent="0.3">
      <c r="A198" s="146">
        <f t="shared" si="84"/>
        <v>176</v>
      </c>
      <c r="B198" s="147">
        <f t="shared" si="77"/>
        <v>109</v>
      </c>
      <c r="C198" s="147">
        <f t="shared" si="76"/>
        <v>251</v>
      </c>
      <c r="D198" s="149">
        <f t="shared" si="85"/>
        <v>140685806.03512144</v>
      </c>
      <c r="E198" s="149">
        <f t="shared" si="86"/>
        <v>1683794.2921009755</v>
      </c>
      <c r="F198" s="149">
        <f t="shared" si="78"/>
        <v>710997.25370792311</v>
      </c>
      <c r="G198" s="149">
        <f t="shared" si="79"/>
        <v>687297.34525099245</v>
      </c>
      <c r="H198" s="149">
        <f t="shared" si="87"/>
        <v>23699.908456930658</v>
      </c>
      <c r="I198" s="149">
        <f t="shared" si="88"/>
        <v>972797.03839305241</v>
      </c>
      <c r="J198" s="147">
        <f t="shared" si="89"/>
        <v>4.4999999999999998E-2</v>
      </c>
      <c r="K198" s="175">
        <f t="shared" si="80"/>
        <v>3.8296430163020645E-3</v>
      </c>
      <c r="L198" s="149">
        <f t="shared" si="90"/>
        <v>540847.66807013773</v>
      </c>
      <c r="M198" s="149">
        <f t="shared" si="91"/>
        <v>2200942.0517141828</v>
      </c>
      <c r="N198" s="149">
        <f t="shared" si="92"/>
        <v>1513644.7064631903</v>
      </c>
      <c r="P198" s="149">
        <f t="shared" si="93"/>
        <v>0</v>
      </c>
      <c r="Q198" s="149">
        <f t="shared" si="94"/>
        <v>0</v>
      </c>
      <c r="R198" s="176">
        <f t="shared" si="95"/>
        <v>0</v>
      </c>
      <c r="S198" s="113">
        <f t="shared" si="96"/>
        <v>0</v>
      </c>
      <c r="T198" s="113">
        <f t="shared" si="81"/>
        <v>0</v>
      </c>
      <c r="U198" s="114">
        <f t="shared" si="97"/>
        <v>29.333333333333332</v>
      </c>
      <c r="V198" s="114">
        <f t="shared" si="98"/>
        <v>0</v>
      </c>
      <c r="W198" s="114">
        <f t="shared" si="99"/>
        <v>889.77777777777771</v>
      </c>
      <c r="X198" s="114"/>
      <c r="Y198" s="149">
        <f t="shared" si="100"/>
        <v>40685806.035121359</v>
      </c>
      <c r="Z198" s="149">
        <f t="shared" si="101"/>
        <v>203964.01191765864</v>
      </c>
      <c r="AA198" s="176">
        <f t="shared" si="102"/>
        <v>1513644.7064631903</v>
      </c>
      <c r="AB198" s="113">
        <f t="shared" si="103"/>
        <v>1717608.7183808489</v>
      </c>
      <c r="AC198" s="113">
        <f t="shared" si="82"/>
        <v>737301.66768141813</v>
      </c>
      <c r="AD198" s="114">
        <f t="shared" si="104"/>
        <v>29.333333333333332</v>
      </c>
      <c r="AE198" s="114">
        <f t="shared" si="105"/>
        <v>3.6803025973927068E-3</v>
      </c>
      <c r="AF198" s="114">
        <f t="shared" si="106"/>
        <v>889.77777777777771</v>
      </c>
      <c r="AG198" s="114"/>
      <c r="AH198" s="176">
        <f t="shared" si="107"/>
        <v>100000000</v>
      </c>
      <c r="AI198" s="176">
        <f t="shared" si="108"/>
        <v>483333.33333333337</v>
      </c>
      <c r="AJ198" s="176">
        <f t="shared" si="109"/>
        <v>0</v>
      </c>
      <c r="AK198" s="113">
        <f t="shared" si="110"/>
        <v>483333.33333333337</v>
      </c>
      <c r="AL198" s="113">
        <f t="shared" si="83"/>
        <v>207475.93377880636</v>
      </c>
      <c r="AM198" s="114">
        <f t="shared" si="111"/>
        <v>29.333333333333332</v>
      </c>
      <c r="AN198" s="114">
        <f t="shared" si="112"/>
        <v>2.0698222113656782E-3</v>
      </c>
      <c r="AO198" s="114">
        <f t="shared" si="113"/>
        <v>889.77777777777771</v>
      </c>
    </row>
    <row r="199" spans="1:41" hidden="1" outlineLevel="1" x14ac:dyDescent="0.3">
      <c r="A199" s="146">
        <f t="shared" si="84"/>
        <v>177</v>
      </c>
      <c r="B199" s="147">
        <f t="shared" si="77"/>
        <v>108</v>
      </c>
      <c r="C199" s="147">
        <f t="shared" si="76"/>
        <v>252</v>
      </c>
      <c r="D199" s="149">
        <f t="shared" si="85"/>
        <v>139176842.44384527</v>
      </c>
      <c r="E199" s="149">
        <f t="shared" si="86"/>
        <v>1677345.9610493418</v>
      </c>
      <c r="F199" s="149">
        <f t="shared" si="78"/>
        <v>703429.03017560719</v>
      </c>
      <c r="G199" s="149">
        <f t="shared" si="79"/>
        <v>679981.39583642036</v>
      </c>
      <c r="H199" s="149">
        <f t="shared" si="87"/>
        <v>23447.634339186829</v>
      </c>
      <c r="I199" s="149">
        <f t="shared" si="88"/>
        <v>973916.93087373464</v>
      </c>
      <c r="J199" s="147">
        <f t="shared" si="89"/>
        <v>4.4999999999999998E-2</v>
      </c>
      <c r="K199" s="175">
        <f t="shared" si="80"/>
        <v>3.8296430163020645E-3</v>
      </c>
      <c r="L199" s="149">
        <f t="shared" si="90"/>
        <v>535046.66040245083</v>
      </c>
      <c r="M199" s="149">
        <f t="shared" si="91"/>
        <v>2188944.9871126059</v>
      </c>
      <c r="N199" s="149">
        <f t="shared" si="92"/>
        <v>1508963.5912761856</v>
      </c>
      <c r="P199" s="149">
        <f t="shared" si="93"/>
        <v>0</v>
      </c>
      <c r="Q199" s="149">
        <f t="shared" si="94"/>
        <v>0</v>
      </c>
      <c r="R199" s="176">
        <f t="shared" si="95"/>
        <v>0</v>
      </c>
      <c r="S199" s="113">
        <f t="shared" si="96"/>
        <v>0</v>
      </c>
      <c r="T199" s="113">
        <f t="shared" si="81"/>
        <v>0</v>
      </c>
      <c r="U199" s="114">
        <f t="shared" si="97"/>
        <v>29.5</v>
      </c>
      <c r="V199" s="114">
        <f t="shared" si="98"/>
        <v>0</v>
      </c>
      <c r="W199" s="114">
        <f t="shared" si="99"/>
        <v>899.75</v>
      </c>
      <c r="X199" s="114"/>
      <c r="Y199" s="149">
        <f t="shared" si="100"/>
        <v>39176842.443845175</v>
      </c>
      <c r="Z199" s="149">
        <f t="shared" si="101"/>
        <v>196648.06250308658</v>
      </c>
      <c r="AA199" s="176">
        <f t="shared" si="102"/>
        <v>1508963.5912761856</v>
      </c>
      <c r="AB199" s="113">
        <f t="shared" si="103"/>
        <v>1705611.6537792722</v>
      </c>
      <c r="AC199" s="113">
        <f t="shared" si="82"/>
        <v>728642.20379479358</v>
      </c>
      <c r="AD199" s="114">
        <f t="shared" si="104"/>
        <v>29.5</v>
      </c>
      <c r="AE199" s="114">
        <f t="shared" si="105"/>
        <v>3.637078163174089E-3</v>
      </c>
      <c r="AF199" s="114">
        <f t="shared" si="106"/>
        <v>899.75</v>
      </c>
      <c r="AG199" s="114"/>
      <c r="AH199" s="176">
        <f t="shared" si="107"/>
        <v>100000000</v>
      </c>
      <c r="AI199" s="176">
        <f t="shared" si="108"/>
        <v>483333.33333333337</v>
      </c>
      <c r="AJ199" s="176">
        <f t="shared" si="109"/>
        <v>0</v>
      </c>
      <c r="AK199" s="113">
        <f t="shared" si="110"/>
        <v>483333.33333333337</v>
      </c>
      <c r="AL199" s="113">
        <f t="shared" si="83"/>
        <v>206481.39005566374</v>
      </c>
      <c r="AM199" s="114">
        <f t="shared" si="111"/>
        <v>29.5</v>
      </c>
      <c r="AN199" s="114">
        <f t="shared" si="112"/>
        <v>2.0599004404361905E-3</v>
      </c>
      <c r="AO199" s="114">
        <f t="shared" si="113"/>
        <v>899.75</v>
      </c>
    </row>
    <row r="200" spans="1:41" hidden="1" outlineLevel="1" x14ac:dyDescent="0.3">
      <c r="A200" s="146">
        <f t="shared" si="84"/>
        <v>178</v>
      </c>
      <c r="B200" s="147">
        <f t="shared" si="77"/>
        <v>107</v>
      </c>
      <c r="C200" s="147">
        <f t="shared" si="76"/>
        <v>253</v>
      </c>
      <c r="D200" s="149">
        <f t="shared" si="85"/>
        <v>137672540.75646323</v>
      </c>
      <c r="E200" s="149">
        <f t="shared" si="86"/>
        <v>1670922.3248036867</v>
      </c>
      <c r="F200" s="149">
        <f t="shared" si="78"/>
        <v>695884.21221922641</v>
      </c>
      <c r="G200" s="149">
        <f t="shared" si="79"/>
        <v>672688.07181191887</v>
      </c>
      <c r="H200" s="149">
        <f t="shared" si="87"/>
        <v>23196.140407307539</v>
      </c>
      <c r="I200" s="149">
        <f t="shared" si="88"/>
        <v>975038.11258446029</v>
      </c>
      <c r="J200" s="147">
        <f t="shared" si="89"/>
        <v>4.4999999999999998E-2</v>
      </c>
      <c r="K200" s="175">
        <f t="shared" si="80"/>
        <v>3.8296430163020645E-3</v>
      </c>
      <c r="L200" s="149">
        <f t="shared" si="90"/>
        <v>529263.57479755732</v>
      </c>
      <c r="M200" s="149">
        <f t="shared" si="91"/>
        <v>2176989.7591939364</v>
      </c>
      <c r="N200" s="149">
        <f t="shared" si="92"/>
        <v>1504301.6873820177</v>
      </c>
      <c r="P200" s="149">
        <f t="shared" si="93"/>
        <v>0</v>
      </c>
      <c r="Q200" s="149">
        <f t="shared" si="94"/>
        <v>0</v>
      </c>
      <c r="R200" s="176">
        <f t="shared" si="95"/>
        <v>0</v>
      </c>
      <c r="S200" s="113">
        <f t="shared" si="96"/>
        <v>0</v>
      </c>
      <c r="T200" s="113">
        <f t="shared" si="81"/>
        <v>0</v>
      </c>
      <c r="U200" s="114">
        <f t="shared" si="97"/>
        <v>29.666666666666668</v>
      </c>
      <c r="V200" s="114">
        <f t="shared" si="98"/>
        <v>0</v>
      </c>
      <c r="W200" s="114">
        <f t="shared" si="99"/>
        <v>909.77777777777783</v>
      </c>
      <c r="X200" s="114"/>
      <c r="Y200" s="149">
        <f t="shared" si="100"/>
        <v>37672540.756463155</v>
      </c>
      <c r="Z200" s="149">
        <f t="shared" si="101"/>
        <v>189354.73847858503</v>
      </c>
      <c r="AA200" s="176">
        <f t="shared" si="102"/>
        <v>1504301.6873820177</v>
      </c>
      <c r="AB200" s="113">
        <f t="shared" si="103"/>
        <v>1693656.4258606029</v>
      </c>
      <c r="AC200" s="113">
        <f t="shared" si="82"/>
        <v>720066.60419911973</v>
      </c>
      <c r="AD200" s="114">
        <f t="shared" si="104"/>
        <v>29.666666666666668</v>
      </c>
      <c r="AE200" s="114">
        <f t="shared" si="105"/>
        <v>3.5942723445389476E-3</v>
      </c>
      <c r="AF200" s="114">
        <f t="shared" si="106"/>
        <v>909.77777777777783</v>
      </c>
      <c r="AG200" s="114"/>
      <c r="AH200" s="176">
        <f t="shared" si="107"/>
        <v>100000000</v>
      </c>
      <c r="AI200" s="176">
        <f t="shared" si="108"/>
        <v>483333.33333333337</v>
      </c>
      <c r="AJ200" s="176">
        <f t="shared" si="109"/>
        <v>0</v>
      </c>
      <c r="AK200" s="113">
        <f t="shared" si="110"/>
        <v>483333.33333333337</v>
      </c>
      <c r="AL200" s="113">
        <f t="shared" si="83"/>
        <v>205491.61371541335</v>
      </c>
      <c r="AM200" s="114">
        <f t="shared" si="111"/>
        <v>29.666666666666668</v>
      </c>
      <c r="AN200" s="114">
        <f t="shared" si="112"/>
        <v>2.0500262298903129E-3</v>
      </c>
      <c r="AO200" s="114">
        <f t="shared" si="113"/>
        <v>909.77777777777783</v>
      </c>
    </row>
    <row r="201" spans="1:41" hidden="1" outlineLevel="1" x14ac:dyDescent="0.3">
      <c r="A201" s="146">
        <f t="shared" si="84"/>
        <v>179</v>
      </c>
      <c r="B201" s="147">
        <f t="shared" si="77"/>
        <v>106</v>
      </c>
      <c r="C201" s="147">
        <f t="shared" si="76"/>
        <v>254</v>
      </c>
      <c r="D201" s="149">
        <f t="shared" si="85"/>
        <v>136172881.83377644</v>
      </c>
      <c r="E201" s="149">
        <f t="shared" si="86"/>
        <v>1664523.2887917191</v>
      </c>
      <c r="F201" s="149">
        <f t="shared" si="78"/>
        <v>688362.70378231618</v>
      </c>
      <c r="G201" s="149">
        <f t="shared" si="79"/>
        <v>665417.28032290563</v>
      </c>
      <c r="H201" s="149">
        <f t="shared" si="87"/>
        <v>22945.423459410551</v>
      </c>
      <c r="I201" s="149">
        <f t="shared" si="88"/>
        <v>976160.58500940294</v>
      </c>
      <c r="J201" s="147">
        <f t="shared" si="89"/>
        <v>4.4999999999999998E-2</v>
      </c>
      <c r="K201" s="175">
        <f t="shared" si="80"/>
        <v>3.8296430163020645E-3</v>
      </c>
      <c r="L201" s="149">
        <f t="shared" si="90"/>
        <v>523498.33767738019</v>
      </c>
      <c r="M201" s="149">
        <f t="shared" si="91"/>
        <v>2165076.2030096888</v>
      </c>
      <c r="N201" s="149">
        <f t="shared" si="92"/>
        <v>1499658.9226867831</v>
      </c>
      <c r="P201" s="149">
        <f t="shared" si="93"/>
        <v>0</v>
      </c>
      <c r="Q201" s="149">
        <f t="shared" si="94"/>
        <v>0</v>
      </c>
      <c r="R201" s="176">
        <f t="shared" si="95"/>
        <v>0</v>
      </c>
      <c r="S201" s="113">
        <f t="shared" si="96"/>
        <v>0</v>
      </c>
      <c r="T201" s="113">
        <f t="shared" si="81"/>
        <v>0</v>
      </c>
      <c r="U201" s="114">
        <f t="shared" si="97"/>
        <v>29.833333333333332</v>
      </c>
      <c r="V201" s="114">
        <f t="shared" si="98"/>
        <v>0</v>
      </c>
      <c r="W201" s="114">
        <f t="shared" si="99"/>
        <v>919.86111111111109</v>
      </c>
      <c r="X201" s="114"/>
      <c r="Y201" s="149">
        <f t="shared" si="100"/>
        <v>36172881.83377637</v>
      </c>
      <c r="Z201" s="149">
        <f t="shared" si="101"/>
        <v>182083.94698957194</v>
      </c>
      <c r="AA201" s="176">
        <f t="shared" si="102"/>
        <v>1499658.9226867831</v>
      </c>
      <c r="AB201" s="113">
        <f t="shared" si="103"/>
        <v>1681742.869676355</v>
      </c>
      <c r="AC201" s="113">
        <f t="shared" si="82"/>
        <v>711574.10880275653</v>
      </c>
      <c r="AD201" s="114">
        <f t="shared" si="104"/>
        <v>29.833333333333332</v>
      </c>
      <c r="AE201" s="114">
        <f t="shared" si="105"/>
        <v>3.5518813474266419E-3</v>
      </c>
      <c r="AF201" s="114">
        <f t="shared" si="106"/>
        <v>919.86111111111109</v>
      </c>
      <c r="AG201" s="114"/>
      <c r="AH201" s="176">
        <f t="shared" si="107"/>
        <v>100000000</v>
      </c>
      <c r="AI201" s="176">
        <f t="shared" si="108"/>
        <v>483333.33333333337</v>
      </c>
      <c r="AJ201" s="176">
        <f t="shared" si="109"/>
        <v>0</v>
      </c>
      <c r="AK201" s="113">
        <f t="shared" si="110"/>
        <v>483333.33333333337</v>
      </c>
      <c r="AL201" s="113">
        <f t="shared" si="83"/>
        <v>204506.58190542524</v>
      </c>
      <c r="AM201" s="114">
        <f t="shared" si="111"/>
        <v>29.833333333333332</v>
      </c>
      <c r="AN201" s="114">
        <f t="shared" si="112"/>
        <v>2.0401993517455501E-3</v>
      </c>
      <c r="AO201" s="114">
        <f t="shared" si="113"/>
        <v>919.86111111111109</v>
      </c>
    </row>
    <row r="202" spans="1:41" hidden="1" outlineLevel="1" x14ac:dyDescent="0.3">
      <c r="A202" s="146">
        <f t="shared" si="84"/>
        <v>180</v>
      </c>
      <c r="B202" s="147">
        <f t="shared" si="77"/>
        <v>105</v>
      </c>
      <c r="C202" s="147">
        <f t="shared" si="76"/>
        <v>255</v>
      </c>
      <c r="D202" s="149">
        <f t="shared" si="85"/>
        <v>134677846.60840207</v>
      </c>
      <c r="E202" s="149">
        <f t="shared" si="86"/>
        <v>1658148.7588033257</v>
      </c>
      <c r="F202" s="149">
        <f t="shared" si="78"/>
        <v>680864.40916888218</v>
      </c>
      <c r="G202" s="149">
        <f t="shared" si="79"/>
        <v>658168.92886325286</v>
      </c>
      <c r="H202" s="149">
        <f t="shared" si="87"/>
        <v>22695.480305629317</v>
      </c>
      <c r="I202" s="149">
        <f t="shared" si="88"/>
        <v>977284.34963444353</v>
      </c>
      <c r="J202" s="147">
        <f t="shared" si="89"/>
        <v>4.4999999999999998E-2</v>
      </c>
      <c r="K202" s="175">
        <f t="shared" si="80"/>
        <v>3.8296430163020645E-3</v>
      </c>
      <c r="L202" s="149">
        <f t="shared" si="90"/>
        <v>517750.87573992938</v>
      </c>
      <c r="M202" s="149">
        <f t="shared" si="91"/>
        <v>2153204.1542376257</v>
      </c>
      <c r="N202" s="149">
        <f t="shared" si="92"/>
        <v>1495035.2253743729</v>
      </c>
      <c r="P202" s="149">
        <f t="shared" si="93"/>
        <v>0</v>
      </c>
      <c r="Q202" s="149">
        <f t="shared" si="94"/>
        <v>0</v>
      </c>
      <c r="R202" s="176">
        <f t="shared" si="95"/>
        <v>0</v>
      </c>
      <c r="S202" s="113">
        <f t="shared" si="96"/>
        <v>0</v>
      </c>
      <c r="T202" s="113">
        <f t="shared" si="81"/>
        <v>0</v>
      </c>
      <c r="U202" s="114">
        <f t="shared" si="97"/>
        <v>30</v>
      </c>
      <c r="V202" s="114">
        <f t="shared" si="98"/>
        <v>0</v>
      </c>
      <c r="W202" s="114">
        <f t="shared" si="99"/>
        <v>930</v>
      </c>
      <c r="X202" s="114"/>
      <c r="Y202" s="149">
        <f t="shared" si="100"/>
        <v>34677846.608401999</v>
      </c>
      <c r="Z202" s="149">
        <f t="shared" si="101"/>
        <v>174835.59552991914</v>
      </c>
      <c r="AA202" s="176">
        <f t="shared" si="102"/>
        <v>1495035.2253743729</v>
      </c>
      <c r="AB202" s="113">
        <f t="shared" si="103"/>
        <v>1669870.8209042922</v>
      </c>
      <c r="AC202" s="113">
        <f t="shared" si="82"/>
        <v>703163.96421561018</v>
      </c>
      <c r="AD202" s="114">
        <f t="shared" si="104"/>
        <v>30</v>
      </c>
      <c r="AE202" s="114">
        <f t="shared" si="105"/>
        <v>3.5099014112278579E-3</v>
      </c>
      <c r="AF202" s="114">
        <f t="shared" si="106"/>
        <v>930</v>
      </c>
      <c r="AG202" s="114"/>
      <c r="AH202" s="176">
        <f t="shared" si="107"/>
        <v>100000000</v>
      </c>
      <c r="AI202" s="176">
        <f t="shared" si="108"/>
        <v>483333.33333333337</v>
      </c>
      <c r="AJ202" s="176">
        <f t="shared" si="109"/>
        <v>0</v>
      </c>
      <c r="AK202" s="113">
        <f t="shared" si="110"/>
        <v>483333.33333333337</v>
      </c>
      <c r="AL202" s="113">
        <f t="shared" si="83"/>
        <v>203526.2718826145</v>
      </c>
      <c r="AM202" s="114">
        <f t="shared" si="111"/>
        <v>30</v>
      </c>
      <c r="AN202" s="114">
        <f t="shared" si="112"/>
        <v>2.0304195791122515E-3</v>
      </c>
      <c r="AO202" s="114">
        <f t="shared" si="113"/>
        <v>930</v>
      </c>
    </row>
    <row r="203" spans="1:41" hidden="1" outlineLevel="1" x14ac:dyDescent="0.3">
      <c r="A203" s="146">
        <f t="shared" si="84"/>
        <v>181</v>
      </c>
      <c r="B203" s="147">
        <f t="shared" si="77"/>
        <v>104</v>
      </c>
      <c r="C203" s="147">
        <f t="shared" si="76"/>
        <v>256</v>
      </c>
      <c r="D203" s="149">
        <f t="shared" si="85"/>
        <v>133187416.08449666</v>
      </c>
      <c r="E203" s="149">
        <f t="shared" si="86"/>
        <v>1651798.6409891846</v>
      </c>
      <c r="F203" s="149">
        <f t="shared" si="78"/>
        <v>673389.23304201034</v>
      </c>
      <c r="G203" s="149">
        <f t="shared" si="79"/>
        <v>650942.92527394334</v>
      </c>
      <c r="H203" s="149">
        <f t="shared" si="87"/>
        <v>22446.307768066996</v>
      </c>
      <c r="I203" s="149">
        <f t="shared" si="88"/>
        <v>978409.40794717427</v>
      </c>
      <c r="J203" s="147">
        <f t="shared" si="89"/>
        <v>4.4999999999999998E-2</v>
      </c>
      <c r="K203" s="175">
        <f t="shared" si="80"/>
        <v>3.8296430163020645E-3</v>
      </c>
      <c r="L203" s="149">
        <f t="shared" si="90"/>
        <v>512021.1159582386</v>
      </c>
      <c r="M203" s="149">
        <f t="shared" si="91"/>
        <v>2141373.449179356</v>
      </c>
      <c r="N203" s="149">
        <f t="shared" si="92"/>
        <v>1490430.5239054128</v>
      </c>
      <c r="P203" s="149">
        <f t="shared" si="93"/>
        <v>0</v>
      </c>
      <c r="Q203" s="149">
        <f t="shared" si="94"/>
        <v>0</v>
      </c>
      <c r="R203" s="176">
        <f t="shared" si="95"/>
        <v>0</v>
      </c>
      <c r="S203" s="113">
        <f t="shared" si="96"/>
        <v>0</v>
      </c>
      <c r="T203" s="113">
        <f t="shared" si="81"/>
        <v>0</v>
      </c>
      <c r="U203" s="114">
        <f t="shared" si="97"/>
        <v>30.166666666666668</v>
      </c>
      <c r="V203" s="114">
        <f t="shared" si="98"/>
        <v>0</v>
      </c>
      <c r="W203" s="114">
        <f t="shared" si="99"/>
        <v>940.19444444444457</v>
      </c>
      <c r="X203" s="114"/>
      <c r="Y203" s="149">
        <f t="shared" si="100"/>
        <v>33187416.084496588</v>
      </c>
      <c r="Z203" s="149">
        <f t="shared" si="101"/>
        <v>167609.59194060968</v>
      </c>
      <c r="AA203" s="176">
        <f t="shared" si="102"/>
        <v>1490430.5239054128</v>
      </c>
      <c r="AB203" s="113">
        <f t="shared" si="103"/>
        <v>1658040.1158460225</v>
      </c>
      <c r="AC203" s="113">
        <f t="shared" si="82"/>
        <v>694835.4236907796</v>
      </c>
      <c r="AD203" s="114">
        <f t="shared" si="104"/>
        <v>30.166666666666668</v>
      </c>
      <c r="AE203" s="114">
        <f t="shared" si="105"/>
        <v>3.4683288084933301E-3</v>
      </c>
      <c r="AF203" s="114">
        <f t="shared" si="106"/>
        <v>940.19444444444457</v>
      </c>
      <c r="AG203" s="114"/>
      <c r="AH203" s="176">
        <f t="shared" si="107"/>
        <v>100000000</v>
      </c>
      <c r="AI203" s="176">
        <f t="shared" si="108"/>
        <v>483333.33333333337</v>
      </c>
      <c r="AJ203" s="176">
        <f t="shared" si="109"/>
        <v>0</v>
      </c>
      <c r="AK203" s="113">
        <f t="shared" si="110"/>
        <v>483333.33333333337</v>
      </c>
      <c r="AL203" s="113">
        <f t="shared" si="83"/>
        <v>202550.66101291589</v>
      </c>
      <c r="AM203" s="114">
        <f t="shared" si="111"/>
        <v>30.166666666666668</v>
      </c>
      <c r="AN203" s="114">
        <f t="shared" si="112"/>
        <v>2.0206866861883677E-3</v>
      </c>
      <c r="AO203" s="114">
        <f t="shared" si="113"/>
        <v>940.19444444444457</v>
      </c>
    </row>
    <row r="204" spans="1:41" hidden="1" outlineLevel="1" x14ac:dyDescent="0.3">
      <c r="A204" s="146">
        <f t="shared" si="84"/>
        <v>182</v>
      </c>
      <c r="B204" s="147">
        <f t="shared" si="77"/>
        <v>103</v>
      </c>
      <c r="C204" s="147">
        <f t="shared" si="76"/>
        <v>257</v>
      </c>
      <c r="D204" s="149">
        <f t="shared" si="85"/>
        <v>131701571.33748046</v>
      </c>
      <c r="E204" s="149">
        <f t="shared" si="86"/>
        <v>1645472.841859383</v>
      </c>
      <c r="F204" s="149">
        <f t="shared" si="78"/>
        <v>665937.08042248327</v>
      </c>
      <c r="G204" s="149">
        <f t="shared" si="79"/>
        <v>643739.17774173385</v>
      </c>
      <c r="H204" s="149">
        <f t="shared" si="87"/>
        <v>22197.902680749423</v>
      </c>
      <c r="I204" s="149">
        <f t="shared" si="88"/>
        <v>979535.76143689977</v>
      </c>
      <c r="J204" s="147">
        <f t="shared" si="89"/>
        <v>4.4999999999999998E-2</v>
      </c>
      <c r="K204" s="175">
        <f t="shared" si="80"/>
        <v>3.8296430163020645E-3</v>
      </c>
      <c r="L204" s="149">
        <f t="shared" si="90"/>
        <v>506308.98557930498</v>
      </c>
      <c r="M204" s="149">
        <f t="shared" si="91"/>
        <v>2129583.9247579384</v>
      </c>
      <c r="N204" s="149">
        <f t="shared" si="92"/>
        <v>1485844.7470162048</v>
      </c>
      <c r="P204" s="149">
        <f t="shared" si="93"/>
        <v>0</v>
      </c>
      <c r="Q204" s="149">
        <f t="shared" si="94"/>
        <v>0</v>
      </c>
      <c r="R204" s="176">
        <f t="shared" si="95"/>
        <v>0</v>
      </c>
      <c r="S204" s="113">
        <f t="shared" si="96"/>
        <v>0</v>
      </c>
      <c r="T204" s="113">
        <f t="shared" si="81"/>
        <v>0</v>
      </c>
      <c r="U204" s="114">
        <f t="shared" si="97"/>
        <v>30.333333333333332</v>
      </c>
      <c r="V204" s="114">
        <f t="shared" si="98"/>
        <v>0</v>
      </c>
      <c r="W204" s="114">
        <f t="shared" si="99"/>
        <v>950.44444444444434</v>
      </c>
      <c r="X204" s="114"/>
      <c r="Y204" s="149">
        <f t="shared" si="100"/>
        <v>31701571.337480381</v>
      </c>
      <c r="Z204" s="149">
        <f t="shared" si="101"/>
        <v>160405.84440840018</v>
      </c>
      <c r="AA204" s="176">
        <f t="shared" si="102"/>
        <v>1485844.7470162048</v>
      </c>
      <c r="AB204" s="113">
        <f t="shared" si="103"/>
        <v>1646250.5914246049</v>
      </c>
      <c r="AC204" s="113">
        <f t="shared" si="82"/>
        <v>686587.74706671003</v>
      </c>
      <c r="AD204" s="114">
        <f t="shared" si="104"/>
        <v>30.333333333333332</v>
      </c>
      <c r="AE204" s="114">
        <f t="shared" si="105"/>
        <v>3.4271598446450969E-3</v>
      </c>
      <c r="AF204" s="114">
        <f t="shared" si="106"/>
        <v>950.44444444444434</v>
      </c>
      <c r="AG204" s="114"/>
      <c r="AH204" s="176">
        <f t="shared" si="107"/>
        <v>100000000</v>
      </c>
      <c r="AI204" s="176">
        <f t="shared" si="108"/>
        <v>483333.33333333337</v>
      </c>
      <c r="AJ204" s="176">
        <f t="shared" si="109"/>
        <v>0</v>
      </c>
      <c r="AK204" s="113">
        <f t="shared" si="110"/>
        <v>483333.33333333337</v>
      </c>
      <c r="AL204" s="113">
        <f t="shared" si="83"/>
        <v>201579.7267707616</v>
      </c>
      <c r="AM204" s="114">
        <f t="shared" si="111"/>
        <v>30.333333333333332</v>
      </c>
      <c r="AN204" s="114">
        <f t="shared" si="112"/>
        <v>2.0110004482542417E-3</v>
      </c>
      <c r="AO204" s="114">
        <f t="shared" si="113"/>
        <v>950.44444444444434</v>
      </c>
    </row>
    <row r="205" spans="1:41" hidden="1" outlineLevel="1" x14ac:dyDescent="0.3">
      <c r="A205" s="146">
        <f t="shared" si="84"/>
        <v>183</v>
      </c>
      <c r="B205" s="147">
        <f t="shared" si="77"/>
        <v>102</v>
      </c>
      <c r="C205" s="147">
        <f t="shared" si="76"/>
        <v>258</v>
      </c>
      <c r="D205" s="149">
        <f t="shared" si="85"/>
        <v>130220293.51376277</v>
      </c>
      <c r="E205" s="149">
        <f t="shared" si="86"/>
        <v>1639171.2682820417</v>
      </c>
      <c r="F205" s="149">
        <f t="shared" si="78"/>
        <v>658507.85668740224</v>
      </c>
      <c r="G205" s="149">
        <f t="shared" si="79"/>
        <v>636557.59479782218</v>
      </c>
      <c r="H205" s="149">
        <f t="shared" si="87"/>
        <v>21950.261889580055</v>
      </c>
      <c r="I205" s="149">
        <f t="shared" si="88"/>
        <v>980663.41159463942</v>
      </c>
      <c r="J205" s="147">
        <f t="shared" si="89"/>
        <v>4.4999999999999998E-2</v>
      </c>
      <c r="K205" s="175">
        <f t="shared" si="80"/>
        <v>3.8296430163020645E-3</v>
      </c>
      <c r="L205" s="149">
        <f t="shared" si="90"/>
        <v>500614.41212303378</v>
      </c>
      <c r="M205" s="149">
        <f t="shared" si="91"/>
        <v>2117835.4185154955</v>
      </c>
      <c r="N205" s="149">
        <f t="shared" si="92"/>
        <v>1481277.8237176733</v>
      </c>
      <c r="P205" s="149">
        <f t="shared" si="93"/>
        <v>0</v>
      </c>
      <c r="Q205" s="149">
        <f t="shared" si="94"/>
        <v>0</v>
      </c>
      <c r="R205" s="176">
        <f t="shared" si="95"/>
        <v>0</v>
      </c>
      <c r="S205" s="113">
        <f t="shared" si="96"/>
        <v>0</v>
      </c>
      <c r="T205" s="113">
        <f t="shared" si="81"/>
        <v>0</v>
      </c>
      <c r="U205" s="114">
        <f t="shared" si="97"/>
        <v>30.5</v>
      </c>
      <c r="V205" s="114">
        <f t="shared" si="98"/>
        <v>0</v>
      </c>
      <c r="W205" s="114">
        <f t="shared" si="99"/>
        <v>960.75</v>
      </c>
      <c r="X205" s="114"/>
      <c r="Y205" s="149">
        <f t="shared" si="100"/>
        <v>30220293.513762709</v>
      </c>
      <c r="Z205" s="149">
        <f t="shared" si="101"/>
        <v>153224.26146448852</v>
      </c>
      <c r="AA205" s="176">
        <f t="shared" si="102"/>
        <v>1481277.8237176733</v>
      </c>
      <c r="AB205" s="113">
        <f t="shared" si="103"/>
        <v>1634502.0851821618</v>
      </c>
      <c r="AC205" s="113">
        <f t="shared" si="82"/>
        <v>678420.20070984482</v>
      </c>
      <c r="AD205" s="114">
        <f t="shared" si="104"/>
        <v>30.5</v>
      </c>
      <c r="AE205" s="114">
        <f t="shared" si="105"/>
        <v>3.3863908576902422E-3</v>
      </c>
      <c r="AF205" s="114">
        <f t="shared" si="106"/>
        <v>960.75</v>
      </c>
      <c r="AG205" s="114"/>
      <c r="AH205" s="176">
        <f t="shared" si="107"/>
        <v>100000000</v>
      </c>
      <c r="AI205" s="176">
        <f t="shared" si="108"/>
        <v>483333.33333333337</v>
      </c>
      <c r="AJ205" s="176">
        <f t="shared" si="109"/>
        <v>0</v>
      </c>
      <c r="AK205" s="113">
        <f t="shared" si="110"/>
        <v>483333.33333333337</v>
      </c>
      <c r="AL205" s="113">
        <f t="shared" si="83"/>
        <v>200613.44673856092</v>
      </c>
      <c r="AM205" s="114">
        <f t="shared" si="111"/>
        <v>30.5</v>
      </c>
      <c r="AN205" s="114">
        <f t="shared" si="112"/>
        <v>2.0013606416674191E-3</v>
      </c>
      <c r="AO205" s="114">
        <f t="shared" si="113"/>
        <v>960.75</v>
      </c>
    </row>
    <row r="206" spans="1:41" hidden="1" outlineLevel="1" x14ac:dyDescent="0.3">
      <c r="A206" s="146">
        <f t="shared" si="84"/>
        <v>184</v>
      </c>
      <c r="B206" s="147">
        <f t="shared" si="77"/>
        <v>101</v>
      </c>
      <c r="C206" s="147">
        <f t="shared" si="76"/>
        <v>259</v>
      </c>
      <c r="D206" s="149">
        <f t="shared" si="85"/>
        <v>128743563.83046846</v>
      </c>
      <c r="E206" s="149">
        <f t="shared" si="86"/>
        <v>1632893.8274819423</v>
      </c>
      <c r="F206" s="149">
        <f t="shared" si="78"/>
        <v>651101.46756881382</v>
      </c>
      <c r="G206" s="149">
        <f t="shared" si="79"/>
        <v>629398.08531652007</v>
      </c>
      <c r="H206" s="149">
        <f t="shared" si="87"/>
        <v>21703.382252293755</v>
      </c>
      <c r="I206" s="149">
        <f t="shared" si="88"/>
        <v>981792.35991312843</v>
      </c>
      <c r="J206" s="147">
        <f t="shared" si="89"/>
        <v>4.4999999999999998E-2</v>
      </c>
      <c r="K206" s="175">
        <f t="shared" si="80"/>
        <v>3.8296430163020645E-3</v>
      </c>
      <c r="L206" s="149">
        <f t="shared" si="90"/>
        <v>494937.32338118658</v>
      </c>
      <c r="M206" s="149">
        <f t="shared" si="91"/>
        <v>2106127.7686108351</v>
      </c>
      <c r="N206" s="149">
        <f t="shared" si="92"/>
        <v>1476729.6832943149</v>
      </c>
      <c r="P206" s="149">
        <f t="shared" si="93"/>
        <v>0</v>
      </c>
      <c r="Q206" s="149">
        <f t="shared" si="94"/>
        <v>0</v>
      </c>
      <c r="R206" s="176">
        <f t="shared" si="95"/>
        <v>0</v>
      </c>
      <c r="S206" s="113">
        <f t="shared" si="96"/>
        <v>0</v>
      </c>
      <c r="T206" s="113">
        <f t="shared" si="81"/>
        <v>0</v>
      </c>
      <c r="U206" s="114">
        <f t="shared" si="97"/>
        <v>30.666666666666668</v>
      </c>
      <c r="V206" s="114">
        <f t="shared" si="98"/>
        <v>0</v>
      </c>
      <c r="W206" s="114">
        <f t="shared" si="99"/>
        <v>971.1111111111112</v>
      </c>
      <c r="X206" s="114"/>
      <c r="Y206" s="149">
        <f t="shared" si="100"/>
        <v>28743563.830468394</v>
      </c>
      <c r="Z206" s="149">
        <f t="shared" si="101"/>
        <v>146064.75198318643</v>
      </c>
      <c r="AA206" s="176">
        <f t="shared" si="102"/>
        <v>1476729.6832943149</v>
      </c>
      <c r="AB206" s="113">
        <f t="shared" si="103"/>
        <v>1622794.4352775014</v>
      </c>
      <c r="AC206" s="113">
        <f t="shared" si="82"/>
        <v>670332.05745777406</v>
      </c>
      <c r="AD206" s="114">
        <f t="shared" si="104"/>
        <v>30.666666666666668</v>
      </c>
      <c r="AE206" s="114">
        <f t="shared" si="105"/>
        <v>3.3460182179371172E-3</v>
      </c>
      <c r="AF206" s="114">
        <f t="shared" si="106"/>
        <v>971.1111111111112</v>
      </c>
      <c r="AG206" s="114"/>
      <c r="AH206" s="176">
        <f t="shared" si="107"/>
        <v>100000000</v>
      </c>
      <c r="AI206" s="176">
        <f t="shared" si="108"/>
        <v>483333.33333333337</v>
      </c>
      <c r="AJ206" s="176">
        <f t="shared" si="109"/>
        <v>0</v>
      </c>
      <c r="AK206" s="113">
        <f t="shared" si="110"/>
        <v>483333.33333333337</v>
      </c>
      <c r="AL206" s="113">
        <f t="shared" si="83"/>
        <v>199651.79860618256</v>
      </c>
      <c r="AM206" s="114">
        <f t="shared" si="111"/>
        <v>30.666666666666668</v>
      </c>
      <c r="AN206" s="114">
        <f t="shared" si="112"/>
        <v>1.9917670438574821E-3</v>
      </c>
      <c r="AO206" s="114">
        <f t="shared" si="113"/>
        <v>971.1111111111112</v>
      </c>
    </row>
    <row r="207" spans="1:41" hidden="1" outlineLevel="1" x14ac:dyDescent="0.3">
      <c r="A207" s="146">
        <f t="shared" si="84"/>
        <v>185</v>
      </c>
      <c r="B207" s="147">
        <f t="shared" si="77"/>
        <v>100</v>
      </c>
      <c r="C207" s="147">
        <f t="shared" si="76"/>
        <v>260</v>
      </c>
      <c r="D207" s="149">
        <f t="shared" si="85"/>
        <v>127271363.5751653</v>
      </c>
      <c r="E207" s="149">
        <f t="shared" si="86"/>
        <v>1626640.4270391632</v>
      </c>
      <c r="F207" s="149">
        <f t="shared" si="78"/>
        <v>643717.81915234227</v>
      </c>
      <c r="G207" s="149">
        <f t="shared" si="79"/>
        <v>622260.55851393088</v>
      </c>
      <c r="H207" s="149">
        <f t="shared" si="87"/>
        <v>21457.26063841139</v>
      </c>
      <c r="I207" s="149">
        <f t="shared" si="88"/>
        <v>982922.60788682092</v>
      </c>
      <c r="J207" s="147">
        <f t="shared" si="89"/>
        <v>4.4999999999999998E-2</v>
      </c>
      <c r="K207" s="175">
        <f t="shared" si="80"/>
        <v>3.8296430163020645E-3</v>
      </c>
      <c r="L207" s="149">
        <f t="shared" si="90"/>
        <v>489277.64741633344</v>
      </c>
      <c r="M207" s="149">
        <f t="shared" si="91"/>
        <v>2094460.8138170852</v>
      </c>
      <c r="N207" s="149">
        <f t="shared" si="92"/>
        <v>1472200.2553031542</v>
      </c>
      <c r="P207" s="149">
        <f t="shared" si="93"/>
        <v>0</v>
      </c>
      <c r="Q207" s="149">
        <f t="shared" si="94"/>
        <v>0</v>
      </c>
      <c r="R207" s="176">
        <f t="shared" si="95"/>
        <v>0</v>
      </c>
      <c r="S207" s="113">
        <f t="shared" si="96"/>
        <v>0</v>
      </c>
      <c r="T207" s="113">
        <f t="shared" si="81"/>
        <v>0</v>
      </c>
      <c r="U207" s="114">
        <f t="shared" si="97"/>
        <v>30.833333333333332</v>
      </c>
      <c r="V207" s="114">
        <f t="shared" si="98"/>
        <v>0</v>
      </c>
      <c r="W207" s="114">
        <f t="shared" si="99"/>
        <v>981.52777777777771</v>
      </c>
      <c r="X207" s="114"/>
      <c r="Y207" s="149">
        <f t="shared" si="100"/>
        <v>27271363.575165238</v>
      </c>
      <c r="Z207" s="149">
        <f t="shared" si="101"/>
        <v>138927.22518059725</v>
      </c>
      <c r="AA207" s="176">
        <f t="shared" si="102"/>
        <v>1472200.2553031542</v>
      </c>
      <c r="AB207" s="113">
        <f t="shared" si="103"/>
        <v>1611127.4804837515</v>
      </c>
      <c r="AC207" s="113">
        <f t="shared" si="82"/>
        <v>662322.59656287741</v>
      </c>
      <c r="AD207" s="114">
        <f t="shared" si="104"/>
        <v>30.833333333333332</v>
      </c>
      <c r="AE207" s="114">
        <f t="shared" si="105"/>
        <v>3.3060383277140281E-3</v>
      </c>
      <c r="AF207" s="114">
        <f t="shared" si="106"/>
        <v>981.52777777777771</v>
      </c>
      <c r="AG207" s="114"/>
      <c r="AH207" s="176">
        <f t="shared" si="107"/>
        <v>100000000</v>
      </c>
      <c r="AI207" s="176">
        <f t="shared" si="108"/>
        <v>483333.33333333337</v>
      </c>
      <c r="AJ207" s="176">
        <f t="shared" si="109"/>
        <v>0</v>
      </c>
      <c r="AK207" s="113">
        <f t="shared" si="110"/>
        <v>483333.33333333337</v>
      </c>
      <c r="AL207" s="113">
        <f t="shared" si="83"/>
        <v>198694.7601704399</v>
      </c>
      <c r="AM207" s="114">
        <f t="shared" si="111"/>
        <v>30.833333333333332</v>
      </c>
      <c r="AN207" s="114">
        <f t="shared" si="112"/>
        <v>1.9822194333209138E-3</v>
      </c>
      <c r="AO207" s="114">
        <f t="shared" si="113"/>
        <v>981.52777777777771</v>
      </c>
    </row>
    <row r="208" spans="1:41" hidden="1" outlineLevel="1" x14ac:dyDescent="0.3">
      <c r="A208" s="146">
        <f t="shared" si="84"/>
        <v>186</v>
      </c>
      <c r="B208" s="147">
        <f t="shared" si="77"/>
        <v>99</v>
      </c>
      <c r="C208" s="147">
        <f t="shared" si="76"/>
        <v>261</v>
      </c>
      <c r="D208" s="149">
        <f t="shared" si="85"/>
        <v>125803674.10559259</v>
      </c>
      <c r="E208" s="149">
        <f t="shared" si="86"/>
        <v>1620410.974887718</v>
      </c>
      <c r="F208" s="149">
        <f t="shared" si="78"/>
        <v>636356.8178758265</v>
      </c>
      <c r="G208" s="149">
        <f t="shared" si="79"/>
        <v>615144.92394663231</v>
      </c>
      <c r="H208" s="149">
        <f t="shared" si="87"/>
        <v>21211.893929194193</v>
      </c>
      <c r="I208" s="149">
        <f t="shared" si="88"/>
        <v>984054.15701189148</v>
      </c>
      <c r="J208" s="147">
        <f t="shared" si="89"/>
        <v>4.4999999999999998E-2</v>
      </c>
      <c r="K208" s="175">
        <f t="shared" si="80"/>
        <v>3.8296430163020645E-3</v>
      </c>
      <c r="L208" s="149">
        <f t="shared" si="90"/>
        <v>483635.31256080914</v>
      </c>
      <c r="M208" s="149">
        <f t="shared" si="91"/>
        <v>2082834.3935193329</v>
      </c>
      <c r="N208" s="149">
        <f t="shared" si="92"/>
        <v>1467689.4695727006</v>
      </c>
      <c r="P208" s="149">
        <f t="shared" si="93"/>
        <v>0</v>
      </c>
      <c r="Q208" s="149">
        <f t="shared" si="94"/>
        <v>0</v>
      </c>
      <c r="R208" s="176">
        <f t="shared" si="95"/>
        <v>0</v>
      </c>
      <c r="S208" s="113">
        <f t="shared" si="96"/>
        <v>0</v>
      </c>
      <c r="T208" s="113">
        <f t="shared" si="81"/>
        <v>0</v>
      </c>
      <c r="U208" s="114">
        <f t="shared" si="97"/>
        <v>31</v>
      </c>
      <c r="V208" s="114">
        <f t="shared" si="98"/>
        <v>0</v>
      </c>
      <c r="W208" s="114">
        <f t="shared" si="99"/>
        <v>992</v>
      </c>
      <c r="X208" s="114"/>
      <c r="Y208" s="149">
        <f t="shared" si="100"/>
        <v>25803674.105592538</v>
      </c>
      <c r="Z208" s="149">
        <f t="shared" si="101"/>
        <v>131811.59061329867</v>
      </c>
      <c r="AA208" s="176">
        <f t="shared" si="102"/>
        <v>1467689.4695727006</v>
      </c>
      <c r="AB208" s="113">
        <f t="shared" si="103"/>
        <v>1599501.0601859991</v>
      </c>
      <c r="AC208" s="113">
        <f t="shared" si="82"/>
        <v>654391.10363645281</v>
      </c>
      <c r="AD208" s="114">
        <f t="shared" si="104"/>
        <v>31</v>
      </c>
      <c r="AE208" s="114">
        <f t="shared" si="105"/>
        <v>3.2664476210903519E-3</v>
      </c>
      <c r="AF208" s="114">
        <f t="shared" si="106"/>
        <v>992</v>
      </c>
      <c r="AG208" s="114"/>
      <c r="AH208" s="176">
        <f t="shared" si="107"/>
        <v>100000000</v>
      </c>
      <c r="AI208" s="176">
        <f t="shared" si="108"/>
        <v>483333.33333333337</v>
      </c>
      <c r="AJ208" s="176">
        <f t="shared" si="109"/>
        <v>0</v>
      </c>
      <c r="AK208" s="113">
        <f t="shared" si="110"/>
        <v>483333.33333333337</v>
      </c>
      <c r="AL208" s="113">
        <f t="shared" si="83"/>
        <v>197742.30933457817</v>
      </c>
      <c r="AM208" s="114">
        <f t="shared" si="111"/>
        <v>31</v>
      </c>
      <c r="AN208" s="114">
        <f t="shared" si="112"/>
        <v>1.9727175896159846E-3</v>
      </c>
      <c r="AO208" s="114">
        <f t="shared" si="113"/>
        <v>992</v>
      </c>
    </row>
    <row r="209" spans="1:41" hidden="1" outlineLevel="1" x14ac:dyDescent="0.3">
      <c r="A209" s="146">
        <f t="shared" si="84"/>
        <v>187</v>
      </c>
      <c r="B209" s="147">
        <f t="shared" si="77"/>
        <v>98</v>
      </c>
      <c r="C209" s="147">
        <f t="shared" si="76"/>
        <v>262</v>
      </c>
      <c r="D209" s="149">
        <f t="shared" si="85"/>
        <v>124340476.84939069</v>
      </c>
      <c r="E209" s="149">
        <f t="shared" si="86"/>
        <v>1614205.3793142</v>
      </c>
      <c r="F209" s="149">
        <f t="shared" si="78"/>
        <v>629018.37052796304</v>
      </c>
      <c r="G209" s="149">
        <f t="shared" si="79"/>
        <v>608051.0915103642</v>
      </c>
      <c r="H209" s="149">
        <f t="shared" si="87"/>
        <v>20967.279017598834</v>
      </c>
      <c r="I209" s="149">
        <f t="shared" si="88"/>
        <v>985187.00878623698</v>
      </c>
      <c r="J209" s="147">
        <f t="shared" si="89"/>
        <v>4.4999999999999998E-2</v>
      </c>
      <c r="K209" s="175">
        <f t="shared" si="80"/>
        <v>3.8296430163020645E-3</v>
      </c>
      <c r="L209" s="149">
        <f t="shared" si="90"/>
        <v>478010.24741567386</v>
      </c>
      <c r="M209" s="149">
        <f t="shared" si="91"/>
        <v>2071248.3477122751</v>
      </c>
      <c r="N209" s="149">
        <f t="shared" si="92"/>
        <v>1463197.2562019108</v>
      </c>
      <c r="P209" s="149">
        <f t="shared" si="93"/>
        <v>0</v>
      </c>
      <c r="Q209" s="149">
        <f t="shared" si="94"/>
        <v>0</v>
      </c>
      <c r="R209" s="176">
        <f t="shared" si="95"/>
        <v>0</v>
      </c>
      <c r="S209" s="113">
        <f t="shared" si="96"/>
        <v>0</v>
      </c>
      <c r="T209" s="113">
        <f t="shared" si="81"/>
        <v>0</v>
      </c>
      <c r="U209" s="114">
        <f t="shared" si="97"/>
        <v>31.166666666666668</v>
      </c>
      <c r="V209" s="114">
        <f t="shared" si="98"/>
        <v>0</v>
      </c>
      <c r="W209" s="114">
        <f t="shared" si="99"/>
        <v>1002.5277777777779</v>
      </c>
      <c r="X209" s="114"/>
      <c r="Y209" s="149">
        <f t="shared" si="100"/>
        <v>24340476.849390626</v>
      </c>
      <c r="Z209" s="149">
        <f t="shared" si="101"/>
        <v>124717.7581770306</v>
      </c>
      <c r="AA209" s="176">
        <f t="shared" si="102"/>
        <v>1463197.2562019108</v>
      </c>
      <c r="AB209" s="113">
        <f t="shared" si="103"/>
        <v>1587915.0143789414</v>
      </c>
      <c r="AC209" s="113">
        <f t="shared" si="82"/>
        <v>646536.87059332815</v>
      </c>
      <c r="AD209" s="114">
        <f t="shared" si="104"/>
        <v>31.166666666666668</v>
      </c>
      <c r="AE209" s="114">
        <f t="shared" si="105"/>
        <v>3.2272425636000581E-3</v>
      </c>
      <c r="AF209" s="114">
        <f t="shared" si="106"/>
        <v>1002.5277777777779</v>
      </c>
      <c r="AG209" s="114"/>
      <c r="AH209" s="176">
        <f t="shared" si="107"/>
        <v>100000000</v>
      </c>
      <c r="AI209" s="176">
        <f t="shared" si="108"/>
        <v>483333.33333333337</v>
      </c>
      <c r="AJ209" s="176">
        <f t="shared" si="109"/>
        <v>0</v>
      </c>
      <c r="AK209" s="113">
        <f t="shared" si="110"/>
        <v>483333.33333333337</v>
      </c>
      <c r="AL209" s="113">
        <f t="shared" si="83"/>
        <v>196794.42410776383</v>
      </c>
      <c r="AM209" s="114">
        <f t="shared" si="111"/>
        <v>31.166666666666668</v>
      </c>
      <c r="AN209" s="114">
        <f t="shared" si="112"/>
        <v>1.9632612933576563E-3</v>
      </c>
      <c r="AO209" s="114">
        <f t="shared" si="113"/>
        <v>1002.5277777777779</v>
      </c>
    </row>
    <row r="210" spans="1:41" hidden="1" outlineLevel="1" x14ac:dyDescent="0.3">
      <c r="A210" s="146">
        <f t="shared" si="84"/>
        <v>188</v>
      </c>
      <c r="B210" s="147">
        <f t="shared" si="77"/>
        <v>97</v>
      </c>
      <c r="C210" s="147">
        <f t="shared" si="76"/>
        <v>263</v>
      </c>
      <c r="D210" s="149">
        <f t="shared" si="85"/>
        <v>122881753.30383153</v>
      </c>
      <c r="E210" s="149">
        <f t="shared" si="86"/>
        <v>1608023.5489564321</v>
      </c>
      <c r="F210" s="149">
        <f t="shared" si="78"/>
        <v>621702.38424695341</v>
      </c>
      <c r="G210" s="149">
        <f t="shared" si="79"/>
        <v>600978.97143872164</v>
      </c>
      <c r="H210" s="149">
        <f t="shared" si="87"/>
        <v>20723.412808231777</v>
      </c>
      <c r="I210" s="149">
        <f t="shared" si="88"/>
        <v>986321.16470947873</v>
      </c>
      <c r="J210" s="147">
        <f t="shared" si="89"/>
        <v>4.4999999999999998E-2</v>
      </c>
      <c r="K210" s="175">
        <f t="shared" si="80"/>
        <v>3.8296430163020645E-3</v>
      </c>
      <c r="L210" s="149">
        <f t="shared" si="90"/>
        <v>472402.38084967702</v>
      </c>
      <c r="M210" s="149">
        <f t="shared" si="91"/>
        <v>2059702.5169978775</v>
      </c>
      <c r="N210" s="149">
        <f t="shared" si="92"/>
        <v>1458723.5455591558</v>
      </c>
      <c r="P210" s="149">
        <f t="shared" si="93"/>
        <v>0</v>
      </c>
      <c r="Q210" s="149">
        <f t="shared" si="94"/>
        <v>0</v>
      </c>
      <c r="R210" s="176">
        <f t="shared" si="95"/>
        <v>0</v>
      </c>
      <c r="S210" s="113">
        <f t="shared" si="96"/>
        <v>0</v>
      </c>
      <c r="T210" s="113">
        <f t="shared" si="81"/>
        <v>0</v>
      </c>
      <c r="U210" s="114">
        <f t="shared" si="97"/>
        <v>31.333333333333332</v>
      </c>
      <c r="V210" s="114">
        <f t="shared" si="98"/>
        <v>0</v>
      </c>
      <c r="W210" s="114">
        <f t="shared" si="99"/>
        <v>1013.111111111111</v>
      </c>
      <c r="X210" s="114"/>
      <c r="Y210" s="149">
        <f t="shared" si="100"/>
        <v>22881753.303831469</v>
      </c>
      <c r="Z210" s="149">
        <f t="shared" si="101"/>
        <v>117645.63810538803</v>
      </c>
      <c r="AA210" s="176">
        <f t="shared" si="102"/>
        <v>1458723.5455591558</v>
      </c>
      <c r="AB210" s="113">
        <f t="shared" si="103"/>
        <v>1576369.1836645438</v>
      </c>
      <c r="AC210" s="113">
        <f t="shared" si="82"/>
        <v>638759.19559695595</v>
      </c>
      <c r="AD210" s="114">
        <f t="shared" si="104"/>
        <v>31.333333333333332</v>
      </c>
      <c r="AE210" s="114">
        <f t="shared" si="105"/>
        <v>3.1884196519676475E-3</v>
      </c>
      <c r="AF210" s="114">
        <f t="shared" si="106"/>
        <v>1013.111111111111</v>
      </c>
      <c r="AG210" s="114"/>
      <c r="AH210" s="176">
        <f t="shared" si="107"/>
        <v>100000000</v>
      </c>
      <c r="AI210" s="176">
        <f t="shared" si="108"/>
        <v>483333.33333333337</v>
      </c>
      <c r="AJ210" s="176">
        <f t="shared" si="109"/>
        <v>0</v>
      </c>
      <c r="AK210" s="113">
        <f t="shared" si="110"/>
        <v>483333.33333333337</v>
      </c>
      <c r="AL210" s="113">
        <f t="shared" si="83"/>
        <v>195851.08260457779</v>
      </c>
      <c r="AM210" s="114">
        <f t="shared" si="111"/>
        <v>31.333333333333332</v>
      </c>
      <c r="AN210" s="114">
        <f t="shared" si="112"/>
        <v>1.9538503262125262E-3</v>
      </c>
      <c r="AO210" s="114">
        <f t="shared" si="113"/>
        <v>1013.111111111111</v>
      </c>
    </row>
    <row r="211" spans="1:41" hidden="1" outlineLevel="1" x14ac:dyDescent="0.3">
      <c r="A211" s="146">
        <f t="shared" si="84"/>
        <v>189</v>
      </c>
      <c r="B211" s="147">
        <f t="shared" si="77"/>
        <v>96</v>
      </c>
      <c r="C211" s="147">
        <f t="shared" si="76"/>
        <v>264</v>
      </c>
      <c r="D211" s="149">
        <f t="shared" si="85"/>
        <v>121427485.03555034</v>
      </c>
      <c r="E211" s="149">
        <f t="shared" si="86"/>
        <v>1601865.3928021218</v>
      </c>
      <c r="F211" s="149">
        <f t="shared" si="78"/>
        <v>614408.76651915768</v>
      </c>
      <c r="G211" s="149">
        <f t="shared" si="79"/>
        <v>593928.4743018524</v>
      </c>
      <c r="H211" s="149">
        <f t="shared" si="87"/>
        <v>20480.292217305279</v>
      </c>
      <c r="I211" s="149">
        <f t="shared" si="88"/>
        <v>987456.62628296413</v>
      </c>
      <c r="J211" s="147">
        <f t="shared" si="89"/>
        <v>4.4999999999999998E-2</v>
      </c>
      <c r="K211" s="175">
        <f t="shared" si="80"/>
        <v>3.8296430163020645E-3</v>
      </c>
      <c r="L211" s="149">
        <f t="shared" si="90"/>
        <v>466811.64199822582</v>
      </c>
      <c r="M211" s="149">
        <f t="shared" si="91"/>
        <v>2048196.7425830425</v>
      </c>
      <c r="N211" s="149">
        <f t="shared" si="92"/>
        <v>1454268.26828119</v>
      </c>
      <c r="P211" s="149">
        <f t="shared" si="93"/>
        <v>0</v>
      </c>
      <c r="Q211" s="149">
        <f t="shared" si="94"/>
        <v>0</v>
      </c>
      <c r="R211" s="176">
        <f t="shared" si="95"/>
        <v>0</v>
      </c>
      <c r="S211" s="113">
        <f t="shared" si="96"/>
        <v>0</v>
      </c>
      <c r="T211" s="113">
        <f t="shared" si="81"/>
        <v>0</v>
      </c>
      <c r="U211" s="114">
        <f t="shared" si="97"/>
        <v>31.5</v>
      </c>
      <c r="V211" s="114">
        <f t="shared" si="98"/>
        <v>0</v>
      </c>
      <c r="W211" s="114">
        <f t="shared" si="99"/>
        <v>1023.75</v>
      </c>
      <c r="X211" s="114"/>
      <c r="Y211" s="149">
        <f t="shared" si="100"/>
        <v>21427485.035550278</v>
      </c>
      <c r="Z211" s="149">
        <f t="shared" si="101"/>
        <v>110595.14096851877</v>
      </c>
      <c r="AA211" s="176">
        <f t="shared" si="102"/>
        <v>1454268.26828119</v>
      </c>
      <c r="AB211" s="113">
        <f t="shared" si="103"/>
        <v>1564863.4092497088</v>
      </c>
      <c r="AC211" s="113">
        <f t="shared" si="82"/>
        <v>631057.383004979</v>
      </c>
      <c r="AD211" s="114">
        <f t="shared" si="104"/>
        <v>31.5</v>
      </c>
      <c r="AE211" s="114">
        <f t="shared" si="105"/>
        <v>3.1499754138364345E-3</v>
      </c>
      <c r="AF211" s="114">
        <f t="shared" si="106"/>
        <v>1023.75</v>
      </c>
      <c r="AG211" s="114"/>
      <c r="AH211" s="176">
        <f t="shared" si="107"/>
        <v>100000000</v>
      </c>
      <c r="AI211" s="176">
        <f t="shared" si="108"/>
        <v>483333.33333333337</v>
      </c>
      <c r="AJ211" s="176">
        <f t="shared" si="109"/>
        <v>0</v>
      </c>
      <c r="AK211" s="113">
        <f t="shared" si="110"/>
        <v>483333.33333333337</v>
      </c>
      <c r="AL211" s="113">
        <f t="shared" si="83"/>
        <v>194912.26304450911</v>
      </c>
      <c r="AM211" s="114">
        <f t="shared" si="111"/>
        <v>31.5</v>
      </c>
      <c r="AN211" s="114">
        <f t="shared" si="112"/>
        <v>1.9444844708937769E-3</v>
      </c>
      <c r="AO211" s="114">
        <f t="shared" si="113"/>
        <v>1023.75</v>
      </c>
    </row>
    <row r="212" spans="1:41" hidden="1" outlineLevel="1" x14ac:dyDescent="0.3">
      <c r="A212" s="146">
        <f t="shared" si="84"/>
        <v>190</v>
      </c>
      <c r="B212" s="147">
        <f t="shared" si="77"/>
        <v>95</v>
      </c>
      <c r="C212" s="147">
        <f t="shared" si="76"/>
        <v>265</v>
      </c>
      <c r="D212" s="149">
        <f t="shared" si="85"/>
        <v>119977653.68027821</v>
      </c>
      <c r="E212" s="149">
        <f t="shared" si="86"/>
        <v>1595730.8201875212</v>
      </c>
      <c r="F212" s="149">
        <f t="shared" si="78"/>
        <v>607137.42517775169</v>
      </c>
      <c r="G212" s="149">
        <f t="shared" si="79"/>
        <v>586899.51100516005</v>
      </c>
      <c r="H212" s="149">
        <f t="shared" si="87"/>
        <v>20237.914172591642</v>
      </c>
      <c r="I212" s="149">
        <f t="shared" si="88"/>
        <v>988593.39500976948</v>
      </c>
      <c r="J212" s="147">
        <f t="shared" si="89"/>
        <v>4.4999999999999998E-2</v>
      </c>
      <c r="K212" s="175">
        <f t="shared" si="80"/>
        <v>3.8296430163020645E-3</v>
      </c>
      <c r="L212" s="149">
        <f t="shared" si="90"/>
        <v>461237.96026235732</v>
      </c>
      <c r="M212" s="149">
        <f t="shared" si="91"/>
        <v>2036730.8662772868</v>
      </c>
      <c r="N212" s="149">
        <f t="shared" si="92"/>
        <v>1449831.3552721268</v>
      </c>
      <c r="P212" s="149">
        <f t="shared" si="93"/>
        <v>0</v>
      </c>
      <c r="Q212" s="149">
        <f t="shared" si="94"/>
        <v>0</v>
      </c>
      <c r="R212" s="176">
        <f t="shared" si="95"/>
        <v>0</v>
      </c>
      <c r="S212" s="113">
        <f t="shared" si="96"/>
        <v>0</v>
      </c>
      <c r="T212" s="113">
        <f t="shared" si="81"/>
        <v>0</v>
      </c>
      <c r="U212" s="114">
        <f t="shared" si="97"/>
        <v>31.666666666666668</v>
      </c>
      <c r="V212" s="114">
        <f t="shared" si="98"/>
        <v>0</v>
      </c>
      <c r="W212" s="114">
        <f t="shared" si="99"/>
        <v>1034.4444444444446</v>
      </c>
      <c r="X212" s="114"/>
      <c r="Y212" s="149">
        <f t="shared" si="100"/>
        <v>19977653.680278152</v>
      </c>
      <c r="Z212" s="149">
        <f t="shared" si="101"/>
        <v>103566.17767182634</v>
      </c>
      <c r="AA212" s="176">
        <f t="shared" si="102"/>
        <v>1449831.3552721268</v>
      </c>
      <c r="AB212" s="113">
        <f t="shared" si="103"/>
        <v>1553397.5329439533</v>
      </c>
      <c r="AC212" s="113">
        <f t="shared" si="82"/>
        <v>623430.74331527052</v>
      </c>
      <c r="AD212" s="114">
        <f t="shared" si="104"/>
        <v>31.666666666666668</v>
      </c>
      <c r="AE212" s="114">
        <f t="shared" si="105"/>
        <v>3.1119064074992069E-3</v>
      </c>
      <c r="AF212" s="114">
        <f t="shared" si="106"/>
        <v>1034.4444444444446</v>
      </c>
      <c r="AG212" s="114"/>
      <c r="AH212" s="176">
        <f t="shared" si="107"/>
        <v>100000000</v>
      </c>
      <c r="AI212" s="176">
        <f t="shared" si="108"/>
        <v>483333.33333333337</v>
      </c>
      <c r="AJ212" s="176">
        <f t="shared" si="109"/>
        <v>0</v>
      </c>
      <c r="AK212" s="113">
        <f t="shared" si="110"/>
        <v>483333.33333333337</v>
      </c>
      <c r="AL212" s="113">
        <f t="shared" si="83"/>
        <v>193977.94375145261</v>
      </c>
      <c r="AM212" s="114">
        <f t="shared" si="111"/>
        <v>31.666666666666668</v>
      </c>
      <c r="AN212" s="114">
        <f t="shared" si="112"/>
        <v>1.9351635111561644E-3</v>
      </c>
      <c r="AO212" s="114">
        <f t="shared" si="113"/>
        <v>1034.4444444444446</v>
      </c>
    </row>
    <row r="213" spans="1:41" hidden="1" outlineLevel="1" x14ac:dyDescent="0.3">
      <c r="A213" s="146">
        <f t="shared" si="84"/>
        <v>191</v>
      </c>
      <c r="B213" s="147">
        <f t="shared" si="77"/>
        <v>94</v>
      </c>
      <c r="C213" s="147">
        <f t="shared" si="76"/>
        <v>266</v>
      </c>
      <c r="D213" s="149">
        <f t="shared" si="85"/>
        <v>118532240.9425758</v>
      </c>
      <c r="E213" s="149">
        <f t="shared" si="86"/>
        <v>1589619.740796092</v>
      </c>
      <c r="F213" s="149">
        <f t="shared" si="78"/>
        <v>599888.26840139111</v>
      </c>
      <c r="G213" s="149">
        <f t="shared" si="79"/>
        <v>579891.99278801144</v>
      </c>
      <c r="H213" s="149">
        <f t="shared" si="87"/>
        <v>19996.275613379665</v>
      </c>
      <c r="I213" s="149">
        <f t="shared" si="88"/>
        <v>989731.47239470086</v>
      </c>
      <c r="J213" s="147">
        <f t="shared" si="89"/>
        <v>4.4999999999999998E-2</v>
      </c>
      <c r="K213" s="175">
        <f t="shared" si="80"/>
        <v>3.8296430163020645E-3</v>
      </c>
      <c r="L213" s="149">
        <f t="shared" si="90"/>
        <v>455681.26530771441</v>
      </c>
      <c r="M213" s="149">
        <f t="shared" si="91"/>
        <v>2025304.7304904268</v>
      </c>
      <c r="N213" s="149">
        <f t="shared" si="92"/>
        <v>1445412.7377024153</v>
      </c>
      <c r="P213" s="149">
        <f t="shared" si="93"/>
        <v>0</v>
      </c>
      <c r="Q213" s="149">
        <f t="shared" si="94"/>
        <v>0</v>
      </c>
      <c r="R213" s="176">
        <f t="shared" si="95"/>
        <v>0</v>
      </c>
      <c r="S213" s="113">
        <f t="shared" si="96"/>
        <v>0</v>
      </c>
      <c r="T213" s="113">
        <f t="shared" si="81"/>
        <v>0</v>
      </c>
      <c r="U213" s="114">
        <f t="shared" si="97"/>
        <v>31.833333333333332</v>
      </c>
      <c r="V213" s="114">
        <f t="shared" si="98"/>
        <v>0</v>
      </c>
      <c r="W213" s="114">
        <f t="shared" si="99"/>
        <v>1045.1944444444443</v>
      </c>
      <c r="X213" s="114"/>
      <c r="Y213" s="149">
        <f t="shared" si="100"/>
        <v>18532240.942575738</v>
      </c>
      <c r="Z213" s="149">
        <f t="shared" si="101"/>
        <v>96558.659454677734</v>
      </c>
      <c r="AA213" s="176">
        <f t="shared" si="102"/>
        <v>1445412.7377024153</v>
      </c>
      <c r="AB213" s="113">
        <f t="shared" si="103"/>
        <v>1541971.397157093</v>
      </c>
      <c r="AC213" s="113">
        <f t="shared" si="82"/>
        <v>615878.5931124409</v>
      </c>
      <c r="AD213" s="114">
        <f t="shared" si="104"/>
        <v>31.833333333333332</v>
      </c>
      <c r="AE213" s="114">
        <f t="shared" si="105"/>
        <v>3.0742092216312056E-3</v>
      </c>
      <c r="AF213" s="114">
        <f t="shared" si="106"/>
        <v>1045.1944444444443</v>
      </c>
      <c r="AG213" s="114"/>
      <c r="AH213" s="176">
        <f t="shared" si="107"/>
        <v>100000000</v>
      </c>
      <c r="AI213" s="176">
        <f t="shared" si="108"/>
        <v>483333.33333333337</v>
      </c>
      <c r="AJ213" s="176">
        <f t="shared" si="109"/>
        <v>0</v>
      </c>
      <c r="AK213" s="113">
        <f t="shared" si="110"/>
        <v>483333.33333333337</v>
      </c>
      <c r="AL213" s="113">
        <f t="shared" si="83"/>
        <v>193048.10315320868</v>
      </c>
      <c r="AM213" s="114">
        <f t="shared" si="111"/>
        <v>31.833333333333332</v>
      </c>
      <c r="AN213" s="114">
        <f t="shared" si="112"/>
        <v>1.9258872317910276E-3</v>
      </c>
      <c r="AO213" s="114">
        <f t="shared" si="113"/>
        <v>1045.1944444444443</v>
      </c>
    </row>
    <row r="214" spans="1:41" hidden="1" outlineLevel="1" x14ac:dyDescent="0.3">
      <c r="A214" s="146">
        <f t="shared" si="84"/>
        <v>192</v>
      </c>
      <c r="B214" s="147">
        <f t="shared" si="77"/>
        <v>93</v>
      </c>
      <c r="C214" s="147">
        <f t="shared" ref="C214:C277" si="114">IF($A214&gt;$B$4,"",$B$11*$B$13-B214)</f>
        <v>267</v>
      </c>
      <c r="D214" s="149">
        <f t="shared" si="85"/>
        <v>117091228.59556797</v>
      </c>
      <c r="E214" s="149">
        <f t="shared" si="86"/>
        <v>1583532.0646571764</v>
      </c>
      <c r="F214" s="149">
        <f t="shared" si="78"/>
        <v>592661.20471287903</v>
      </c>
      <c r="G214" s="149">
        <f t="shared" si="79"/>
        <v>572905.83122244966</v>
      </c>
      <c r="H214" s="149">
        <f t="shared" si="87"/>
        <v>19755.373490429367</v>
      </c>
      <c r="I214" s="149">
        <f t="shared" si="88"/>
        <v>990870.85994429735</v>
      </c>
      <c r="J214" s="147">
        <f t="shared" si="89"/>
        <v>4.4999999999999998E-2</v>
      </c>
      <c r="K214" s="175">
        <f t="shared" si="80"/>
        <v>3.8296430163020645E-3</v>
      </c>
      <c r="L214" s="149">
        <f t="shared" si="90"/>
        <v>450141.48706352612</v>
      </c>
      <c r="M214" s="149">
        <f t="shared" si="91"/>
        <v>2013918.1782302731</v>
      </c>
      <c r="N214" s="149">
        <f t="shared" si="92"/>
        <v>1441012.3470078234</v>
      </c>
      <c r="P214" s="149">
        <f t="shared" si="93"/>
        <v>0</v>
      </c>
      <c r="Q214" s="149">
        <f t="shared" si="94"/>
        <v>0</v>
      </c>
      <c r="R214" s="176">
        <f t="shared" si="95"/>
        <v>0</v>
      </c>
      <c r="S214" s="113">
        <f t="shared" si="96"/>
        <v>0</v>
      </c>
      <c r="T214" s="113">
        <f t="shared" si="81"/>
        <v>0</v>
      </c>
      <c r="U214" s="114">
        <f t="shared" si="97"/>
        <v>32</v>
      </c>
      <c r="V214" s="114">
        <f t="shared" si="98"/>
        <v>0</v>
      </c>
      <c r="W214" s="114">
        <f t="shared" si="99"/>
        <v>1056</v>
      </c>
      <c r="X214" s="114"/>
      <c r="Y214" s="149">
        <f t="shared" si="100"/>
        <v>17091228.595567916</v>
      </c>
      <c r="Z214" s="149">
        <f t="shared" si="101"/>
        <v>89572.497889116072</v>
      </c>
      <c r="AA214" s="176">
        <f t="shared" si="102"/>
        <v>1441012.3470078234</v>
      </c>
      <c r="AB214" s="113">
        <f t="shared" si="103"/>
        <v>1530584.8448969396</v>
      </c>
      <c r="AC214" s="113">
        <f t="shared" si="82"/>
        <v>608400.25501480582</v>
      </c>
      <c r="AD214" s="114">
        <f t="shared" si="104"/>
        <v>32</v>
      </c>
      <c r="AE214" s="114">
        <f t="shared" si="105"/>
        <v>3.036880475025414E-3</v>
      </c>
      <c r="AF214" s="114">
        <f t="shared" si="106"/>
        <v>1056</v>
      </c>
      <c r="AG214" s="114"/>
      <c r="AH214" s="176">
        <f t="shared" si="107"/>
        <v>100000000</v>
      </c>
      <c r="AI214" s="176">
        <f t="shared" si="108"/>
        <v>483333.33333333337</v>
      </c>
      <c r="AJ214" s="176">
        <f t="shared" si="109"/>
        <v>0</v>
      </c>
      <c r="AK214" s="113">
        <f t="shared" si="110"/>
        <v>483333.33333333337</v>
      </c>
      <c r="AL214" s="113">
        <f t="shared" si="83"/>
        <v>192122.71978098439</v>
      </c>
      <c r="AM214" s="114">
        <f t="shared" si="111"/>
        <v>32</v>
      </c>
      <c r="AN214" s="114">
        <f t="shared" si="112"/>
        <v>1.9166554186213116E-3</v>
      </c>
      <c r="AO214" s="114">
        <f t="shared" si="113"/>
        <v>1056</v>
      </c>
    </row>
    <row r="215" spans="1:41" hidden="1" outlineLevel="1" x14ac:dyDescent="0.3">
      <c r="A215" s="146">
        <f t="shared" si="84"/>
        <v>193</v>
      </c>
      <c r="B215" s="147">
        <f t="shared" ref="B215:B278" si="115">IF(A215&gt;$B$4,"",B$4-A215)</f>
        <v>92</v>
      </c>
      <c r="C215" s="147">
        <f t="shared" si="114"/>
        <v>268</v>
      </c>
      <c r="D215" s="149">
        <f t="shared" si="85"/>
        <v>115654598.48067954</v>
      </c>
      <c r="E215" s="149">
        <f t="shared" si="86"/>
        <v>1577467.7021446717</v>
      </c>
      <c r="F215" s="149">
        <f t="shared" ref="F215:F278" si="116">IF(A215&gt;$B$4,"",D214*$B$15)</f>
        <v>585456.14297783992</v>
      </c>
      <c r="G215" s="149">
        <f t="shared" ref="G215:G278" si="117">IF(A215&gt;$B$4,"",D214*$B$16)</f>
        <v>565940.93821191194</v>
      </c>
      <c r="H215" s="149">
        <f t="shared" si="87"/>
        <v>19515.204765927978</v>
      </c>
      <c r="I215" s="149">
        <f t="shared" si="88"/>
        <v>992011.55916683178</v>
      </c>
      <c r="J215" s="147">
        <f t="shared" si="89"/>
        <v>4.4999999999999998E-2</v>
      </c>
      <c r="K215" s="175">
        <f t="shared" ref="K215:K278" si="118">IF(A215&gt;$B$4,"",1-(1-J215)^(1/$B$11))</f>
        <v>3.8296430163020645E-3</v>
      </c>
      <c r="L215" s="149">
        <f t="shared" si="90"/>
        <v>444618.55572159128</v>
      </c>
      <c r="M215" s="149">
        <f t="shared" si="91"/>
        <v>2002571.0531003349</v>
      </c>
      <c r="N215" s="149">
        <f t="shared" si="92"/>
        <v>1436630.1148884231</v>
      </c>
      <c r="P215" s="149">
        <f t="shared" si="93"/>
        <v>0</v>
      </c>
      <c r="Q215" s="149">
        <f t="shared" si="94"/>
        <v>0</v>
      </c>
      <c r="R215" s="176">
        <f t="shared" si="95"/>
        <v>0</v>
      </c>
      <c r="S215" s="113">
        <f t="shared" si="96"/>
        <v>0</v>
      </c>
      <c r="T215" s="113">
        <f t="shared" ref="T215:T278" si="119">IF(A215&gt;$B$4,"",S215/(1+$B$14)^(A215/$B$11*$B$8))</f>
        <v>0</v>
      </c>
      <c r="U215" s="114">
        <f t="shared" si="97"/>
        <v>32.166666666666664</v>
      </c>
      <c r="V215" s="114">
        <f t="shared" si="98"/>
        <v>0</v>
      </c>
      <c r="W215" s="114">
        <f t="shared" si="99"/>
        <v>1066.8611111111109</v>
      </c>
      <c r="X215" s="114"/>
      <c r="Y215" s="149">
        <f t="shared" si="100"/>
        <v>15654598.480679493</v>
      </c>
      <c r="Z215" s="149">
        <f t="shared" si="101"/>
        <v>82607.604878578262</v>
      </c>
      <c r="AA215" s="176">
        <f t="shared" si="102"/>
        <v>1436630.1148884231</v>
      </c>
      <c r="AB215" s="113">
        <f t="shared" si="103"/>
        <v>1519237.7197670015</v>
      </c>
      <c r="AC215" s="113">
        <f t="shared" ref="AC215:AC278" si="120">IF(A215&gt;$B$4,"",AB215/(1+$B$14)^(A215/$B$11*$B$8))</f>
        <v>600995.05762181594</v>
      </c>
      <c r="AD215" s="114">
        <f t="shared" si="104"/>
        <v>32.166666666666664</v>
      </c>
      <c r="AE215" s="114">
        <f t="shared" si="105"/>
        <v>2.9999168163301481E-3</v>
      </c>
      <c r="AF215" s="114">
        <f t="shared" si="106"/>
        <v>1066.8611111111109</v>
      </c>
      <c r="AG215" s="114"/>
      <c r="AH215" s="176">
        <f t="shared" si="107"/>
        <v>100000000</v>
      </c>
      <c r="AI215" s="176">
        <f t="shared" si="108"/>
        <v>483333.33333333337</v>
      </c>
      <c r="AJ215" s="176">
        <f t="shared" si="109"/>
        <v>0</v>
      </c>
      <c r="AK215" s="113">
        <f t="shared" si="110"/>
        <v>483333.33333333337</v>
      </c>
      <c r="AL215" s="113">
        <f t="shared" ref="AL215:AL278" si="121">IF(A215&gt;$B$4,"",AK215/(1+$B$14)^(A215/$B$11*$B$8))</f>
        <v>191201.77226889861</v>
      </c>
      <c r="AM215" s="114">
        <f t="shared" si="111"/>
        <v>32.166666666666664</v>
      </c>
      <c r="AN215" s="114">
        <f t="shared" si="112"/>
        <v>1.9074678584966307E-3</v>
      </c>
      <c r="AO215" s="114">
        <f t="shared" si="113"/>
        <v>1066.8611111111109</v>
      </c>
    </row>
    <row r="216" spans="1:41" hidden="1" outlineLevel="1" x14ac:dyDescent="0.3">
      <c r="A216" s="146">
        <f t="shared" ref="A216:A279" si="122">A215+1</f>
        <v>194</v>
      </c>
      <c r="B216" s="147">
        <f t="shared" si="115"/>
        <v>91</v>
      </c>
      <c r="C216" s="147">
        <f t="shared" si="114"/>
        <v>269</v>
      </c>
      <c r="D216" s="149">
        <f t="shared" ref="D216:D279" si="123">IF(A216&gt;$B$4,"",D215-I216-L216)</f>
        <v>114222332.50737196</v>
      </c>
      <c r="E216" s="149">
        <f t="shared" ref="E216:E279" si="124">IF(A216&gt;$B$4,"",MIN(E215*(1-K215),D215*(1+$B$15)))</f>
        <v>1571426.5639757114</v>
      </c>
      <c r="F216" s="149">
        <f t="shared" si="116"/>
        <v>578272.99240339769</v>
      </c>
      <c r="G216" s="149">
        <f t="shared" si="117"/>
        <v>558997.22598995117</v>
      </c>
      <c r="H216" s="149">
        <f t="shared" ref="H216:H279" si="125">IF(A216&gt;$B$4,"",F216-G216)</f>
        <v>19275.766413446516</v>
      </c>
      <c r="I216" s="149">
        <f t="shared" ref="I216:I279" si="126">IF(A216&gt;$B$4,"",E216-F216)</f>
        <v>993153.57157231367</v>
      </c>
      <c r="J216" s="147">
        <f t="shared" ref="J216:J279" si="127">IF(A216&gt;$B$4,"",$B$9/100*MIN(C216/30,1)*0.06)</f>
        <v>4.4999999999999998E-2</v>
      </c>
      <c r="K216" s="175">
        <f t="shared" si="118"/>
        <v>3.8296430163020645E-3</v>
      </c>
      <c r="L216" s="149">
        <f t="shared" ref="L216:L279" si="128">IF(A216&gt;$B$4,"",(D215-I216)*K216)</f>
        <v>439112.40173526638</v>
      </c>
      <c r="M216" s="149">
        <f t="shared" ref="M216:M279" si="129">IF(A216&gt;$B$4,"",G216+I216+L216)</f>
        <v>1991263.1992975313</v>
      </c>
      <c r="N216" s="149">
        <f t="shared" ref="N216:N279" si="130">IF($A216&gt;$B$4,"",I216+L216)</f>
        <v>1432265.97330758</v>
      </c>
      <c r="P216" s="149">
        <f t="shared" ref="P216:P279" si="131">IF($A216&gt;$B$4,"",MAX(0,P215-R216))</f>
        <v>0</v>
      </c>
      <c r="Q216" s="149">
        <f t="shared" ref="Q216:Q279" si="132">IF($A216&gt;$B$4,"",IF(P215&gt;0,$H$6*P215,0))</f>
        <v>0</v>
      </c>
      <c r="R216" s="176">
        <f t="shared" ref="R216:R279" si="133">IF($A216&gt;$B$4,"",MIN(P215,$N216))</f>
        <v>0</v>
      </c>
      <c r="S216" s="113">
        <f t="shared" ref="S216:S279" si="134">IF($A216&gt;$B$4,"",Q216+R216)</f>
        <v>0</v>
      </c>
      <c r="T216" s="113">
        <f t="shared" si="119"/>
        <v>0</v>
      </c>
      <c r="U216" s="114">
        <f t="shared" ref="U216:U279" si="135">IF($A216&gt;$B$4,"",A216/6)</f>
        <v>32.333333333333336</v>
      </c>
      <c r="V216" s="114">
        <f t="shared" ref="V216:V279" si="136">IF($A216&gt;$B$4,"",T216/$T$21)</f>
        <v>0</v>
      </c>
      <c r="W216" s="114">
        <f t="shared" ref="W216:W279" si="137">IF($A216&gt;$B$4,"",U216*(U216+1))</f>
        <v>1077.7777777777778</v>
      </c>
      <c r="X216" s="114"/>
      <c r="Y216" s="149">
        <f t="shared" ref="Y216:Y279" si="138">IF($A216&gt;$B$4,"",MAX(0,Y215-AA216))</f>
        <v>14222332.507371914</v>
      </c>
      <c r="Z216" s="149">
        <f t="shared" ref="Z216:Z279" si="139">IF($A216&gt;$B$4,"",IF(Y215&gt;0,$H$7*Y215,0))</f>
        <v>75663.892656617551</v>
      </c>
      <c r="AA216" s="176">
        <f t="shared" ref="AA216:AA279" si="140">IF($A216&gt;$B$4,"",IF(P216&gt;0,0,MIN(Y215,$N216-R216)))</f>
        <v>1432265.97330758</v>
      </c>
      <c r="AB216" s="113">
        <f t="shared" ref="AB216:AB279" si="141">IF($A216&gt;$B$4,"",Z216+AA216)</f>
        <v>1507929.8659641976</v>
      </c>
      <c r="AC216" s="113">
        <f t="shared" si="120"/>
        <v>593662.33546193957</v>
      </c>
      <c r="AD216" s="114">
        <f t="shared" ref="AD216:AD279" si="142">IF($A216&gt;$B$4,"",A216/6)</f>
        <v>32.333333333333336</v>
      </c>
      <c r="AE216" s="114">
        <f t="shared" ref="AE216:AE279" si="143">IF($A216&gt;$B$4,"",AC216/$AC$21)</f>
        <v>2.9633149237889085E-3</v>
      </c>
      <c r="AF216" s="114">
        <f t="shared" ref="AF216:AF279" si="144">IF($A216&gt;$B$4,"",AD216*(AD216+1))</f>
        <v>1077.7777777777778</v>
      </c>
      <c r="AG216" s="114"/>
      <c r="AH216" s="176">
        <f t="shared" ref="AH216:AH279" si="145">IF($A216&gt;$B$4,"",MAX(0,AH215-AJ216))</f>
        <v>100000000</v>
      </c>
      <c r="AI216" s="176">
        <f t="shared" ref="AI216:AI279" si="146">IF($A216&gt;$B$4,"",IF(AH215&gt;0,$H$8*AH215,0))</f>
        <v>483333.33333333337</v>
      </c>
      <c r="AJ216" s="176">
        <f t="shared" ref="AJ216:AJ279" si="147">IF($A216&gt;$B$4,"",IF(Y216&gt;0,0,MIN(AH215,$N216-AA216)))</f>
        <v>0</v>
      </c>
      <c r="AK216" s="113">
        <f t="shared" ref="AK216:AK279" si="148">IF($A216&gt;$B$4,"",AI216+AJ216)</f>
        <v>483333.33333333337</v>
      </c>
      <c r="AL216" s="113">
        <f t="shared" si="121"/>
        <v>190285.23935348829</v>
      </c>
      <c r="AM216" s="114">
        <f t="shared" ref="AM216:AM279" si="149">IF($A216&gt;$B$4,"",A216/6)</f>
        <v>32.333333333333336</v>
      </c>
      <c r="AN216" s="114">
        <f t="shared" ref="AN216:AN279" si="150">IF($A216&gt;$B$4,"",AL216/$AL$21)</f>
        <v>1.8983243392883425E-3</v>
      </c>
      <c r="AO216" s="114">
        <f t="shared" ref="AO216:AO279" si="151">IF($A216&gt;$B$4,"",AM216*(AM216+1))</f>
        <v>1077.7777777777778</v>
      </c>
    </row>
    <row r="217" spans="1:41" hidden="1" outlineLevel="1" x14ac:dyDescent="0.3">
      <c r="A217" s="146">
        <f t="shared" si="122"/>
        <v>195</v>
      </c>
      <c r="B217" s="147">
        <f t="shared" si="115"/>
        <v>90</v>
      </c>
      <c r="C217" s="147">
        <f t="shared" si="114"/>
        <v>270</v>
      </c>
      <c r="D217" s="149">
        <f t="shared" si="123"/>
        <v>112794412.65288101</v>
      </c>
      <c r="E217" s="149">
        <f t="shared" si="124"/>
        <v>1565408.5612093501</v>
      </c>
      <c r="F217" s="149">
        <f t="shared" si="116"/>
        <v>571111.66253685986</v>
      </c>
      <c r="G217" s="149">
        <f t="shared" si="117"/>
        <v>552074.60711896454</v>
      </c>
      <c r="H217" s="149">
        <f t="shared" si="125"/>
        <v>19037.055417895317</v>
      </c>
      <c r="I217" s="149">
        <f t="shared" si="126"/>
        <v>994296.89867249026</v>
      </c>
      <c r="J217" s="147">
        <f t="shared" si="127"/>
        <v>4.4999999999999998E-2</v>
      </c>
      <c r="K217" s="175">
        <f t="shared" si="118"/>
        <v>3.8296430163020645E-3</v>
      </c>
      <c r="L217" s="149">
        <f t="shared" si="128"/>
        <v>433622.95581845741</v>
      </c>
      <c r="M217" s="149">
        <f t="shared" si="129"/>
        <v>1979994.4616099121</v>
      </c>
      <c r="N217" s="149">
        <f t="shared" si="130"/>
        <v>1427919.8544909477</v>
      </c>
      <c r="P217" s="149">
        <f t="shared" si="131"/>
        <v>0</v>
      </c>
      <c r="Q217" s="149">
        <f t="shared" si="132"/>
        <v>0</v>
      </c>
      <c r="R217" s="176">
        <f t="shared" si="133"/>
        <v>0</v>
      </c>
      <c r="S217" s="113">
        <f t="shared" si="134"/>
        <v>0</v>
      </c>
      <c r="T217" s="113">
        <f t="shared" si="119"/>
        <v>0</v>
      </c>
      <c r="U217" s="114">
        <f t="shared" si="135"/>
        <v>32.5</v>
      </c>
      <c r="V217" s="114">
        <f t="shared" si="136"/>
        <v>0</v>
      </c>
      <c r="W217" s="114">
        <f t="shared" si="137"/>
        <v>1088.75</v>
      </c>
      <c r="X217" s="114"/>
      <c r="Y217" s="149">
        <f t="shared" si="138"/>
        <v>12794412.652880967</v>
      </c>
      <c r="Z217" s="149">
        <f t="shared" si="139"/>
        <v>68741.273785630925</v>
      </c>
      <c r="AA217" s="176">
        <f t="shared" si="140"/>
        <v>1427919.8544909477</v>
      </c>
      <c r="AB217" s="113">
        <f t="shared" si="141"/>
        <v>1496661.1282765786</v>
      </c>
      <c r="AC217" s="113">
        <f t="shared" si="120"/>
        <v>586401.42894099909</v>
      </c>
      <c r="AD217" s="114">
        <f t="shared" si="142"/>
        <v>32.5</v>
      </c>
      <c r="AE217" s="114">
        <f t="shared" si="143"/>
        <v>2.9270715049824975E-3</v>
      </c>
      <c r="AF217" s="114">
        <f t="shared" si="144"/>
        <v>1088.75</v>
      </c>
      <c r="AG217" s="114"/>
      <c r="AH217" s="176">
        <f t="shared" si="145"/>
        <v>100000000</v>
      </c>
      <c r="AI217" s="176">
        <f t="shared" si="146"/>
        <v>483333.33333333337</v>
      </c>
      <c r="AJ217" s="176">
        <f t="shared" si="147"/>
        <v>0</v>
      </c>
      <c r="AK217" s="113">
        <f t="shared" si="148"/>
        <v>483333.33333333337</v>
      </c>
      <c r="AL217" s="113">
        <f t="shared" si="121"/>
        <v>189373.09987321749</v>
      </c>
      <c r="AM217" s="114">
        <f t="shared" si="149"/>
        <v>32.5</v>
      </c>
      <c r="AN217" s="114">
        <f t="shared" si="150"/>
        <v>1.889224649884651E-3</v>
      </c>
      <c r="AO217" s="114">
        <f t="shared" si="151"/>
        <v>1088.75</v>
      </c>
    </row>
    <row r="218" spans="1:41" hidden="1" outlineLevel="1" x14ac:dyDescent="0.3">
      <c r="A218" s="146">
        <f t="shared" si="122"/>
        <v>196</v>
      </c>
      <c r="B218" s="147">
        <f t="shared" si="115"/>
        <v>89</v>
      </c>
      <c r="C218" s="147">
        <f t="shared" si="114"/>
        <v>271</v>
      </c>
      <c r="D218" s="149">
        <f t="shared" si="123"/>
        <v>111370820.96195555</v>
      </c>
      <c r="E218" s="149">
        <f t="shared" si="124"/>
        <v>1559413.6052452552</v>
      </c>
      <c r="F218" s="149">
        <f t="shared" si="116"/>
        <v>563972.06326440512</v>
      </c>
      <c r="G218" s="149">
        <f t="shared" si="117"/>
        <v>545172.99448892486</v>
      </c>
      <c r="H218" s="149">
        <f t="shared" si="125"/>
        <v>18799.068775480264</v>
      </c>
      <c r="I218" s="149">
        <f t="shared" si="126"/>
        <v>995441.54198085004</v>
      </c>
      <c r="J218" s="147">
        <f t="shared" si="127"/>
        <v>4.4999999999999998E-2</v>
      </c>
      <c r="K218" s="175">
        <f t="shared" si="118"/>
        <v>3.8296430163020645E-3</v>
      </c>
      <c r="L218" s="149">
        <f t="shared" si="128"/>
        <v>428150.1489446151</v>
      </c>
      <c r="M218" s="149">
        <f t="shared" si="129"/>
        <v>1968764.6854143899</v>
      </c>
      <c r="N218" s="149">
        <f t="shared" si="130"/>
        <v>1423591.6909254652</v>
      </c>
      <c r="P218" s="149">
        <f t="shared" si="131"/>
        <v>0</v>
      </c>
      <c r="Q218" s="149">
        <f t="shared" si="132"/>
        <v>0</v>
      </c>
      <c r="R218" s="176">
        <f t="shared" si="133"/>
        <v>0</v>
      </c>
      <c r="S218" s="113">
        <f t="shared" si="134"/>
        <v>0</v>
      </c>
      <c r="T218" s="113">
        <f t="shared" si="119"/>
        <v>0</v>
      </c>
      <c r="U218" s="114">
        <f t="shared" si="135"/>
        <v>32.666666666666664</v>
      </c>
      <c r="V218" s="114">
        <f t="shared" si="136"/>
        <v>0</v>
      </c>
      <c r="W218" s="114">
        <f t="shared" si="137"/>
        <v>1099.7777777777776</v>
      </c>
      <c r="X218" s="114"/>
      <c r="Y218" s="149">
        <f t="shared" si="138"/>
        <v>11370820.961955501</v>
      </c>
      <c r="Z218" s="149">
        <f t="shared" si="139"/>
        <v>61839.661155591341</v>
      </c>
      <c r="AA218" s="176">
        <f t="shared" si="140"/>
        <v>1423591.6909254652</v>
      </c>
      <c r="AB218" s="113">
        <f t="shared" si="141"/>
        <v>1485431.3520810565</v>
      </c>
      <c r="AC218" s="113">
        <f t="shared" si="120"/>
        <v>579211.68429095205</v>
      </c>
      <c r="AD218" s="114">
        <f t="shared" si="142"/>
        <v>32.666666666666664</v>
      </c>
      <c r="AE218" s="114">
        <f t="shared" si="143"/>
        <v>2.891183296573356E-3</v>
      </c>
      <c r="AF218" s="114">
        <f t="shared" si="144"/>
        <v>1099.7777777777776</v>
      </c>
      <c r="AG218" s="114"/>
      <c r="AH218" s="176">
        <f t="shared" si="145"/>
        <v>100000000</v>
      </c>
      <c r="AI218" s="176">
        <f t="shared" si="146"/>
        <v>483333.33333333337</v>
      </c>
      <c r="AJ218" s="176">
        <f t="shared" si="147"/>
        <v>0</v>
      </c>
      <c r="AK218" s="113">
        <f t="shared" si="148"/>
        <v>483333.33333333337</v>
      </c>
      <c r="AL218" s="113">
        <f t="shared" si="121"/>
        <v>188465.33276798902</v>
      </c>
      <c r="AM218" s="114">
        <f t="shared" si="149"/>
        <v>32.666666666666664</v>
      </c>
      <c r="AN218" s="114">
        <f t="shared" si="150"/>
        <v>1.8801685801857326E-3</v>
      </c>
      <c r="AO218" s="114">
        <f t="shared" si="151"/>
        <v>1099.7777777777776</v>
      </c>
    </row>
    <row r="219" spans="1:41" hidden="1" outlineLevel="1" x14ac:dyDescent="0.3">
      <c r="A219" s="146">
        <f t="shared" si="122"/>
        <v>197</v>
      </c>
      <c r="B219" s="147">
        <f t="shared" si="115"/>
        <v>88</v>
      </c>
      <c r="C219" s="147">
        <f t="shared" si="114"/>
        <v>272</v>
      </c>
      <c r="D219" s="149">
        <f t="shared" si="123"/>
        <v>109951539.54659718</v>
      </c>
      <c r="E219" s="149">
        <f t="shared" si="124"/>
        <v>1553441.6078224012</v>
      </c>
      <c r="F219" s="149">
        <f t="shared" si="116"/>
        <v>556854.10480977769</v>
      </c>
      <c r="G219" s="149">
        <f t="shared" si="117"/>
        <v>538292.30131611845</v>
      </c>
      <c r="H219" s="149">
        <f t="shared" si="125"/>
        <v>18561.803493659245</v>
      </c>
      <c r="I219" s="149">
        <f t="shared" si="126"/>
        <v>996587.50301262352</v>
      </c>
      <c r="J219" s="147">
        <f t="shared" si="127"/>
        <v>4.4999999999999998E-2</v>
      </c>
      <c r="K219" s="175">
        <f t="shared" si="118"/>
        <v>3.8296430163020645E-3</v>
      </c>
      <c r="L219" s="149">
        <f t="shared" si="128"/>
        <v>422693.91234573442</v>
      </c>
      <c r="M219" s="149">
        <f t="shared" si="129"/>
        <v>1957573.7166744764</v>
      </c>
      <c r="N219" s="149">
        <f t="shared" si="130"/>
        <v>1419281.4153583581</v>
      </c>
      <c r="P219" s="149">
        <f t="shared" si="131"/>
        <v>0</v>
      </c>
      <c r="Q219" s="149">
        <f t="shared" si="132"/>
        <v>0</v>
      </c>
      <c r="R219" s="176">
        <f t="shared" si="133"/>
        <v>0</v>
      </c>
      <c r="S219" s="113">
        <f t="shared" si="134"/>
        <v>0</v>
      </c>
      <c r="T219" s="113">
        <f t="shared" si="119"/>
        <v>0</v>
      </c>
      <c r="U219" s="114">
        <f t="shared" si="135"/>
        <v>32.833333333333336</v>
      </c>
      <c r="V219" s="114">
        <f t="shared" si="136"/>
        <v>0</v>
      </c>
      <c r="W219" s="114">
        <f t="shared" si="137"/>
        <v>1110.8611111111113</v>
      </c>
      <c r="X219" s="114"/>
      <c r="Y219" s="149">
        <f t="shared" si="138"/>
        <v>9951539.5465971418</v>
      </c>
      <c r="Z219" s="149">
        <f t="shared" si="139"/>
        <v>54958.967982784925</v>
      </c>
      <c r="AA219" s="176">
        <f t="shared" si="140"/>
        <v>1419281.4153583581</v>
      </c>
      <c r="AB219" s="113">
        <f t="shared" si="141"/>
        <v>1474240.3833411429</v>
      </c>
      <c r="AC219" s="113">
        <f t="shared" si="120"/>
        <v>572092.45351911802</v>
      </c>
      <c r="AD219" s="114">
        <f t="shared" si="142"/>
        <v>32.833333333333336</v>
      </c>
      <c r="AE219" s="114">
        <f t="shared" si="143"/>
        <v>2.8556470640521241E-3</v>
      </c>
      <c r="AF219" s="114">
        <f t="shared" si="144"/>
        <v>1110.8611111111113</v>
      </c>
      <c r="AG219" s="114"/>
      <c r="AH219" s="176">
        <f t="shared" si="145"/>
        <v>100000000</v>
      </c>
      <c r="AI219" s="176">
        <f t="shared" si="146"/>
        <v>483333.33333333337</v>
      </c>
      <c r="AJ219" s="176">
        <f t="shared" si="147"/>
        <v>0</v>
      </c>
      <c r="AK219" s="113">
        <f t="shared" si="148"/>
        <v>483333.33333333337</v>
      </c>
      <c r="AL219" s="113">
        <f t="shared" si="121"/>
        <v>187561.91707865798</v>
      </c>
      <c r="AM219" s="114">
        <f t="shared" si="149"/>
        <v>32.833333333333336</v>
      </c>
      <c r="AN219" s="114">
        <f t="shared" si="150"/>
        <v>1.8711559210988857E-3</v>
      </c>
      <c r="AO219" s="114">
        <f t="shared" si="151"/>
        <v>1110.8611111111113</v>
      </c>
    </row>
    <row r="220" spans="1:41" hidden="1" outlineLevel="1" x14ac:dyDescent="0.3">
      <c r="A220" s="146">
        <f t="shared" si="122"/>
        <v>198</v>
      </c>
      <c r="B220" s="147">
        <f t="shared" si="115"/>
        <v>87</v>
      </c>
      <c r="C220" s="147">
        <f t="shared" si="114"/>
        <v>273</v>
      </c>
      <c r="D220" s="149">
        <f t="shared" si="123"/>
        <v>108536550.58580104</v>
      </c>
      <c r="E220" s="149">
        <f t="shared" si="124"/>
        <v>1547492.4810177712</v>
      </c>
      <c r="F220" s="149">
        <f t="shared" si="116"/>
        <v>549757.69773298595</v>
      </c>
      <c r="G220" s="149">
        <f t="shared" si="117"/>
        <v>531432.4411418864</v>
      </c>
      <c r="H220" s="149">
        <f t="shared" si="125"/>
        <v>18325.256591099547</v>
      </c>
      <c r="I220" s="149">
        <f t="shared" si="126"/>
        <v>997734.78328478523</v>
      </c>
      <c r="J220" s="147">
        <f t="shared" si="127"/>
        <v>4.4999999999999998E-2</v>
      </c>
      <c r="K220" s="175">
        <f t="shared" si="118"/>
        <v>3.8296430163020645E-3</v>
      </c>
      <c r="L220" s="149">
        <f t="shared" si="128"/>
        <v>417254.17751135794</v>
      </c>
      <c r="M220" s="149">
        <f t="shared" si="129"/>
        <v>1946421.4019380296</v>
      </c>
      <c r="N220" s="149">
        <f t="shared" si="130"/>
        <v>1414988.9607961432</v>
      </c>
      <c r="P220" s="149">
        <f t="shared" si="131"/>
        <v>0</v>
      </c>
      <c r="Q220" s="149">
        <f t="shared" si="132"/>
        <v>0</v>
      </c>
      <c r="R220" s="176">
        <f t="shared" si="133"/>
        <v>0</v>
      </c>
      <c r="S220" s="113">
        <f t="shared" si="134"/>
        <v>0</v>
      </c>
      <c r="T220" s="113">
        <f t="shared" si="119"/>
        <v>0</v>
      </c>
      <c r="U220" s="114">
        <f t="shared" si="135"/>
        <v>33</v>
      </c>
      <c r="V220" s="114">
        <f t="shared" si="136"/>
        <v>0</v>
      </c>
      <c r="W220" s="114">
        <f t="shared" si="137"/>
        <v>1122</v>
      </c>
      <c r="X220" s="114"/>
      <c r="Y220" s="149">
        <f t="shared" si="138"/>
        <v>8536550.5858009979</v>
      </c>
      <c r="Z220" s="149">
        <f t="shared" si="139"/>
        <v>48099.107808552857</v>
      </c>
      <c r="AA220" s="176">
        <f t="shared" si="140"/>
        <v>1414988.9607961432</v>
      </c>
      <c r="AB220" s="113">
        <f t="shared" si="141"/>
        <v>1463088.0686046961</v>
      </c>
      <c r="AC220" s="113">
        <f t="shared" si="120"/>
        <v>565043.09435784351</v>
      </c>
      <c r="AD220" s="114">
        <f t="shared" si="142"/>
        <v>33</v>
      </c>
      <c r="AE220" s="114">
        <f t="shared" si="143"/>
        <v>2.8204596014863906E-3</v>
      </c>
      <c r="AF220" s="114">
        <f t="shared" si="144"/>
        <v>1122</v>
      </c>
      <c r="AG220" s="114"/>
      <c r="AH220" s="176">
        <f t="shared" si="145"/>
        <v>100000000</v>
      </c>
      <c r="AI220" s="176">
        <f t="shared" si="146"/>
        <v>483333.33333333337</v>
      </c>
      <c r="AJ220" s="176">
        <f t="shared" si="147"/>
        <v>0</v>
      </c>
      <c r="AK220" s="113">
        <f t="shared" si="148"/>
        <v>483333.33333333337</v>
      </c>
      <c r="AL220" s="113">
        <f t="shared" si="121"/>
        <v>186662.8319465479</v>
      </c>
      <c r="AM220" s="114">
        <f t="shared" si="149"/>
        <v>33</v>
      </c>
      <c r="AN220" s="114">
        <f t="shared" si="150"/>
        <v>1.8621864645337013E-3</v>
      </c>
      <c r="AO220" s="114">
        <f t="shared" si="151"/>
        <v>1122</v>
      </c>
    </row>
    <row r="221" spans="1:41" hidden="1" outlineLevel="1" x14ac:dyDescent="0.3">
      <c r="A221" s="146">
        <f t="shared" si="122"/>
        <v>199</v>
      </c>
      <c r="B221" s="147">
        <f t="shared" si="115"/>
        <v>86</v>
      </c>
      <c r="C221" s="147">
        <f t="shared" si="114"/>
        <v>274</v>
      </c>
      <c r="D221" s="149">
        <f t="shared" si="123"/>
        <v>107125836.3252974</v>
      </c>
      <c r="E221" s="149">
        <f t="shared" si="124"/>
        <v>1541566.1372450616</v>
      </c>
      <c r="F221" s="149">
        <f t="shared" si="116"/>
        <v>542682.75292900519</v>
      </c>
      <c r="G221" s="149">
        <f t="shared" si="117"/>
        <v>524593.32783137169</v>
      </c>
      <c r="H221" s="149">
        <f t="shared" si="125"/>
        <v>18089.425097633502</v>
      </c>
      <c r="I221" s="149">
        <f t="shared" si="126"/>
        <v>998883.38431605638</v>
      </c>
      <c r="J221" s="147">
        <f t="shared" si="127"/>
        <v>4.4999999999999998E-2</v>
      </c>
      <c r="K221" s="175">
        <f t="shared" si="118"/>
        <v>3.8296430163020645E-3</v>
      </c>
      <c r="L221" s="149">
        <f t="shared" si="128"/>
        <v>411830.8761875825</v>
      </c>
      <c r="M221" s="149">
        <f t="shared" si="129"/>
        <v>1935307.5883350107</v>
      </c>
      <c r="N221" s="149">
        <f t="shared" si="130"/>
        <v>1410714.260503639</v>
      </c>
      <c r="P221" s="149">
        <f t="shared" si="131"/>
        <v>0</v>
      </c>
      <c r="Q221" s="149">
        <f t="shared" si="132"/>
        <v>0</v>
      </c>
      <c r="R221" s="176">
        <f t="shared" si="133"/>
        <v>0</v>
      </c>
      <c r="S221" s="113">
        <f t="shared" si="134"/>
        <v>0</v>
      </c>
      <c r="T221" s="113">
        <f t="shared" si="119"/>
        <v>0</v>
      </c>
      <c r="U221" s="114">
        <f t="shared" si="135"/>
        <v>33.166666666666664</v>
      </c>
      <c r="V221" s="114">
        <f t="shared" si="136"/>
        <v>0</v>
      </c>
      <c r="W221" s="114">
        <f t="shared" si="137"/>
        <v>1133.1944444444443</v>
      </c>
      <c r="X221" s="114"/>
      <c r="Y221" s="149">
        <f t="shared" si="138"/>
        <v>7125836.3252973594</v>
      </c>
      <c r="Z221" s="149">
        <f t="shared" si="139"/>
        <v>41259.994498038155</v>
      </c>
      <c r="AA221" s="176">
        <f t="shared" si="140"/>
        <v>1410714.260503639</v>
      </c>
      <c r="AB221" s="113">
        <f t="shared" si="141"/>
        <v>1451974.2550016772</v>
      </c>
      <c r="AC221" s="113">
        <f t="shared" si="120"/>
        <v>558062.97021460463</v>
      </c>
      <c r="AD221" s="114">
        <f t="shared" si="142"/>
        <v>33.166666666666664</v>
      </c>
      <c r="AE221" s="114">
        <f t="shared" si="143"/>
        <v>2.7856177312716259E-3</v>
      </c>
      <c r="AF221" s="114">
        <f t="shared" si="144"/>
        <v>1133.1944444444443</v>
      </c>
      <c r="AG221" s="114"/>
      <c r="AH221" s="176">
        <f t="shared" si="145"/>
        <v>100000000</v>
      </c>
      <c r="AI221" s="176">
        <f t="shared" si="146"/>
        <v>483333.33333333337</v>
      </c>
      <c r="AJ221" s="176">
        <f t="shared" si="147"/>
        <v>0</v>
      </c>
      <c r="AK221" s="113">
        <f t="shared" si="148"/>
        <v>483333.33333333337</v>
      </c>
      <c r="AL221" s="113">
        <f t="shared" si="121"/>
        <v>185768.05661296935</v>
      </c>
      <c r="AM221" s="114">
        <f t="shared" si="149"/>
        <v>33.166666666666664</v>
      </c>
      <c r="AN221" s="114">
        <f t="shared" si="150"/>
        <v>1.8532600033972617E-3</v>
      </c>
      <c r="AO221" s="114">
        <f t="shared" si="151"/>
        <v>1133.1944444444443</v>
      </c>
    </row>
    <row r="222" spans="1:41" hidden="1" outlineLevel="1" x14ac:dyDescent="0.3">
      <c r="A222" s="146">
        <f t="shared" si="122"/>
        <v>200</v>
      </c>
      <c r="B222" s="147">
        <f t="shared" si="115"/>
        <v>85</v>
      </c>
      <c r="C222" s="147">
        <f t="shared" si="114"/>
        <v>275</v>
      </c>
      <c r="D222" s="149">
        <f t="shared" si="123"/>
        <v>105719379.07729442</v>
      </c>
      <c r="E222" s="149">
        <f t="shared" si="124"/>
        <v>1535662.4892533934</v>
      </c>
      <c r="F222" s="149">
        <f t="shared" si="116"/>
        <v>535629.18162648706</v>
      </c>
      <c r="G222" s="149">
        <f t="shared" si="117"/>
        <v>517774.87557227077</v>
      </c>
      <c r="H222" s="149">
        <f t="shared" si="125"/>
        <v>17854.306054216286</v>
      </c>
      <c r="I222" s="149">
        <f t="shared" si="126"/>
        <v>1000033.3076269063</v>
      </c>
      <c r="J222" s="147">
        <f t="shared" si="127"/>
        <v>4.4999999999999998E-2</v>
      </c>
      <c r="K222" s="175">
        <f t="shared" si="118"/>
        <v>3.8296430163020645E-3</v>
      </c>
      <c r="L222" s="149">
        <f t="shared" si="128"/>
        <v>406423.94037607039</v>
      </c>
      <c r="M222" s="149">
        <f t="shared" si="129"/>
        <v>1924232.1235752474</v>
      </c>
      <c r="N222" s="149">
        <f t="shared" si="130"/>
        <v>1406457.2480029766</v>
      </c>
      <c r="P222" s="149">
        <f t="shared" si="131"/>
        <v>0</v>
      </c>
      <c r="Q222" s="149">
        <f t="shared" si="132"/>
        <v>0</v>
      </c>
      <c r="R222" s="176">
        <f t="shared" si="133"/>
        <v>0</v>
      </c>
      <c r="S222" s="113">
        <f t="shared" si="134"/>
        <v>0</v>
      </c>
      <c r="T222" s="113">
        <f t="shared" si="119"/>
        <v>0</v>
      </c>
      <c r="U222" s="114">
        <f t="shared" si="135"/>
        <v>33.333333333333336</v>
      </c>
      <c r="V222" s="114">
        <f t="shared" si="136"/>
        <v>0</v>
      </c>
      <c r="W222" s="114">
        <f t="shared" si="137"/>
        <v>1144.4444444444446</v>
      </c>
      <c r="X222" s="114"/>
      <c r="Y222" s="149">
        <f t="shared" si="138"/>
        <v>5719379.0772943832</v>
      </c>
      <c r="Z222" s="149">
        <f t="shared" si="139"/>
        <v>34441.54223893724</v>
      </c>
      <c r="AA222" s="176">
        <f t="shared" si="140"/>
        <v>1406457.2480029766</v>
      </c>
      <c r="AB222" s="113">
        <f t="shared" si="141"/>
        <v>1440898.7902419139</v>
      </c>
      <c r="AC222" s="113">
        <f t="shared" si="120"/>
        <v>551151.4501225386</v>
      </c>
      <c r="AD222" s="114">
        <f t="shared" si="142"/>
        <v>33.333333333333336</v>
      </c>
      <c r="AE222" s="114">
        <f t="shared" si="143"/>
        <v>2.7511183038842553E-3</v>
      </c>
      <c r="AF222" s="114">
        <f t="shared" si="144"/>
        <v>1144.4444444444446</v>
      </c>
      <c r="AG222" s="114"/>
      <c r="AH222" s="176">
        <f t="shared" si="145"/>
        <v>100000000</v>
      </c>
      <c r="AI222" s="176">
        <f t="shared" si="146"/>
        <v>483333.33333333337</v>
      </c>
      <c r="AJ222" s="176">
        <f t="shared" si="147"/>
        <v>0</v>
      </c>
      <c r="AK222" s="113">
        <f t="shared" si="148"/>
        <v>483333.33333333337</v>
      </c>
      <c r="AL222" s="113">
        <f t="shared" si="121"/>
        <v>184877.57041874019</v>
      </c>
      <c r="AM222" s="114">
        <f t="shared" si="149"/>
        <v>33.333333333333336</v>
      </c>
      <c r="AN222" s="114">
        <f t="shared" si="150"/>
        <v>1.8443763315893545E-3</v>
      </c>
      <c r="AO222" s="114">
        <f t="shared" si="151"/>
        <v>1144.4444444444446</v>
      </c>
    </row>
    <row r="223" spans="1:41" hidden="1" outlineLevel="1" x14ac:dyDescent="0.3">
      <c r="A223" s="146">
        <f t="shared" si="122"/>
        <v>201</v>
      </c>
      <c r="B223" s="147">
        <f t="shared" si="115"/>
        <v>84</v>
      </c>
      <c r="C223" s="147">
        <f t="shared" si="114"/>
        <v>276</v>
      </c>
      <c r="D223" s="149">
        <f t="shared" si="123"/>
        <v>104317161.22022182</v>
      </c>
      <c r="E223" s="149">
        <f t="shared" si="124"/>
        <v>1529781.450126027</v>
      </c>
      <c r="F223" s="149">
        <f t="shared" si="116"/>
        <v>528596.89538647211</v>
      </c>
      <c r="G223" s="149">
        <f t="shared" si="117"/>
        <v>510976.99887358974</v>
      </c>
      <c r="H223" s="149">
        <f t="shared" si="125"/>
        <v>17619.896512882377</v>
      </c>
      <c r="I223" s="149">
        <f t="shared" si="126"/>
        <v>1001184.5547395549</v>
      </c>
      <c r="J223" s="147">
        <f t="shared" si="127"/>
        <v>4.4999999999999998E-2</v>
      </c>
      <c r="K223" s="175">
        <f t="shared" si="118"/>
        <v>3.8296430163020645E-3</v>
      </c>
      <c r="L223" s="149">
        <f t="shared" si="128"/>
        <v>401033.30233306339</v>
      </c>
      <c r="M223" s="149">
        <f t="shared" si="129"/>
        <v>1913194.8559462081</v>
      </c>
      <c r="N223" s="149">
        <f t="shared" si="130"/>
        <v>1402217.8570726183</v>
      </c>
      <c r="P223" s="149">
        <f t="shared" si="131"/>
        <v>0</v>
      </c>
      <c r="Q223" s="149">
        <f t="shared" si="132"/>
        <v>0</v>
      </c>
      <c r="R223" s="176">
        <f t="shared" si="133"/>
        <v>0</v>
      </c>
      <c r="S223" s="113">
        <f t="shared" si="134"/>
        <v>0</v>
      </c>
      <c r="T223" s="113">
        <f t="shared" si="119"/>
        <v>0</v>
      </c>
      <c r="U223" s="114">
        <f t="shared" si="135"/>
        <v>33.5</v>
      </c>
      <c r="V223" s="114">
        <f t="shared" si="136"/>
        <v>0</v>
      </c>
      <c r="W223" s="114">
        <f t="shared" si="137"/>
        <v>1155.75</v>
      </c>
      <c r="X223" s="114"/>
      <c r="Y223" s="149">
        <f t="shared" si="138"/>
        <v>4317161.2202217653</v>
      </c>
      <c r="Z223" s="149">
        <f t="shared" si="139"/>
        <v>27643.665540256188</v>
      </c>
      <c r="AA223" s="176">
        <f t="shared" si="140"/>
        <v>1402217.8570726183</v>
      </c>
      <c r="AB223" s="113">
        <f t="shared" si="141"/>
        <v>1429861.5226128744</v>
      </c>
      <c r="AC223" s="113">
        <f t="shared" si="120"/>
        <v>544307.90869140823</v>
      </c>
      <c r="AD223" s="114">
        <f t="shared" si="142"/>
        <v>33.5</v>
      </c>
      <c r="AE223" s="114">
        <f t="shared" si="143"/>
        <v>2.716958197636894E-3</v>
      </c>
      <c r="AF223" s="114">
        <f t="shared" si="144"/>
        <v>1155.75</v>
      </c>
      <c r="AG223" s="114"/>
      <c r="AH223" s="176">
        <f t="shared" si="145"/>
        <v>100000000</v>
      </c>
      <c r="AI223" s="176">
        <f t="shared" si="146"/>
        <v>483333.33333333337</v>
      </c>
      <c r="AJ223" s="176">
        <f t="shared" si="147"/>
        <v>0</v>
      </c>
      <c r="AK223" s="113">
        <f t="shared" si="148"/>
        <v>483333.33333333337</v>
      </c>
      <c r="AL223" s="113">
        <f t="shared" si="121"/>
        <v>183991.35280370904</v>
      </c>
      <c r="AM223" s="114">
        <f t="shared" si="149"/>
        <v>33.5</v>
      </c>
      <c r="AN223" s="114">
        <f t="shared" si="150"/>
        <v>1.835535243997718E-3</v>
      </c>
      <c r="AO223" s="114">
        <f t="shared" si="151"/>
        <v>1155.75</v>
      </c>
    </row>
    <row r="224" spans="1:41" hidden="1" outlineLevel="1" x14ac:dyDescent="0.3">
      <c r="A224" s="146">
        <f t="shared" si="122"/>
        <v>202</v>
      </c>
      <c r="B224" s="147">
        <f t="shared" si="115"/>
        <v>83</v>
      </c>
      <c r="C224" s="147">
        <f t="shared" si="114"/>
        <v>277</v>
      </c>
      <c r="D224" s="149">
        <f t="shared" si="123"/>
        <v>102919165.19847545</v>
      </c>
      <c r="E224" s="149">
        <f t="shared" si="124"/>
        <v>1523922.9332790833</v>
      </c>
      <c r="F224" s="149">
        <f t="shared" si="116"/>
        <v>521585.80610110908</v>
      </c>
      <c r="G224" s="149">
        <f t="shared" si="117"/>
        <v>504199.61256440548</v>
      </c>
      <c r="H224" s="149">
        <f t="shared" si="125"/>
        <v>17386.193536703591</v>
      </c>
      <c r="I224" s="149">
        <f t="shared" si="126"/>
        <v>1002337.1271779742</v>
      </c>
      <c r="J224" s="147">
        <f t="shared" si="127"/>
        <v>4.4999999999999998E-2</v>
      </c>
      <c r="K224" s="175">
        <f t="shared" si="118"/>
        <v>3.8296430163020645E-3</v>
      </c>
      <c r="L224" s="149">
        <f t="shared" si="128"/>
        <v>395658.89456840162</v>
      </c>
      <c r="M224" s="149">
        <f t="shared" si="129"/>
        <v>1902195.6343107813</v>
      </c>
      <c r="N224" s="149">
        <f t="shared" si="130"/>
        <v>1397996.0217463758</v>
      </c>
      <c r="P224" s="149">
        <f t="shared" si="131"/>
        <v>0</v>
      </c>
      <c r="Q224" s="149">
        <f t="shared" si="132"/>
        <v>0</v>
      </c>
      <c r="R224" s="176">
        <f t="shared" si="133"/>
        <v>0</v>
      </c>
      <c r="S224" s="113">
        <f t="shared" si="134"/>
        <v>0</v>
      </c>
      <c r="T224" s="113">
        <f t="shared" si="119"/>
        <v>0</v>
      </c>
      <c r="U224" s="114">
        <f t="shared" si="135"/>
        <v>33.666666666666664</v>
      </c>
      <c r="V224" s="114">
        <f t="shared" si="136"/>
        <v>0</v>
      </c>
      <c r="W224" s="114">
        <f t="shared" si="137"/>
        <v>1167.1111111111109</v>
      </c>
      <c r="X224" s="114"/>
      <c r="Y224" s="149">
        <f t="shared" si="138"/>
        <v>2919165.1984753897</v>
      </c>
      <c r="Z224" s="149">
        <f t="shared" si="139"/>
        <v>20866.279231071865</v>
      </c>
      <c r="AA224" s="176">
        <f t="shared" si="140"/>
        <v>1397996.0217463758</v>
      </c>
      <c r="AB224" s="113">
        <f t="shared" si="141"/>
        <v>1418862.3009774478</v>
      </c>
      <c r="AC224" s="113">
        <f t="shared" si="120"/>
        <v>537531.72605898709</v>
      </c>
      <c r="AD224" s="114">
        <f t="shared" si="142"/>
        <v>33.666666666666664</v>
      </c>
      <c r="AE224" s="114">
        <f t="shared" si="143"/>
        <v>2.6831343184356843E-3</v>
      </c>
      <c r="AF224" s="114">
        <f t="shared" si="144"/>
        <v>1167.1111111111109</v>
      </c>
      <c r="AG224" s="114"/>
      <c r="AH224" s="176">
        <f t="shared" si="145"/>
        <v>100000000</v>
      </c>
      <c r="AI224" s="176">
        <f t="shared" si="146"/>
        <v>483333.33333333337</v>
      </c>
      <c r="AJ224" s="176">
        <f t="shared" si="147"/>
        <v>0</v>
      </c>
      <c r="AK224" s="113">
        <f t="shared" si="148"/>
        <v>483333.33333333337</v>
      </c>
      <c r="AL224" s="113">
        <f t="shared" si="121"/>
        <v>183109.38330628036</v>
      </c>
      <c r="AM224" s="114">
        <f t="shared" si="149"/>
        <v>33.666666666666664</v>
      </c>
      <c r="AN224" s="114">
        <f t="shared" si="150"/>
        <v>1.826736536493304E-3</v>
      </c>
      <c r="AO224" s="114">
        <f t="shared" si="151"/>
        <v>1167.1111111111109</v>
      </c>
    </row>
    <row r="225" spans="1:41" collapsed="1" x14ac:dyDescent="0.3">
      <c r="A225" s="146">
        <f t="shared" si="122"/>
        <v>203</v>
      </c>
      <c r="B225" s="147">
        <f t="shared" si="115"/>
        <v>82</v>
      </c>
      <c r="C225" s="147">
        <f t="shared" si="114"/>
        <v>278</v>
      </c>
      <c r="D225" s="149">
        <f t="shared" si="123"/>
        <v>101525373.52216302</v>
      </c>
      <c r="E225" s="149">
        <f t="shared" si="124"/>
        <v>1518086.8524602687</v>
      </c>
      <c r="F225" s="149">
        <f t="shared" si="116"/>
        <v>514595.82599237724</v>
      </c>
      <c r="G225" s="149">
        <f t="shared" si="117"/>
        <v>497442.63179263135</v>
      </c>
      <c r="H225" s="149">
        <f t="shared" si="125"/>
        <v>17153.194199745893</v>
      </c>
      <c r="I225" s="149">
        <f t="shared" si="126"/>
        <v>1003491.0264678914</v>
      </c>
      <c r="J225" s="147">
        <f t="shared" si="127"/>
        <v>4.4999999999999998E-2</v>
      </c>
      <c r="K225" s="175">
        <f t="shared" si="118"/>
        <v>3.8296430163020645E-3</v>
      </c>
      <c r="L225" s="149">
        <f t="shared" si="128"/>
        <v>390300.64984454546</v>
      </c>
      <c r="M225" s="149">
        <f t="shared" si="129"/>
        <v>1891234.3081050683</v>
      </c>
      <c r="N225" s="149">
        <f t="shared" si="130"/>
        <v>1393791.6763124368</v>
      </c>
      <c r="P225" s="149">
        <f t="shared" si="131"/>
        <v>0</v>
      </c>
      <c r="Q225" s="149">
        <f t="shared" si="132"/>
        <v>0</v>
      </c>
      <c r="R225" s="176">
        <f t="shared" si="133"/>
        <v>0</v>
      </c>
      <c r="S225" s="113">
        <f t="shared" si="134"/>
        <v>0</v>
      </c>
      <c r="T225" s="113">
        <f t="shared" si="119"/>
        <v>0</v>
      </c>
      <c r="U225" s="114">
        <f t="shared" si="135"/>
        <v>33.833333333333336</v>
      </c>
      <c r="V225" s="114">
        <f t="shared" si="136"/>
        <v>0</v>
      </c>
      <c r="W225" s="114">
        <f t="shared" si="137"/>
        <v>1178.5277777777778</v>
      </c>
      <c r="X225" s="114"/>
      <c r="Y225" s="149">
        <f t="shared" si="138"/>
        <v>1525373.5221629529</v>
      </c>
      <c r="Z225" s="149">
        <f t="shared" si="139"/>
        <v>14109.298459297717</v>
      </c>
      <c r="AA225" s="176">
        <f t="shared" si="140"/>
        <v>1393791.6763124368</v>
      </c>
      <c r="AB225" s="113">
        <f t="shared" si="141"/>
        <v>1407900.9747717346</v>
      </c>
      <c r="AC225" s="113">
        <f t="shared" si="120"/>
        <v>530822.28784286731</v>
      </c>
      <c r="AD225" s="114">
        <f t="shared" si="142"/>
        <v>33.833333333333336</v>
      </c>
      <c r="AE225" s="114">
        <f t="shared" si="143"/>
        <v>2.649643599539737E-3</v>
      </c>
      <c r="AF225" s="114">
        <f t="shared" si="144"/>
        <v>1178.5277777777778</v>
      </c>
      <c r="AG225" s="114"/>
      <c r="AH225" s="176">
        <f t="shared" si="145"/>
        <v>100000000</v>
      </c>
      <c r="AI225" s="176">
        <f t="shared" si="146"/>
        <v>483333.33333333337</v>
      </c>
      <c r="AJ225" s="176">
        <f t="shared" si="147"/>
        <v>0</v>
      </c>
      <c r="AK225" s="113">
        <f t="shared" si="148"/>
        <v>483333.33333333337</v>
      </c>
      <c r="AL225" s="113">
        <f t="shared" si="121"/>
        <v>182231.64156294192</v>
      </c>
      <c r="AM225" s="114">
        <f t="shared" si="149"/>
        <v>33.833333333333336</v>
      </c>
      <c r="AN225" s="114">
        <f t="shared" si="150"/>
        <v>1.8179800059255628E-3</v>
      </c>
      <c r="AO225" s="114">
        <f t="shared" si="151"/>
        <v>1178.5277777777778</v>
      </c>
    </row>
    <row r="226" spans="1:41" x14ac:dyDescent="0.3">
      <c r="A226" s="146">
        <f t="shared" si="122"/>
        <v>204</v>
      </c>
      <c r="B226" s="147">
        <f t="shared" si="115"/>
        <v>81</v>
      </c>
      <c r="C226" s="147">
        <f t="shared" si="114"/>
        <v>279</v>
      </c>
      <c r="D226" s="149">
        <f t="shared" si="123"/>
        <v>100135768.76685064</v>
      </c>
      <c r="E226" s="149">
        <f t="shared" si="124"/>
        <v>1512273.1217476041</v>
      </c>
      <c r="F226" s="149">
        <f t="shared" si="116"/>
        <v>507626.8676108151</v>
      </c>
      <c r="G226" s="149">
        <f t="shared" si="117"/>
        <v>490705.97202378797</v>
      </c>
      <c r="H226" s="149">
        <f t="shared" si="125"/>
        <v>16920.895587027131</v>
      </c>
      <c r="I226" s="149">
        <f t="shared" si="126"/>
        <v>1004646.254136789</v>
      </c>
      <c r="J226" s="147">
        <f t="shared" si="127"/>
        <v>4.4999999999999998E-2</v>
      </c>
      <c r="K226" s="175">
        <f t="shared" si="118"/>
        <v>3.8296430163020645E-3</v>
      </c>
      <c r="L226" s="149">
        <f t="shared" si="128"/>
        <v>384958.50117560115</v>
      </c>
      <c r="M226" s="149">
        <f t="shared" si="129"/>
        <v>1880310.7273361781</v>
      </c>
      <c r="N226" s="149">
        <f t="shared" si="130"/>
        <v>1389604.7553123902</v>
      </c>
      <c r="P226" s="149">
        <f t="shared" si="131"/>
        <v>0</v>
      </c>
      <c r="Q226" s="149">
        <f t="shared" si="132"/>
        <v>0</v>
      </c>
      <c r="R226" s="176">
        <f t="shared" si="133"/>
        <v>0</v>
      </c>
      <c r="S226" s="113">
        <f t="shared" si="134"/>
        <v>0</v>
      </c>
      <c r="T226" s="113">
        <f t="shared" si="119"/>
        <v>0</v>
      </c>
      <c r="U226" s="114">
        <f t="shared" si="135"/>
        <v>34</v>
      </c>
      <c r="V226" s="114">
        <f t="shared" si="136"/>
        <v>0</v>
      </c>
      <c r="W226" s="114">
        <f t="shared" si="137"/>
        <v>1190</v>
      </c>
      <c r="X226" s="114"/>
      <c r="Y226" s="149">
        <f t="shared" si="138"/>
        <v>135768.76685056277</v>
      </c>
      <c r="Z226" s="149">
        <f t="shared" si="139"/>
        <v>7372.6386904542733</v>
      </c>
      <c r="AA226" s="176">
        <f t="shared" si="140"/>
        <v>1389604.7553123902</v>
      </c>
      <c r="AB226" s="113">
        <f t="shared" si="141"/>
        <v>1396977.3940028443</v>
      </c>
      <c r="AC226" s="113">
        <f t="shared" si="120"/>
        <v>524178.98509268608</v>
      </c>
      <c r="AD226" s="114">
        <f t="shared" si="142"/>
        <v>34</v>
      </c>
      <c r="AE226" s="114">
        <f t="shared" si="143"/>
        <v>2.6164830013226683E-3</v>
      </c>
      <c r="AF226" s="114">
        <f t="shared" si="144"/>
        <v>1190</v>
      </c>
      <c r="AG226" s="114"/>
      <c r="AH226" s="176">
        <f t="shared" si="145"/>
        <v>100000000</v>
      </c>
      <c r="AI226" s="176">
        <f t="shared" si="146"/>
        <v>483333.33333333337</v>
      </c>
      <c r="AJ226" s="176">
        <f t="shared" si="147"/>
        <v>0</v>
      </c>
      <c r="AK226" s="113">
        <f t="shared" si="148"/>
        <v>483333.33333333337</v>
      </c>
      <c r="AL226" s="113">
        <f t="shared" si="121"/>
        <v>181358.10730779497</v>
      </c>
      <c r="AM226" s="114">
        <f t="shared" si="149"/>
        <v>34</v>
      </c>
      <c r="AN226" s="114">
        <f t="shared" si="150"/>
        <v>1.8092654501177575E-3</v>
      </c>
      <c r="AO226" s="114">
        <f t="shared" si="151"/>
        <v>1190</v>
      </c>
    </row>
    <row r="227" spans="1:41" x14ac:dyDescent="0.3">
      <c r="A227" s="188">
        <f t="shared" si="122"/>
        <v>205</v>
      </c>
      <c r="B227" s="189">
        <f t="shared" si="115"/>
        <v>80</v>
      </c>
      <c r="C227" s="189">
        <f t="shared" si="114"/>
        <v>280</v>
      </c>
      <c r="D227" s="190">
        <f t="shared" si="123"/>
        <v>98750333.573310375</v>
      </c>
      <c r="E227" s="190">
        <f t="shared" si="124"/>
        <v>1506481.6555481621</v>
      </c>
      <c r="F227" s="190">
        <f t="shared" si="116"/>
        <v>500678.8438342532</v>
      </c>
      <c r="G227" s="190">
        <f t="shared" si="117"/>
        <v>483989.54903977807</v>
      </c>
      <c r="H227" s="190">
        <f t="shared" si="125"/>
        <v>16689.294794475136</v>
      </c>
      <c r="I227" s="190">
        <f t="shared" si="126"/>
        <v>1005802.8117139088</v>
      </c>
      <c r="J227" s="189">
        <f t="shared" si="127"/>
        <v>4.4999999999999998E-2</v>
      </c>
      <c r="K227" s="191">
        <f t="shared" si="118"/>
        <v>3.8296430163020645E-3</v>
      </c>
      <c r="L227" s="190">
        <f t="shared" si="128"/>
        <v>379632.38182635081</v>
      </c>
      <c r="M227" s="190">
        <f t="shared" si="129"/>
        <v>1869424.7425800376</v>
      </c>
      <c r="N227" s="190">
        <f t="shared" si="130"/>
        <v>1385435.1935402597</v>
      </c>
      <c r="O227" s="189"/>
      <c r="P227" s="190">
        <f t="shared" si="131"/>
        <v>0</v>
      </c>
      <c r="Q227" s="190">
        <f t="shared" si="132"/>
        <v>0</v>
      </c>
      <c r="R227" s="192">
        <f t="shared" si="133"/>
        <v>0</v>
      </c>
      <c r="S227" s="193">
        <f t="shared" si="134"/>
        <v>0</v>
      </c>
      <c r="T227" s="193">
        <f t="shared" si="119"/>
        <v>0</v>
      </c>
      <c r="U227" s="194">
        <f t="shared" si="135"/>
        <v>34.166666666666664</v>
      </c>
      <c r="V227" s="194">
        <f t="shared" si="136"/>
        <v>0</v>
      </c>
      <c r="W227" s="194">
        <f t="shared" si="137"/>
        <v>1201.5277777777776</v>
      </c>
      <c r="X227" s="194"/>
      <c r="Y227" s="190">
        <f t="shared" si="138"/>
        <v>0</v>
      </c>
      <c r="Z227" s="190">
        <f t="shared" si="139"/>
        <v>656.21570644438668</v>
      </c>
      <c r="AA227" s="192">
        <f t="shared" si="140"/>
        <v>135768.76685056277</v>
      </c>
      <c r="AB227" s="193">
        <f t="shared" si="141"/>
        <v>136424.98255700714</v>
      </c>
      <c r="AC227" s="193">
        <f t="shared" si="120"/>
        <v>50944.502038960673</v>
      </c>
      <c r="AD227" s="194">
        <f t="shared" si="142"/>
        <v>34.166666666666664</v>
      </c>
      <c r="AE227" s="194">
        <f t="shared" si="143"/>
        <v>2.5429371910478088E-4</v>
      </c>
      <c r="AF227" s="194">
        <f t="shared" si="144"/>
        <v>1201.5277777777776</v>
      </c>
      <c r="AG227" s="194"/>
      <c r="AH227" s="192">
        <f t="shared" si="145"/>
        <v>98750333.573310301</v>
      </c>
      <c r="AI227" s="192">
        <f t="shared" si="146"/>
        <v>483333.33333333337</v>
      </c>
      <c r="AJ227" s="192">
        <f t="shared" si="147"/>
        <v>1249666.426689697</v>
      </c>
      <c r="AK227" s="193">
        <f t="shared" si="148"/>
        <v>1732999.7600230305</v>
      </c>
      <c r="AL227" s="193">
        <f t="shared" si="121"/>
        <v>647145.4725758878</v>
      </c>
      <c r="AM227" s="194">
        <f t="shared" si="149"/>
        <v>34.166666666666664</v>
      </c>
      <c r="AN227" s="194">
        <f t="shared" si="150"/>
        <v>6.4560551613198148E-3</v>
      </c>
      <c r="AO227" s="194">
        <f t="shared" si="151"/>
        <v>1201.5277777777776</v>
      </c>
    </row>
    <row r="228" spans="1:41" x14ac:dyDescent="0.3">
      <c r="A228" s="146">
        <f t="shared" si="122"/>
        <v>206</v>
      </c>
      <c r="B228" s="147">
        <f t="shared" si="115"/>
        <v>79</v>
      </c>
      <c r="C228" s="147">
        <f t="shared" si="114"/>
        <v>281</v>
      </c>
      <c r="D228" s="149">
        <f t="shared" si="123"/>
        <v>97369050.647268847</v>
      </c>
      <c r="E228" s="149">
        <f t="shared" si="124"/>
        <v>1500712.3685968048</v>
      </c>
      <c r="F228" s="149">
        <f t="shared" si="116"/>
        <v>493751.6678665519</v>
      </c>
      <c r="G228" s="149">
        <f t="shared" si="117"/>
        <v>477293.27893766685</v>
      </c>
      <c r="H228" s="149">
        <f t="shared" si="125"/>
        <v>16458.388928885048</v>
      </c>
      <c r="I228" s="149">
        <f t="shared" si="126"/>
        <v>1006960.7007302529</v>
      </c>
      <c r="J228" s="147">
        <f t="shared" si="127"/>
        <v>4.4999999999999998E-2</v>
      </c>
      <c r="K228" s="175">
        <f t="shared" si="118"/>
        <v>3.8296430163020645E-3</v>
      </c>
      <c r="L228" s="149">
        <f t="shared" si="128"/>
        <v>374322.22531128512</v>
      </c>
      <c r="M228" s="149">
        <f t="shared" si="129"/>
        <v>1858576.2049792048</v>
      </c>
      <c r="N228" s="149">
        <f t="shared" si="130"/>
        <v>1381282.9260415379</v>
      </c>
      <c r="P228" s="149">
        <f t="shared" si="131"/>
        <v>0</v>
      </c>
      <c r="Q228" s="149">
        <f t="shared" si="132"/>
        <v>0</v>
      </c>
      <c r="R228" s="176">
        <f t="shared" si="133"/>
        <v>0</v>
      </c>
      <c r="S228" s="113">
        <f t="shared" si="134"/>
        <v>0</v>
      </c>
      <c r="T228" s="113">
        <f t="shared" si="119"/>
        <v>0</v>
      </c>
      <c r="U228" s="114">
        <f t="shared" si="135"/>
        <v>34.333333333333336</v>
      </c>
      <c r="V228" s="114">
        <f t="shared" si="136"/>
        <v>0</v>
      </c>
      <c r="W228" s="114">
        <f t="shared" si="137"/>
        <v>1213.1111111111113</v>
      </c>
      <c r="X228" s="114"/>
      <c r="Y228" s="149">
        <f t="shared" si="138"/>
        <v>0</v>
      </c>
      <c r="Z228" s="149">
        <f t="shared" si="139"/>
        <v>0</v>
      </c>
      <c r="AA228" s="176">
        <f t="shared" si="140"/>
        <v>0</v>
      </c>
      <c r="AB228" s="113">
        <f t="shared" si="141"/>
        <v>0</v>
      </c>
      <c r="AC228" s="113">
        <f t="shared" si="120"/>
        <v>0</v>
      </c>
      <c r="AD228" s="114">
        <f t="shared" si="142"/>
        <v>34.333333333333336</v>
      </c>
      <c r="AE228" s="114">
        <f t="shared" si="143"/>
        <v>0</v>
      </c>
      <c r="AF228" s="114">
        <f t="shared" si="144"/>
        <v>1213.1111111111113</v>
      </c>
      <c r="AG228" s="114"/>
      <c r="AH228" s="176">
        <f t="shared" si="145"/>
        <v>97369050.647268757</v>
      </c>
      <c r="AI228" s="176">
        <f t="shared" si="146"/>
        <v>477293.2789376665</v>
      </c>
      <c r="AJ228" s="176">
        <f t="shared" si="147"/>
        <v>1381282.9260415379</v>
      </c>
      <c r="AK228" s="113">
        <f t="shared" si="148"/>
        <v>1858576.2049792043</v>
      </c>
      <c r="AL228" s="113">
        <f t="shared" si="121"/>
        <v>690711.95774888864</v>
      </c>
      <c r="AM228" s="114">
        <f t="shared" si="149"/>
        <v>34.333333333333336</v>
      </c>
      <c r="AN228" s="114">
        <f t="shared" si="150"/>
        <v>6.8906832988576729E-3</v>
      </c>
      <c r="AO228" s="114">
        <f t="shared" si="151"/>
        <v>1213.1111111111113</v>
      </c>
    </row>
    <row r="229" spans="1:41" x14ac:dyDescent="0.3">
      <c r="A229" s="146">
        <f t="shared" si="122"/>
        <v>207</v>
      </c>
      <c r="B229" s="147">
        <f t="shared" si="115"/>
        <v>78</v>
      </c>
      <c r="C229" s="147">
        <f t="shared" si="114"/>
        <v>282</v>
      </c>
      <c r="D229" s="149">
        <f t="shared" si="123"/>
        <v>95991902.759156615</v>
      </c>
      <c r="E229" s="149">
        <f t="shared" si="124"/>
        <v>1494965.17595493</v>
      </c>
      <c r="F229" s="149">
        <f t="shared" si="116"/>
        <v>486845.25323634426</v>
      </c>
      <c r="G229" s="149">
        <f t="shared" si="117"/>
        <v>470617.07812846609</v>
      </c>
      <c r="H229" s="149">
        <f t="shared" si="125"/>
        <v>16228.175107878167</v>
      </c>
      <c r="I229" s="149">
        <f t="shared" si="126"/>
        <v>1008119.9227185857</v>
      </c>
      <c r="J229" s="147">
        <f t="shared" si="127"/>
        <v>4.4999999999999998E-2</v>
      </c>
      <c r="K229" s="175">
        <f t="shared" si="118"/>
        <v>3.8296430163020645E-3</v>
      </c>
      <c r="L229" s="149">
        <f t="shared" si="128"/>
        <v>369027.96539364097</v>
      </c>
      <c r="M229" s="149">
        <f t="shared" si="129"/>
        <v>1847764.9662406929</v>
      </c>
      <c r="N229" s="149">
        <f t="shared" si="130"/>
        <v>1377147.8881122267</v>
      </c>
      <c r="P229" s="149">
        <f t="shared" si="131"/>
        <v>0</v>
      </c>
      <c r="Q229" s="149">
        <f t="shared" si="132"/>
        <v>0</v>
      </c>
      <c r="R229" s="176">
        <f t="shared" si="133"/>
        <v>0</v>
      </c>
      <c r="S229" s="113">
        <f t="shared" si="134"/>
        <v>0</v>
      </c>
      <c r="T229" s="113">
        <f t="shared" si="119"/>
        <v>0</v>
      </c>
      <c r="U229" s="114">
        <f t="shared" si="135"/>
        <v>34.5</v>
      </c>
      <c r="V229" s="114">
        <f t="shared" si="136"/>
        <v>0</v>
      </c>
      <c r="W229" s="114">
        <f t="shared" si="137"/>
        <v>1224.75</v>
      </c>
      <c r="X229" s="114"/>
      <c r="Y229" s="149">
        <f t="shared" si="138"/>
        <v>0</v>
      </c>
      <c r="Z229" s="149">
        <f t="shared" si="139"/>
        <v>0</v>
      </c>
      <c r="AA229" s="176">
        <f t="shared" si="140"/>
        <v>0</v>
      </c>
      <c r="AB229" s="113">
        <f t="shared" si="141"/>
        <v>0</v>
      </c>
      <c r="AC229" s="113">
        <f t="shared" si="120"/>
        <v>0</v>
      </c>
      <c r="AD229" s="114">
        <f t="shared" si="142"/>
        <v>34.5</v>
      </c>
      <c r="AE229" s="114">
        <f t="shared" si="143"/>
        <v>0</v>
      </c>
      <c r="AF229" s="114">
        <f t="shared" si="144"/>
        <v>1224.75</v>
      </c>
      <c r="AG229" s="114"/>
      <c r="AH229" s="176">
        <f t="shared" si="145"/>
        <v>95991902.759156525</v>
      </c>
      <c r="AI229" s="176">
        <f t="shared" si="146"/>
        <v>470617.07812846568</v>
      </c>
      <c r="AJ229" s="176">
        <f t="shared" si="147"/>
        <v>1377147.8881122267</v>
      </c>
      <c r="AK229" s="113">
        <f t="shared" si="148"/>
        <v>1847764.9662406924</v>
      </c>
      <c r="AL229" s="113">
        <f t="shared" si="121"/>
        <v>683402.42888998496</v>
      </c>
      <c r="AM229" s="114">
        <f t="shared" si="149"/>
        <v>34.5</v>
      </c>
      <c r="AN229" s="114">
        <f t="shared" si="150"/>
        <v>6.8177619488426541E-3</v>
      </c>
      <c r="AO229" s="114">
        <f t="shared" si="151"/>
        <v>1224.75</v>
      </c>
    </row>
    <row r="230" spans="1:41" hidden="1" outlineLevel="1" x14ac:dyDescent="0.3">
      <c r="A230" s="146">
        <f t="shared" si="122"/>
        <v>208</v>
      </c>
      <c r="B230" s="147">
        <f t="shared" si="115"/>
        <v>77</v>
      </c>
      <c r="C230" s="147">
        <f t="shared" si="114"/>
        <v>283</v>
      </c>
      <c r="D230" s="149">
        <f t="shared" si="123"/>
        <v>94618872.74385874</v>
      </c>
      <c r="E230" s="149">
        <f t="shared" si="124"/>
        <v>1489239.9930092194</v>
      </c>
      <c r="F230" s="149">
        <f t="shared" si="116"/>
        <v>479959.5137957831</v>
      </c>
      <c r="G230" s="149">
        <f t="shared" si="117"/>
        <v>463960.86333592364</v>
      </c>
      <c r="H230" s="149">
        <f t="shared" si="125"/>
        <v>15998.650459859462</v>
      </c>
      <c r="I230" s="149">
        <f t="shared" si="126"/>
        <v>1009280.4792134364</v>
      </c>
      <c r="J230" s="147">
        <f t="shared" si="127"/>
        <v>4.4999999999999998E-2</v>
      </c>
      <c r="K230" s="175">
        <f t="shared" si="118"/>
        <v>3.8296430163020645E-3</v>
      </c>
      <c r="L230" s="149">
        <f t="shared" si="128"/>
        <v>363749.53608444129</v>
      </c>
      <c r="M230" s="149">
        <f t="shared" si="129"/>
        <v>1836990.8786338011</v>
      </c>
      <c r="N230" s="149">
        <f t="shared" si="130"/>
        <v>1373030.0152978776</v>
      </c>
      <c r="P230" s="149">
        <f t="shared" si="131"/>
        <v>0</v>
      </c>
      <c r="Q230" s="149">
        <f t="shared" si="132"/>
        <v>0</v>
      </c>
      <c r="R230" s="176">
        <f t="shared" si="133"/>
        <v>0</v>
      </c>
      <c r="S230" s="113">
        <f t="shared" si="134"/>
        <v>0</v>
      </c>
      <c r="T230" s="113">
        <f t="shared" si="119"/>
        <v>0</v>
      </c>
      <c r="U230" s="114">
        <f t="shared" si="135"/>
        <v>34.666666666666664</v>
      </c>
      <c r="V230" s="114">
        <f t="shared" si="136"/>
        <v>0</v>
      </c>
      <c r="W230" s="114">
        <f t="shared" si="137"/>
        <v>1236.4444444444443</v>
      </c>
      <c r="X230" s="114"/>
      <c r="Y230" s="149">
        <f t="shared" si="138"/>
        <v>0</v>
      </c>
      <c r="Z230" s="149">
        <f t="shared" si="139"/>
        <v>0</v>
      </c>
      <c r="AA230" s="176">
        <f t="shared" si="140"/>
        <v>0</v>
      </c>
      <c r="AB230" s="113">
        <f t="shared" si="141"/>
        <v>0</v>
      </c>
      <c r="AC230" s="113">
        <f t="shared" si="120"/>
        <v>0</v>
      </c>
      <c r="AD230" s="114">
        <f t="shared" si="142"/>
        <v>34.666666666666664</v>
      </c>
      <c r="AE230" s="114">
        <f t="shared" si="143"/>
        <v>0</v>
      </c>
      <c r="AF230" s="114">
        <f t="shared" si="144"/>
        <v>1236.4444444444443</v>
      </c>
      <c r="AG230" s="114"/>
      <c r="AH230" s="176">
        <f t="shared" si="145"/>
        <v>94618872.74385865</v>
      </c>
      <c r="AI230" s="176">
        <f t="shared" si="146"/>
        <v>463960.86333592323</v>
      </c>
      <c r="AJ230" s="176">
        <f t="shared" si="147"/>
        <v>1373030.0152978776</v>
      </c>
      <c r="AK230" s="113">
        <f t="shared" si="148"/>
        <v>1836990.8786338009</v>
      </c>
      <c r="AL230" s="113">
        <f t="shared" si="121"/>
        <v>676160.78046632046</v>
      </c>
      <c r="AM230" s="114">
        <f t="shared" si="149"/>
        <v>34.666666666666664</v>
      </c>
      <c r="AN230" s="114">
        <f t="shared" si="150"/>
        <v>6.7455177878876687E-3</v>
      </c>
      <c r="AO230" s="114">
        <f t="shared" si="151"/>
        <v>1236.4444444444443</v>
      </c>
    </row>
    <row r="231" spans="1:41" hidden="1" outlineLevel="1" x14ac:dyDescent="0.3">
      <c r="A231" s="146">
        <f t="shared" si="122"/>
        <v>209</v>
      </c>
      <c r="B231" s="147">
        <f t="shared" si="115"/>
        <v>76</v>
      </c>
      <c r="C231" s="147">
        <f t="shared" si="114"/>
        <v>284</v>
      </c>
      <c r="D231" s="149">
        <f t="shared" si="123"/>
        <v>93249943.500466093</v>
      </c>
      <c r="E231" s="149">
        <f t="shared" si="124"/>
        <v>1483536.7354703939</v>
      </c>
      <c r="F231" s="149">
        <f t="shared" si="116"/>
        <v>473094.36371929373</v>
      </c>
      <c r="G231" s="149">
        <f t="shared" si="117"/>
        <v>457324.55159531726</v>
      </c>
      <c r="H231" s="149">
        <f t="shared" si="125"/>
        <v>15769.812123976473</v>
      </c>
      <c r="I231" s="149">
        <f t="shared" si="126"/>
        <v>1010442.3717511002</v>
      </c>
      <c r="J231" s="147">
        <f t="shared" si="127"/>
        <v>4.4999999999999998E-2</v>
      </c>
      <c r="K231" s="175">
        <f t="shared" si="118"/>
        <v>3.8296430163020645E-3</v>
      </c>
      <c r="L231" s="149">
        <f t="shared" si="128"/>
        <v>358486.87164154008</v>
      </c>
      <c r="M231" s="149">
        <f t="shared" si="129"/>
        <v>1826253.7949879575</v>
      </c>
      <c r="N231" s="149">
        <f t="shared" si="130"/>
        <v>1368929.2433926403</v>
      </c>
      <c r="P231" s="149">
        <f t="shared" si="131"/>
        <v>0</v>
      </c>
      <c r="Q231" s="149">
        <f t="shared" si="132"/>
        <v>0</v>
      </c>
      <c r="R231" s="176">
        <f t="shared" si="133"/>
        <v>0</v>
      </c>
      <c r="S231" s="113">
        <f t="shared" si="134"/>
        <v>0</v>
      </c>
      <c r="T231" s="113">
        <f t="shared" si="119"/>
        <v>0</v>
      </c>
      <c r="U231" s="114">
        <f t="shared" si="135"/>
        <v>34.833333333333336</v>
      </c>
      <c r="V231" s="114">
        <f t="shared" si="136"/>
        <v>0</v>
      </c>
      <c r="W231" s="114">
        <f t="shared" si="137"/>
        <v>1248.1944444444446</v>
      </c>
      <c r="X231" s="114"/>
      <c r="Y231" s="149">
        <f t="shared" si="138"/>
        <v>0</v>
      </c>
      <c r="Z231" s="149">
        <f t="shared" si="139"/>
        <v>0</v>
      </c>
      <c r="AA231" s="176">
        <f t="shared" si="140"/>
        <v>0</v>
      </c>
      <c r="AB231" s="113">
        <f t="shared" si="141"/>
        <v>0</v>
      </c>
      <c r="AC231" s="113">
        <f t="shared" si="120"/>
        <v>0</v>
      </c>
      <c r="AD231" s="114">
        <f t="shared" si="142"/>
        <v>34.833333333333336</v>
      </c>
      <c r="AE231" s="114">
        <f t="shared" si="143"/>
        <v>0</v>
      </c>
      <c r="AF231" s="114">
        <f t="shared" si="144"/>
        <v>1248.1944444444446</v>
      </c>
      <c r="AG231" s="114"/>
      <c r="AH231" s="176">
        <f t="shared" si="145"/>
        <v>93249943.500466004</v>
      </c>
      <c r="AI231" s="176">
        <f t="shared" si="146"/>
        <v>457324.55159531685</v>
      </c>
      <c r="AJ231" s="176">
        <f t="shared" si="147"/>
        <v>1368929.2433926403</v>
      </c>
      <c r="AK231" s="113">
        <f t="shared" si="148"/>
        <v>1826253.794987957</v>
      </c>
      <c r="AL231" s="113">
        <f t="shared" si="121"/>
        <v>668986.41020068096</v>
      </c>
      <c r="AM231" s="114">
        <f t="shared" si="149"/>
        <v>34.833333333333336</v>
      </c>
      <c r="AN231" s="114">
        <f t="shared" si="150"/>
        <v>6.673944807552447E-3</v>
      </c>
      <c r="AO231" s="114">
        <f t="shared" si="151"/>
        <v>1248.1944444444446</v>
      </c>
    </row>
    <row r="232" spans="1:41" hidden="1" outlineLevel="1" x14ac:dyDescent="0.3">
      <c r="A232" s="146">
        <f t="shared" si="122"/>
        <v>210</v>
      </c>
      <c r="B232" s="147">
        <f t="shared" si="115"/>
        <v>75</v>
      </c>
      <c r="C232" s="147">
        <f t="shared" si="114"/>
        <v>285</v>
      </c>
      <c r="D232" s="149">
        <f t="shared" si="123"/>
        <v>91885097.992027774</v>
      </c>
      <c r="E232" s="149">
        <f t="shared" si="124"/>
        <v>1477855.3193719722</v>
      </c>
      <c r="F232" s="149">
        <f t="shared" si="116"/>
        <v>466249.71750233049</v>
      </c>
      <c r="G232" s="149">
        <f t="shared" si="117"/>
        <v>450708.06025225279</v>
      </c>
      <c r="H232" s="149">
        <f t="shared" si="125"/>
        <v>15541.657250077697</v>
      </c>
      <c r="I232" s="149">
        <f t="shared" si="126"/>
        <v>1011605.6018696418</v>
      </c>
      <c r="J232" s="147">
        <f t="shared" si="127"/>
        <v>4.4999999999999998E-2</v>
      </c>
      <c r="K232" s="175">
        <f t="shared" si="118"/>
        <v>3.8296430163020645E-3</v>
      </c>
      <c r="L232" s="149">
        <f t="shared" si="128"/>
        <v>353239.90656866995</v>
      </c>
      <c r="M232" s="149">
        <f t="shared" si="129"/>
        <v>1815553.5686905645</v>
      </c>
      <c r="N232" s="149">
        <f t="shared" si="130"/>
        <v>1364845.5084383118</v>
      </c>
      <c r="P232" s="149">
        <f t="shared" si="131"/>
        <v>0</v>
      </c>
      <c r="Q232" s="149">
        <f t="shared" si="132"/>
        <v>0</v>
      </c>
      <c r="R232" s="176">
        <f t="shared" si="133"/>
        <v>0</v>
      </c>
      <c r="S232" s="113">
        <f t="shared" si="134"/>
        <v>0</v>
      </c>
      <c r="T232" s="113">
        <f t="shared" si="119"/>
        <v>0</v>
      </c>
      <c r="U232" s="114">
        <f t="shared" si="135"/>
        <v>35</v>
      </c>
      <c r="V232" s="114">
        <f t="shared" si="136"/>
        <v>0</v>
      </c>
      <c r="W232" s="114">
        <f t="shared" si="137"/>
        <v>1260</v>
      </c>
      <c r="X232" s="114"/>
      <c r="Y232" s="149">
        <f t="shared" si="138"/>
        <v>0</v>
      </c>
      <c r="Z232" s="149">
        <f t="shared" si="139"/>
        <v>0</v>
      </c>
      <c r="AA232" s="176">
        <f t="shared" si="140"/>
        <v>0</v>
      </c>
      <c r="AB232" s="113">
        <f t="shared" si="141"/>
        <v>0</v>
      </c>
      <c r="AC232" s="113">
        <f t="shared" si="120"/>
        <v>0</v>
      </c>
      <c r="AD232" s="114">
        <f t="shared" si="142"/>
        <v>35</v>
      </c>
      <c r="AE232" s="114">
        <f t="shared" si="143"/>
        <v>0</v>
      </c>
      <c r="AF232" s="114">
        <f t="shared" si="144"/>
        <v>1260</v>
      </c>
      <c r="AG232" s="114"/>
      <c r="AH232" s="176">
        <f t="shared" si="145"/>
        <v>91885097.992027685</v>
      </c>
      <c r="AI232" s="176">
        <f t="shared" si="146"/>
        <v>450708.06025225238</v>
      </c>
      <c r="AJ232" s="176">
        <f t="shared" si="147"/>
        <v>1364845.5084383118</v>
      </c>
      <c r="AK232" s="113">
        <f t="shared" si="148"/>
        <v>1815553.568690564</v>
      </c>
      <c r="AL232" s="113">
        <f t="shared" si="121"/>
        <v>661878.72106465243</v>
      </c>
      <c r="AM232" s="114">
        <f t="shared" si="149"/>
        <v>35</v>
      </c>
      <c r="AN232" s="114">
        <f t="shared" si="150"/>
        <v>6.603037051759823E-3</v>
      </c>
      <c r="AO232" s="114">
        <f t="shared" si="151"/>
        <v>1260</v>
      </c>
    </row>
    <row r="233" spans="1:41" hidden="1" outlineLevel="1" x14ac:dyDescent="0.3">
      <c r="A233" s="146">
        <f t="shared" si="122"/>
        <v>211</v>
      </c>
      <c r="B233" s="147">
        <f t="shared" si="115"/>
        <v>74</v>
      </c>
      <c r="C233" s="147">
        <f t="shared" si="114"/>
        <v>286</v>
      </c>
      <c r="D233" s="149">
        <f t="shared" si="123"/>
        <v>90524319.245304376</v>
      </c>
      <c r="E233" s="149">
        <f t="shared" si="124"/>
        <v>1472195.6610690346</v>
      </c>
      <c r="F233" s="149">
        <f t="shared" si="116"/>
        <v>459425.48996013886</v>
      </c>
      <c r="G233" s="149">
        <f t="shared" si="117"/>
        <v>444111.30696146761</v>
      </c>
      <c r="H233" s="149">
        <f t="shared" si="125"/>
        <v>15314.182998671255</v>
      </c>
      <c r="I233" s="149">
        <f t="shared" si="126"/>
        <v>1012770.1711088957</v>
      </c>
      <c r="J233" s="147">
        <f t="shared" si="127"/>
        <v>4.4999999999999998E-2</v>
      </c>
      <c r="K233" s="175">
        <f t="shared" si="118"/>
        <v>3.8296430163020645E-3</v>
      </c>
      <c r="L233" s="149">
        <f t="shared" si="128"/>
        <v>348008.57561449375</v>
      </c>
      <c r="M233" s="149">
        <f t="shared" si="129"/>
        <v>1804890.0536848572</v>
      </c>
      <c r="N233" s="149">
        <f t="shared" si="130"/>
        <v>1360778.7467233895</v>
      </c>
      <c r="P233" s="149">
        <f t="shared" si="131"/>
        <v>0</v>
      </c>
      <c r="Q233" s="149">
        <f t="shared" si="132"/>
        <v>0</v>
      </c>
      <c r="R233" s="176">
        <f t="shared" si="133"/>
        <v>0</v>
      </c>
      <c r="S233" s="113">
        <f t="shared" si="134"/>
        <v>0</v>
      </c>
      <c r="T233" s="113">
        <f t="shared" si="119"/>
        <v>0</v>
      </c>
      <c r="U233" s="114">
        <f t="shared" si="135"/>
        <v>35.166666666666664</v>
      </c>
      <c r="V233" s="114">
        <f t="shared" si="136"/>
        <v>0</v>
      </c>
      <c r="W233" s="114">
        <f t="shared" si="137"/>
        <v>1271.8611111111109</v>
      </c>
      <c r="X233" s="114"/>
      <c r="Y233" s="149">
        <f t="shared" si="138"/>
        <v>0</v>
      </c>
      <c r="Z233" s="149">
        <f t="shared" si="139"/>
        <v>0</v>
      </c>
      <c r="AA233" s="176">
        <f t="shared" si="140"/>
        <v>0</v>
      </c>
      <c r="AB233" s="113">
        <f t="shared" si="141"/>
        <v>0</v>
      </c>
      <c r="AC233" s="113">
        <f t="shared" si="120"/>
        <v>0</v>
      </c>
      <c r="AD233" s="114">
        <f t="shared" si="142"/>
        <v>35.166666666666664</v>
      </c>
      <c r="AE233" s="114">
        <f t="shared" si="143"/>
        <v>0</v>
      </c>
      <c r="AF233" s="114">
        <f t="shared" si="144"/>
        <v>1271.8611111111109</v>
      </c>
      <c r="AG233" s="114"/>
      <c r="AH233" s="176">
        <f t="shared" si="145"/>
        <v>90524319.245304301</v>
      </c>
      <c r="AI233" s="176">
        <f t="shared" si="146"/>
        <v>444111.30696146714</v>
      </c>
      <c r="AJ233" s="176">
        <f t="shared" si="147"/>
        <v>1360778.7467233895</v>
      </c>
      <c r="AK233" s="113">
        <f t="shared" si="148"/>
        <v>1804890.0536848567</v>
      </c>
      <c r="AL233" s="113">
        <f t="shared" si="121"/>
        <v>654837.12123321288</v>
      </c>
      <c r="AM233" s="114">
        <f t="shared" si="149"/>
        <v>35.166666666666664</v>
      </c>
      <c r="AN233" s="114">
        <f t="shared" si="150"/>
        <v>6.5327886163427254E-3</v>
      </c>
      <c r="AO233" s="114">
        <f t="shared" si="151"/>
        <v>1271.8611111111109</v>
      </c>
    </row>
    <row r="234" spans="1:41" hidden="1" outlineLevel="1" x14ac:dyDescent="0.3">
      <c r="A234" s="146">
        <f t="shared" si="122"/>
        <v>212</v>
      </c>
      <c r="B234" s="147">
        <f t="shared" si="115"/>
        <v>73</v>
      </c>
      <c r="C234" s="147">
        <f t="shared" si="114"/>
        <v>287</v>
      </c>
      <c r="D234" s="149">
        <f t="shared" si="123"/>
        <v>89167590.350522235</v>
      </c>
      <c r="E234" s="149">
        <f t="shared" si="124"/>
        <v>1466557.6772369915</v>
      </c>
      <c r="F234" s="149">
        <f t="shared" si="116"/>
        <v>452621.59622652188</v>
      </c>
      <c r="G234" s="149">
        <f t="shared" si="117"/>
        <v>437534.20968563785</v>
      </c>
      <c r="H234" s="149">
        <f t="shared" si="125"/>
        <v>15087.386540884036</v>
      </c>
      <c r="I234" s="149">
        <f t="shared" si="126"/>
        <v>1013936.0810104696</v>
      </c>
      <c r="J234" s="147">
        <f t="shared" si="127"/>
        <v>4.4999999999999998E-2</v>
      </c>
      <c r="K234" s="175">
        <f t="shared" si="118"/>
        <v>3.8296430163020645E-3</v>
      </c>
      <c r="L234" s="149">
        <f t="shared" si="128"/>
        <v>342792.81377166003</v>
      </c>
      <c r="M234" s="149">
        <f t="shared" si="129"/>
        <v>1794263.1044677673</v>
      </c>
      <c r="N234" s="149">
        <f t="shared" si="130"/>
        <v>1356728.8947821297</v>
      </c>
      <c r="P234" s="149">
        <f t="shared" si="131"/>
        <v>0</v>
      </c>
      <c r="Q234" s="149">
        <f t="shared" si="132"/>
        <v>0</v>
      </c>
      <c r="R234" s="176">
        <f t="shared" si="133"/>
        <v>0</v>
      </c>
      <c r="S234" s="113">
        <f t="shared" si="134"/>
        <v>0</v>
      </c>
      <c r="T234" s="113">
        <f t="shared" si="119"/>
        <v>0</v>
      </c>
      <c r="U234" s="114">
        <f t="shared" si="135"/>
        <v>35.333333333333336</v>
      </c>
      <c r="V234" s="114">
        <f t="shared" si="136"/>
        <v>0</v>
      </c>
      <c r="W234" s="114">
        <f t="shared" si="137"/>
        <v>1283.7777777777781</v>
      </c>
      <c r="X234" s="114"/>
      <c r="Y234" s="149">
        <f t="shared" si="138"/>
        <v>0</v>
      </c>
      <c r="Z234" s="149">
        <f t="shared" si="139"/>
        <v>0</v>
      </c>
      <c r="AA234" s="176">
        <f t="shared" si="140"/>
        <v>0</v>
      </c>
      <c r="AB234" s="113">
        <f t="shared" si="141"/>
        <v>0</v>
      </c>
      <c r="AC234" s="113">
        <f t="shared" si="120"/>
        <v>0</v>
      </c>
      <c r="AD234" s="114">
        <f t="shared" si="142"/>
        <v>35.333333333333336</v>
      </c>
      <c r="AE234" s="114">
        <f t="shared" si="143"/>
        <v>0</v>
      </c>
      <c r="AF234" s="114">
        <f t="shared" si="144"/>
        <v>1283.7777777777781</v>
      </c>
      <c r="AG234" s="114"/>
      <c r="AH234" s="176">
        <f t="shared" si="145"/>
        <v>89167590.350522175</v>
      </c>
      <c r="AI234" s="176">
        <f t="shared" si="146"/>
        <v>437534.2096856375</v>
      </c>
      <c r="AJ234" s="176">
        <f t="shared" si="147"/>
        <v>1356728.8947821297</v>
      </c>
      <c r="AK234" s="113">
        <f t="shared" si="148"/>
        <v>1794263.1044677673</v>
      </c>
      <c r="AL234" s="113">
        <f t="shared" si="121"/>
        <v>647861.02403971844</v>
      </c>
      <c r="AM234" s="114">
        <f t="shared" si="149"/>
        <v>35.333333333333336</v>
      </c>
      <c r="AN234" s="114">
        <f t="shared" si="150"/>
        <v>6.4631936485951193E-3</v>
      </c>
      <c r="AO234" s="114">
        <f t="shared" si="151"/>
        <v>1283.7777777777781</v>
      </c>
    </row>
    <row r="235" spans="1:41" hidden="1" outlineLevel="1" x14ac:dyDescent="0.3">
      <c r="A235" s="146">
        <f t="shared" si="122"/>
        <v>213</v>
      </c>
      <c r="B235" s="147">
        <f t="shared" si="115"/>
        <v>72</v>
      </c>
      <c r="C235" s="147">
        <f t="shared" si="114"/>
        <v>288</v>
      </c>
      <c r="D235" s="149">
        <f t="shared" si="123"/>
        <v>87814894.461128637</v>
      </c>
      <c r="E235" s="149">
        <f t="shared" si="124"/>
        <v>1460941.2848703566</v>
      </c>
      <c r="F235" s="149">
        <f t="shared" si="116"/>
        <v>445837.9517526112</v>
      </c>
      <c r="G235" s="149">
        <f t="shared" si="117"/>
        <v>430976.68669419084</v>
      </c>
      <c r="H235" s="149">
        <f t="shared" si="125"/>
        <v>14861.265058420366</v>
      </c>
      <c r="I235" s="149">
        <f t="shared" si="126"/>
        <v>1015103.3331177454</v>
      </c>
      <c r="J235" s="147">
        <f t="shared" si="127"/>
        <v>4.4999999999999998E-2</v>
      </c>
      <c r="K235" s="175">
        <f t="shared" si="118"/>
        <v>3.8296430163020645E-3</v>
      </c>
      <c r="L235" s="149">
        <f t="shared" si="128"/>
        <v>337592.55627586151</v>
      </c>
      <c r="M235" s="149">
        <f t="shared" si="129"/>
        <v>1783672.5760877978</v>
      </c>
      <c r="N235" s="149">
        <f t="shared" si="130"/>
        <v>1352695.8893936069</v>
      </c>
      <c r="P235" s="149">
        <f t="shared" si="131"/>
        <v>0</v>
      </c>
      <c r="Q235" s="149">
        <f t="shared" si="132"/>
        <v>0</v>
      </c>
      <c r="R235" s="176">
        <f t="shared" si="133"/>
        <v>0</v>
      </c>
      <c r="S235" s="113">
        <f t="shared" si="134"/>
        <v>0</v>
      </c>
      <c r="T235" s="113">
        <f t="shared" si="119"/>
        <v>0</v>
      </c>
      <c r="U235" s="114">
        <f t="shared" si="135"/>
        <v>35.5</v>
      </c>
      <c r="V235" s="114">
        <f t="shared" si="136"/>
        <v>0</v>
      </c>
      <c r="W235" s="114">
        <f t="shared" si="137"/>
        <v>1295.75</v>
      </c>
      <c r="X235" s="114"/>
      <c r="Y235" s="149">
        <f t="shared" si="138"/>
        <v>0</v>
      </c>
      <c r="Z235" s="149">
        <f t="shared" si="139"/>
        <v>0</v>
      </c>
      <c r="AA235" s="176">
        <f t="shared" si="140"/>
        <v>0</v>
      </c>
      <c r="AB235" s="113">
        <f t="shared" si="141"/>
        <v>0</v>
      </c>
      <c r="AC235" s="113">
        <f t="shared" si="120"/>
        <v>0</v>
      </c>
      <c r="AD235" s="114">
        <f t="shared" si="142"/>
        <v>35.5</v>
      </c>
      <c r="AE235" s="114">
        <f t="shared" si="143"/>
        <v>0</v>
      </c>
      <c r="AF235" s="114">
        <f t="shared" si="144"/>
        <v>1295.75</v>
      </c>
      <c r="AG235" s="114"/>
      <c r="AH235" s="176">
        <f t="shared" si="145"/>
        <v>87814894.461128563</v>
      </c>
      <c r="AI235" s="176">
        <f t="shared" si="146"/>
        <v>430976.68669419055</v>
      </c>
      <c r="AJ235" s="176">
        <f t="shared" si="147"/>
        <v>1352695.8893936069</v>
      </c>
      <c r="AK235" s="113">
        <f t="shared" si="148"/>
        <v>1783672.5760877975</v>
      </c>
      <c r="AL235" s="113">
        <f t="shared" si="121"/>
        <v>640949.84793127549</v>
      </c>
      <c r="AM235" s="114">
        <f t="shared" si="149"/>
        <v>35.5</v>
      </c>
      <c r="AN235" s="114">
        <f t="shared" si="150"/>
        <v>6.3942463468267818E-3</v>
      </c>
      <c r="AO235" s="114">
        <f t="shared" si="151"/>
        <v>1295.75</v>
      </c>
    </row>
    <row r="236" spans="1:41" hidden="1" outlineLevel="1" x14ac:dyDescent="0.3">
      <c r="A236" s="146">
        <f t="shared" si="122"/>
        <v>214</v>
      </c>
      <c r="B236" s="147">
        <f t="shared" si="115"/>
        <v>71</v>
      </c>
      <c r="C236" s="147">
        <f t="shared" si="114"/>
        <v>289</v>
      </c>
      <c r="D236" s="149">
        <f t="shared" si="123"/>
        <v>86466214.793547854</v>
      </c>
      <c r="E236" s="149">
        <f t="shared" si="124"/>
        <v>1455346.4012815254</v>
      </c>
      <c r="F236" s="149">
        <f t="shared" si="116"/>
        <v>439074.4723056432</v>
      </c>
      <c r="G236" s="149">
        <f t="shared" si="117"/>
        <v>424438.65656212176</v>
      </c>
      <c r="H236" s="149">
        <f t="shared" si="125"/>
        <v>14635.815743521438</v>
      </c>
      <c r="I236" s="149">
        <f t="shared" si="126"/>
        <v>1016271.9289758822</v>
      </c>
      <c r="J236" s="147">
        <f t="shared" si="127"/>
        <v>4.4999999999999998E-2</v>
      </c>
      <c r="K236" s="175">
        <f t="shared" si="118"/>
        <v>3.8296430163020645E-3</v>
      </c>
      <c r="L236" s="149">
        <f t="shared" si="128"/>
        <v>332407.73860489781</v>
      </c>
      <c r="M236" s="149">
        <f t="shared" si="129"/>
        <v>1773118.3241429019</v>
      </c>
      <c r="N236" s="149">
        <f t="shared" si="130"/>
        <v>1348679.6675807801</v>
      </c>
      <c r="P236" s="149">
        <f t="shared" si="131"/>
        <v>0</v>
      </c>
      <c r="Q236" s="149">
        <f t="shared" si="132"/>
        <v>0</v>
      </c>
      <c r="R236" s="176">
        <f t="shared" si="133"/>
        <v>0</v>
      </c>
      <c r="S236" s="113">
        <f t="shared" si="134"/>
        <v>0</v>
      </c>
      <c r="T236" s="113">
        <f t="shared" si="119"/>
        <v>0</v>
      </c>
      <c r="U236" s="114">
        <f t="shared" si="135"/>
        <v>35.666666666666664</v>
      </c>
      <c r="V236" s="114">
        <f t="shared" si="136"/>
        <v>0</v>
      </c>
      <c r="W236" s="114">
        <f t="shared" si="137"/>
        <v>1307.7777777777776</v>
      </c>
      <c r="X236" s="114"/>
      <c r="Y236" s="149">
        <f t="shared" si="138"/>
        <v>0</v>
      </c>
      <c r="Z236" s="149">
        <f t="shared" si="139"/>
        <v>0</v>
      </c>
      <c r="AA236" s="176">
        <f t="shared" si="140"/>
        <v>0</v>
      </c>
      <c r="AB236" s="113">
        <f t="shared" si="141"/>
        <v>0</v>
      </c>
      <c r="AC236" s="113">
        <f t="shared" si="120"/>
        <v>0</v>
      </c>
      <c r="AD236" s="114">
        <f t="shared" si="142"/>
        <v>35.666666666666664</v>
      </c>
      <c r="AE236" s="114">
        <f t="shared" si="143"/>
        <v>0</v>
      </c>
      <c r="AF236" s="114">
        <f t="shared" si="144"/>
        <v>1307.7777777777776</v>
      </c>
      <c r="AG236" s="114"/>
      <c r="AH236" s="176">
        <f t="shared" si="145"/>
        <v>86466214.793547779</v>
      </c>
      <c r="AI236" s="176">
        <f t="shared" si="146"/>
        <v>424438.65656212141</v>
      </c>
      <c r="AJ236" s="176">
        <f t="shared" si="147"/>
        <v>1348679.6675807801</v>
      </c>
      <c r="AK236" s="113">
        <f t="shared" si="148"/>
        <v>1773118.3241429015</v>
      </c>
      <c r="AL236" s="113">
        <f t="shared" si="121"/>
        <v>634103.01642449875</v>
      </c>
      <c r="AM236" s="114">
        <f t="shared" si="149"/>
        <v>35.666666666666664</v>
      </c>
      <c r="AN236" s="114">
        <f t="shared" si="150"/>
        <v>6.3259409599219392E-3</v>
      </c>
      <c r="AO236" s="114">
        <f t="shared" si="151"/>
        <v>1307.7777777777776</v>
      </c>
    </row>
    <row r="237" spans="1:41" hidden="1" outlineLevel="1" x14ac:dyDescent="0.3">
      <c r="A237" s="146">
        <f t="shared" si="122"/>
        <v>215</v>
      </c>
      <c r="B237" s="147">
        <f t="shared" si="115"/>
        <v>70</v>
      </c>
      <c r="C237" s="147">
        <f t="shared" si="114"/>
        <v>290</v>
      </c>
      <c r="D237" s="149">
        <f t="shared" si="123"/>
        <v>85121534.626938298</v>
      </c>
      <c r="E237" s="149">
        <f t="shared" si="124"/>
        <v>1449772.9440995574</v>
      </c>
      <c r="F237" s="149">
        <f t="shared" si="116"/>
        <v>432331.0739677393</v>
      </c>
      <c r="G237" s="149">
        <f t="shared" si="117"/>
        <v>417920.03816881467</v>
      </c>
      <c r="H237" s="149">
        <f t="shared" si="125"/>
        <v>14411.035798924626</v>
      </c>
      <c r="I237" s="149">
        <f t="shared" si="126"/>
        <v>1017441.8701318181</v>
      </c>
      <c r="J237" s="147">
        <f t="shared" si="127"/>
        <v>4.4999999999999998E-2</v>
      </c>
      <c r="K237" s="175">
        <f t="shared" si="118"/>
        <v>3.8296430163020645E-3</v>
      </c>
      <c r="L237" s="149">
        <f t="shared" si="128"/>
        <v>327238.29647774115</v>
      </c>
      <c r="M237" s="149">
        <f t="shared" si="129"/>
        <v>1762600.2047783739</v>
      </c>
      <c r="N237" s="149">
        <f t="shared" si="130"/>
        <v>1344680.1666095592</v>
      </c>
      <c r="P237" s="149">
        <f t="shared" si="131"/>
        <v>0</v>
      </c>
      <c r="Q237" s="149">
        <f t="shared" si="132"/>
        <v>0</v>
      </c>
      <c r="R237" s="176">
        <f t="shared" si="133"/>
        <v>0</v>
      </c>
      <c r="S237" s="113">
        <f t="shared" si="134"/>
        <v>0</v>
      </c>
      <c r="T237" s="113">
        <f t="shared" si="119"/>
        <v>0</v>
      </c>
      <c r="U237" s="114">
        <f t="shared" si="135"/>
        <v>35.833333333333336</v>
      </c>
      <c r="V237" s="114">
        <f t="shared" si="136"/>
        <v>0</v>
      </c>
      <c r="W237" s="114">
        <f t="shared" si="137"/>
        <v>1319.8611111111113</v>
      </c>
      <c r="X237" s="114"/>
      <c r="Y237" s="149">
        <f t="shared" si="138"/>
        <v>0</v>
      </c>
      <c r="Z237" s="149">
        <f t="shared" si="139"/>
        <v>0</v>
      </c>
      <c r="AA237" s="176">
        <f t="shared" si="140"/>
        <v>0</v>
      </c>
      <c r="AB237" s="113">
        <f t="shared" si="141"/>
        <v>0</v>
      </c>
      <c r="AC237" s="113">
        <f t="shared" si="120"/>
        <v>0</v>
      </c>
      <c r="AD237" s="114">
        <f t="shared" si="142"/>
        <v>35.833333333333336</v>
      </c>
      <c r="AE237" s="114">
        <f t="shared" si="143"/>
        <v>0</v>
      </c>
      <c r="AF237" s="114">
        <f t="shared" si="144"/>
        <v>1319.8611111111113</v>
      </c>
      <c r="AG237" s="114"/>
      <c r="AH237" s="176">
        <f t="shared" si="145"/>
        <v>85121534.626938224</v>
      </c>
      <c r="AI237" s="176">
        <f t="shared" si="146"/>
        <v>417920.03816881427</v>
      </c>
      <c r="AJ237" s="176">
        <f t="shared" si="147"/>
        <v>1344680.1666095592</v>
      </c>
      <c r="AK237" s="113">
        <f t="shared" si="148"/>
        <v>1762600.2047783735</v>
      </c>
      <c r="AL237" s="113">
        <f t="shared" si="121"/>
        <v>627319.95806165179</v>
      </c>
      <c r="AM237" s="114">
        <f t="shared" si="149"/>
        <v>35.833333333333336</v>
      </c>
      <c r="AN237" s="114">
        <f t="shared" si="150"/>
        <v>6.2582717869017158E-3</v>
      </c>
      <c r="AO237" s="114">
        <f t="shared" si="151"/>
        <v>1319.8611111111113</v>
      </c>
    </row>
    <row r="238" spans="1:41" hidden="1" outlineLevel="1" x14ac:dyDescent="0.3">
      <c r="A238" s="146">
        <f t="shared" si="122"/>
        <v>216</v>
      </c>
      <c r="B238" s="147">
        <f t="shared" si="115"/>
        <v>69</v>
      </c>
      <c r="C238" s="147">
        <f t="shared" si="114"/>
        <v>291</v>
      </c>
      <c r="D238" s="149">
        <f t="shared" si="123"/>
        <v>83780837.302950427</v>
      </c>
      <c r="E238" s="149">
        <f t="shared" si="124"/>
        <v>1444220.8312689627</v>
      </c>
      <c r="F238" s="149">
        <f t="shared" si="116"/>
        <v>425607.67313469149</v>
      </c>
      <c r="G238" s="149">
        <f t="shared" si="117"/>
        <v>411420.75069686846</v>
      </c>
      <c r="H238" s="149">
        <f t="shared" si="125"/>
        <v>14186.922437823028</v>
      </c>
      <c r="I238" s="149">
        <f t="shared" si="126"/>
        <v>1018613.1581342712</v>
      </c>
      <c r="J238" s="147">
        <f t="shared" si="127"/>
        <v>4.4999999999999998E-2</v>
      </c>
      <c r="K238" s="175">
        <f t="shared" si="118"/>
        <v>3.8296430163020645E-3</v>
      </c>
      <c r="L238" s="149">
        <f t="shared" si="128"/>
        <v>322084.1658536063</v>
      </c>
      <c r="M238" s="149">
        <f t="shared" si="129"/>
        <v>1752118.0746847459</v>
      </c>
      <c r="N238" s="149">
        <f t="shared" si="130"/>
        <v>1340697.3239878775</v>
      </c>
      <c r="P238" s="149">
        <f t="shared" si="131"/>
        <v>0</v>
      </c>
      <c r="Q238" s="149">
        <f t="shared" si="132"/>
        <v>0</v>
      </c>
      <c r="R238" s="176">
        <f t="shared" si="133"/>
        <v>0</v>
      </c>
      <c r="S238" s="113">
        <f t="shared" si="134"/>
        <v>0</v>
      </c>
      <c r="T238" s="113">
        <f t="shared" si="119"/>
        <v>0</v>
      </c>
      <c r="U238" s="114">
        <f t="shared" si="135"/>
        <v>36</v>
      </c>
      <c r="V238" s="114">
        <f t="shared" si="136"/>
        <v>0</v>
      </c>
      <c r="W238" s="114">
        <f t="shared" si="137"/>
        <v>1332</v>
      </c>
      <c r="X238" s="114"/>
      <c r="Y238" s="149">
        <f t="shared" si="138"/>
        <v>0</v>
      </c>
      <c r="Z238" s="149">
        <f t="shared" si="139"/>
        <v>0</v>
      </c>
      <c r="AA238" s="176">
        <f t="shared" si="140"/>
        <v>0</v>
      </c>
      <c r="AB238" s="113">
        <f t="shared" si="141"/>
        <v>0</v>
      </c>
      <c r="AC238" s="113">
        <f t="shared" si="120"/>
        <v>0</v>
      </c>
      <c r="AD238" s="114">
        <f t="shared" si="142"/>
        <v>36</v>
      </c>
      <c r="AE238" s="114">
        <f t="shared" si="143"/>
        <v>0</v>
      </c>
      <c r="AF238" s="114">
        <f t="shared" si="144"/>
        <v>1332</v>
      </c>
      <c r="AG238" s="114"/>
      <c r="AH238" s="176">
        <f t="shared" si="145"/>
        <v>83780837.302950352</v>
      </c>
      <c r="AI238" s="176">
        <f t="shared" si="146"/>
        <v>411420.75069686811</v>
      </c>
      <c r="AJ238" s="176">
        <f t="shared" si="147"/>
        <v>1340697.3239878775</v>
      </c>
      <c r="AK238" s="113">
        <f t="shared" si="148"/>
        <v>1752118.0746847456</v>
      </c>
      <c r="AL238" s="113">
        <f t="shared" si="121"/>
        <v>620600.1063671622</v>
      </c>
      <c r="AM238" s="114">
        <f t="shared" si="149"/>
        <v>36</v>
      </c>
      <c r="AN238" s="114">
        <f t="shared" si="150"/>
        <v>6.1912331764903206E-3</v>
      </c>
      <c r="AO238" s="114">
        <f t="shared" si="151"/>
        <v>1332</v>
      </c>
    </row>
    <row r="239" spans="1:41" hidden="1" outlineLevel="1" x14ac:dyDescent="0.3">
      <c r="A239" s="146">
        <f t="shared" si="122"/>
        <v>217</v>
      </c>
      <c r="B239" s="147">
        <f t="shared" si="115"/>
        <v>68</v>
      </c>
      <c r="C239" s="147">
        <f t="shared" si="114"/>
        <v>292</v>
      </c>
      <c r="D239" s="149">
        <f t="shared" si="123"/>
        <v>82444106.225485653</v>
      </c>
      <c r="E239" s="149">
        <f t="shared" si="124"/>
        <v>1438689.9810484955</v>
      </c>
      <c r="F239" s="149">
        <f t="shared" si="116"/>
        <v>418904.18651475216</v>
      </c>
      <c r="G239" s="149">
        <f t="shared" si="117"/>
        <v>404940.71363092709</v>
      </c>
      <c r="H239" s="149">
        <f t="shared" si="125"/>
        <v>13963.472883825074</v>
      </c>
      <c r="I239" s="149">
        <f t="shared" si="126"/>
        <v>1019785.7945337433</v>
      </c>
      <c r="J239" s="147">
        <f t="shared" si="127"/>
        <v>4.4999999999999998E-2</v>
      </c>
      <c r="K239" s="175">
        <f t="shared" si="118"/>
        <v>3.8296430163020645E-3</v>
      </c>
      <c r="L239" s="149">
        <f t="shared" si="128"/>
        <v>316945.28293102339</v>
      </c>
      <c r="M239" s="149">
        <f t="shared" si="129"/>
        <v>1741671.7910956936</v>
      </c>
      <c r="N239" s="149">
        <f t="shared" si="130"/>
        <v>1336731.0774647668</v>
      </c>
      <c r="P239" s="149">
        <f t="shared" si="131"/>
        <v>0</v>
      </c>
      <c r="Q239" s="149">
        <f t="shared" si="132"/>
        <v>0</v>
      </c>
      <c r="R239" s="176">
        <f t="shared" si="133"/>
        <v>0</v>
      </c>
      <c r="S239" s="113">
        <f t="shared" si="134"/>
        <v>0</v>
      </c>
      <c r="T239" s="113">
        <f t="shared" si="119"/>
        <v>0</v>
      </c>
      <c r="U239" s="114">
        <f t="shared" si="135"/>
        <v>36.166666666666664</v>
      </c>
      <c r="V239" s="114">
        <f t="shared" si="136"/>
        <v>0</v>
      </c>
      <c r="W239" s="114">
        <f t="shared" si="137"/>
        <v>1344.1944444444443</v>
      </c>
      <c r="X239" s="114"/>
      <c r="Y239" s="149">
        <f t="shared" si="138"/>
        <v>0</v>
      </c>
      <c r="Z239" s="149">
        <f t="shared" si="139"/>
        <v>0</v>
      </c>
      <c r="AA239" s="176">
        <f t="shared" si="140"/>
        <v>0</v>
      </c>
      <c r="AB239" s="113">
        <f t="shared" si="141"/>
        <v>0</v>
      </c>
      <c r="AC239" s="113">
        <f t="shared" si="120"/>
        <v>0</v>
      </c>
      <c r="AD239" s="114">
        <f t="shared" si="142"/>
        <v>36.166666666666664</v>
      </c>
      <c r="AE239" s="114">
        <f t="shared" si="143"/>
        <v>0</v>
      </c>
      <c r="AF239" s="114">
        <f t="shared" si="144"/>
        <v>1344.1944444444443</v>
      </c>
      <c r="AG239" s="114"/>
      <c r="AH239" s="176">
        <f t="shared" si="145"/>
        <v>82444106.225485593</v>
      </c>
      <c r="AI239" s="176">
        <f t="shared" si="146"/>
        <v>404940.71363092674</v>
      </c>
      <c r="AJ239" s="176">
        <f t="shared" si="147"/>
        <v>1336731.0774647668</v>
      </c>
      <c r="AK239" s="113">
        <f t="shared" si="148"/>
        <v>1741671.7910956936</v>
      </c>
      <c r="AL239" s="113">
        <f t="shared" si="121"/>
        <v>613942.89980451646</v>
      </c>
      <c r="AM239" s="114">
        <f t="shared" si="149"/>
        <v>36.166666666666664</v>
      </c>
      <c r="AN239" s="114">
        <f t="shared" si="150"/>
        <v>6.1248195266850195E-3</v>
      </c>
      <c r="AO239" s="114">
        <f t="shared" si="151"/>
        <v>1344.1944444444443</v>
      </c>
    </row>
    <row r="240" spans="1:41" hidden="1" outlineLevel="1" x14ac:dyDescent="0.3">
      <c r="A240" s="146">
        <f t="shared" si="122"/>
        <v>218</v>
      </c>
      <c r="B240" s="147">
        <f t="shared" si="115"/>
        <v>67</v>
      </c>
      <c r="C240" s="147">
        <f t="shared" si="114"/>
        <v>293</v>
      </c>
      <c r="D240" s="149">
        <f t="shared" si="123"/>
        <v>81111324.860456213</v>
      </c>
      <c r="E240" s="149">
        <f t="shared" si="124"/>
        <v>1433180.3120099495</v>
      </c>
      <c r="F240" s="149">
        <f t="shared" si="116"/>
        <v>412220.53112742829</v>
      </c>
      <c r="G240" s="149">
        <f t="shared" si="117"/>
        <v>398479.84675651399</v>
      </c>
      <c r="H240" s="149">
        <f t="shared" si="125"/>
        <v>13740.6843709143</v>
      </c>
      <c r="I240" s="149">
        <f t="shared" si="126"/>
        <v>1020959.7808825212</v>
      </c>
      <c r="J240" s="147">
        <f t="shared" si="127"/>
        <v>4.4999999999999998E-2</v>
      </c>
      <c r="K240" s="175">
        <f t="shared" si="118"/>
        <v>3.8296430163020645E-3</v>
      </c>
      <c r="L240" s="149">
        <f t="shared" si="128"/>
        <v>311821.58414691465</v>
      </c>
      <c r="M240" s="149">
        <f t="shared" si="129"/>
        <v>1731261.2117859498</v>
      </c>
      <c r="N240" s="149">
        <f t="shared" si="130"/>
        <v>1332781.3650294358</v>
      </c>
      <c r="P240" s="149">
        <f t="shared" si="131"/>
        <v>0</v>
      </c>
      <c r="Q240" s="149">
        <f t="shared" si="132"/>
        <v>0</v>
      </c>
      <c r="R240" s="176">
        <f t="shared" si="133"/>
        <v>0</v>
      </c>
      <c r="S240" s="113">
        <f t="shared" si="134"/>
        <v>0</v>
      </c>
      <c r="T240" s="113">
        <f t="shared" si="119"/>
        <v>0</v>
      </c>
      <c r="U240" s="114">
        <f t="shared" si="135"/>
        <v>36.333333333333336</v>
      </c>
      <c r="V240" s="114">
        <f t="shared" si="136"/>
        <v>0</v>
      </c>
      <c r="W240" s="114">
        <f t="shared" si="137"/>
        <v>1356.4444444444446</v>
      </c>
      <c r="X240" s="114"/>
      <c r="Y240" s="149">
        <f t="shared" si="138"/>
        <v>0</v>
      </c>
      <c r="Z240" s="149">
        <f t="shared" si="139"/>
        <v>0</v>
      </c>
      <c r="AA240" s="176">
        <f t="shared" si="140"/>
        <v>0</v>
      </c>
      <c r="AB240" s="113">
        <f t="shared" si="141"/>
        <v>0</v>
      </c>
      <c r="AC240" s="113">
        <f t="shared" si="120"/>
        <v>0</v>
      </c>
      <c r="AD240" s="114">
        <f t="shared" si="142"/>
        <v>36.333333333333336</v>
      </c>
      <c r="AE240" s="114">
        <f t="shared" si="143"/>
        <v>0</v>
      </c>
      <c r="AF240" s="114">
        <f t="shared" si="144"/>
        <v>1356.4444444444446</v>
      </c>
      <c r="AG240" s="114"/>
      <c r="AH240" s="176">
        <f t="shared" si="145"/>
        <v>81111324.860456154</v>
      </c>
      <c r="AI240" s="176">
        <f t="shared" si="146"/>
        <v>398479.8467565137</v>
      </c>
      <c r="AJ240" s="176">
        <f t="shared" si="147"/>
        <v>1332781.3650294358</v>
      </c>
      <c r="AK240" s="113">
        <f t="shared" si="148"/>
        <v>1731261.2117859495</v>
      </c>
      <c r="AL240" s="113">
        <f t="shared" si="121"/>
        <v>607347.78173352347</v>
      </c>
      <c r="AM240" s="114">
        <f t="shared" si="149"/>
        <v>36.333333333333336</v>
      </c>
      <c r="AN240" s="114">
        <f t="shared" si="150"/>
        <v>6.0590252843297897E-3</v>
      </c>
      <c r="AO240" s="114">
        <f t="shared" si="151"/>
        <v>1356.4444444444446</v>
      </c>
    </row>
    <row r="241" spans="1:41" hidden="1" outlineLevel="1" x14ac:dyDescent="0.3">
      <c r="A241" s="146">
        <f t="shared" si="122"/>
        <v>219</v>
      </c>
      <c r="B241" s="147">
        <f t="shared" si="115"/>
        <v>66</v>
      </c>
      <c r="C241" s="147">
        <f t="shared" si="114"/>
        <v>294</v>
      </c>
      <c r="D241" s="149">
        <f t="shared" si="123"/>
        <v>79782476.735545859</v>
      </c>
      <c r="E241" s="149">
        <f t="shared" si="124"/>
        <v>1427691.7430369589</v>
      </c>
      <c r="F241" s="149">
        <f t="shared" si="116"/>
        <v>405556.62430228107</v>
      </c>
      <c r="G241" s="149">
        <f t="shared" si="117"/>
        <v>392038.07015887171</v>
      </c>
      <c r="H241" s="149">
        <f t="shared" si="125"/>
        <v>13518.554143409361</v>
      </c>
      <c r="I241" s="149">
        <f t="shared" si="126"/>
        <v>1022135.1187346778</v>
      </c>
      <c r="J241" s="147">
        <f t="shared" si="127"/>
        <v>4.4999999999999998E-2</v>
      </c>
      <c r="K241" s="175">
        <f t="shared" si="118"/>
        <v>3.8296430163020645E-3</v>
      </c>
      <c r="L241" s="149">
        <f t="shared" si="128"/>
        <v>306713.00617567485</v>
      </c>
      <c r="M241" s="149">
        <f t="shared" si="129"/>
        <v>1720886.1950692246</v>
      </c>
      <c r="N241" s="149">
        <f t="shared" si="130"/>
        <v>1328848.1249103528</v>
      </c>
      <c r="P241" s="149">
        <f t="shared" si="131"/>
        <v>0</v>
      </c>
      <c r="Q241" s="149">
        <f t="shared" si="132"/>
        <v>0</v>
      </c>
      <c r="R241" s="176">
        <f t="shared" si="133"/>
        <v>0</v>
      </c>
      <c r="S241" s="113">
        <f t="shared" si="134"/>
        <v>0</v>
      </c>
      <c r="T241" s="113">
        <f t="shared" si="119"/>
        <v>0</v>
      </c>
      <c r="U241" s="114">
        <f t="shared" si="135"/>
        <v>36.5</v>
      </c>
      <c r="V241" s="114">
        <f t="shared" si="136"/>
        <v>0</v>
      </c>
      <c r="W241" s="114">
        <f t="shared" si="137"/>
        <v>1368.75</v>
      </c>
      <c r="X241" s="114"/>
      <c r="Y241" s="149">
        <f t="shared" si="138"/>
        <v>0</v>
      </c>
      <c r="Z241" s="149">
        <f t="shared" si="139"/>
        <v>0</v>
      </c>
      <c r="AA241" s="176">
        <f t="shared" si="140"/>
        <v>0</v>
      </c>
      <c r="AB241" s="113">
        <f t="shared" si="141"/>
        <v>0</v>
      </c>
      <c r="AC241" s="113">
        <f t="shared" si="120"/>
        <v>0</v>
      </c>
      <c r="AD241" s="114">
        <f t="shared" si="142"/>
        <v>36.5</v>
      </c>
      <c r="AE241" s="114">
        <f t="shared" si="143"/>
        <v>0</v>
      </c>
      <c r="AF241" s="114">
        <f t="shared" si="144"/>
        <v>1368.75</v>
      </c>
      <c r="AG241" s="114"/>
      <c r="AH241" s="176">
        <f t="shared" si="145"/>
        <v>79782476.735545799</v>
      </c>
      <c r="AI241" s="176">
        <f t="shared" si="146"/>
        <v>392038.07015887141</v>
      </c>
      <c r="AJ241" s="176">
        <f t="shared" si="147"/>
        <v>1328848.1249103528</v>
      </c>
      <c r="AK241" s="113">
        <f t="shared" si="148"/>
        <v>1720886.1950692241</v>
      </c>
      <c r="AL241" s="113">
        <f t="shared" si="121"/>
        <v>600814.20036794792</v>
      </c>
      <c r="AM241" s="114">
        <f t="shared" si="149"/>
        <v>36.5</v>
      </c>
      <c r="AN241" s="114">
        <f t="shared" si="150"/>
        <v>5.9938449446926599E-3</v>
      </c>
      <c r="AO241" s="114">
        <f t="shared" si="151"/>
        <v>1368.75</v>
      </c>
    </row>
    <row r="242" spans="1:41" hidden="1" outlineLevel="1" x14ac:dyDescent="0.3">
      <c r="A242" s="146">
        <f t="shared" si="122"/>
        <v>220</v>
      </c>
      <c r="B242" s="147">
        <f t="shared" si="115"/>
        <v>65</v>
      </c>
      <c r="C242" s="147">
        <f t="shared" si="114"/>
        <v>295</v>
      </c>
      <c r="D242" s="149">
        <f t="shared" si="123"/>
        <v>78457545.439971536</v>
      </c>
      <c r="E242" s="149">
        <f t="shared" si="124"/>
        <v>1422224.1933238052</v>
      </c>
      <c r="F242" s="149">
        <f t="shared" si="116"/>
        <v>398912.38367772929</v>
      </c>
      <c r="G242" s="149">
        <f t="shared" si="117"/>
        <v>385615.30422180501</v>
      </c>
      <c r="H242" s="149">
        <f t="shared" si="125"/>
        <v>13297.079455924279</v>
      </c>
      <c r="I242" s="149">
        <f t="shared" si="126"/>
        <v>1023311.8096460759</v>
      </c>
      <c r="J242" s="147">
        <f t="shared" si="127"/>
        <v>4.4999999999999998E-2</v>
      </c>
      <c r="K242" s="175">
        <f t="shared" si="118"/>
        <v>3.8296430163020645E-3</v>
      </c>
      <c r="L242" s="149">
        <f t="shared" si="128"/>
        <v>301619.48592825461</v>
      </c>
      <c r="M242" s="149">
        <f t="shared" si="129"/>
        <v>1710546.5997961357</v>
      </c>
      <c r="N242" s="149">
        <f t="shared" si="130"/>
        <v>1324931.2955743305</v>
      </c>
      <c r="P242" s="149">
        <f t="shared" si="131"/>
        <v>0</v>
      </c>
      <c r="Q242" s="149">
        <f t="shared" si="132"/>
        <v>0</v>
      </c>
      <c r="R242" s="176">
        <f t="shared" si="133"/>
        <v>0</v>
      </c>
      <c r="S242" s="113">
        <f t="shared" si="134"/>
        <v>0</v>
      </c>
      <c r="T242" s="113">
        <f t="shared" si="119"/>
        <v>0</v>
      </c>
      <c r="U242" s="114">
        <f t="shared" si="135"/>
        <v>36.666666666666664</v>
      </c>
      <c r="V242" s="114">
        <f t="shared" si="136"/>
        <v>0</v>
      </c>
      <c r="W242" s="114">
        <f t="shared" si="137"/>
        <v>1381.1111111111109</v>
      </c>
      <c r="X242" s="114"/>
      <c r="Y242" s="149">
        <f t="shared" si="138"/>
        <v>0</v>
      </c>
      <c r="Z242" s="149">
        <f t="shared" si="139"/>
        <v>0</v>
      </c>
      <c r="AA242" s="176">
        <f t="shared" si="140"/>
        <v>0</v>
      </c>
      <c r="AB242" s="113">
        <f t="shared" si="141"/>
        <v>0</v>
      </c>
      <c r="AC242" s="113">
        <f t="shared" si="120"/>
        <v>0</v>
      </c>
      <c r="AD242" s="114">
        <f t="shared" si="142"/>
        <v>36.666666666666664</v>
      </c>
      <c r="AE242" s="114">
        <f t="shared" si="143"/>
        <v>0</v>
      </c>
      <c r="AF242" s="114">
        <f t="shared" si="144"/>
        <v>1381.1111111111109</v>
      </c>
      <c r="AG242" s="114"/>
      <c r="AH242" s="176">
        <f t="shared" si="145"/>
        <v>78457545.439971462</v>
      </c>
      <c r="AI242" s="176">
        <f t="shared" si="146"/>
        <v>385615.30422180472</v>
      </c>
      <c r="AJ242" s="176">
        <f t="shared" si="147"/>
        <v>1324931.2955743305</v>
      </c>
      <c r="AK242" s="113">
        <f t="shared" si="148"/>
        <v>1710546.5997961352</v>
      </c>
      <c r="AL242" s="113">
        <f t="shared" si="121"/>
        <v>594341.60873350909</v>
      </c>
      <c r="AM242" s="114">
        <f t="shared" si="149"/>
        <v>36.666666666666664</v>
      </c>
      <c r="AN242" s="114">
        <f t="shared" si="150"/>
        <v>5.9292730510467004E-3</v>
      </c>
      <c r="AO242" s="114">
        <f t="shared" si="151"/>
        <v>1381.1111111111109</v>
      </c>
    </row>
    <row r="243" spans="1:41" hidden="1" outlineLevel="1" x14ac:dyDescent="0.3">
      <c r="A243" s="146">
        <f t="shared" si="122"/>
        <v>221</v>
      </c>
      <c r="B243" s="147">
        <f t="shared" si="115"/>
        <v>64</v>
      </c>
      <c r="C243" s="147">
        <f t="shared" si="114"/>
        <v>296</v>
      </c>
      <c r="D243" s="149">
        <f t="shared" si="123"/>
        <v>77136514.624245927</v>
      </c>
      <c r="E243" s="149">
        <f t="shared" si="124"/>
        <v>1416777.5823742268</v>
      </c>
      <c r="F243" s="149">
        <f t="shared" si="116"/>
        <v>392287.72719985771</v>
      </c>
      <c r="G243" s="149">
        <f t="shared" si="117"/>
        <v>379211.46962652908</v>
      </c>
      <c r="H243" s="149">
        <f t="shared" si="125"/>
        <v>13076.257573328621</v>
      </c>
      <c r="I243" s="149">
        <f t="shared" si="126"/>
        <v>1024489.8551743691</v>
      </c>
      <c r="J243" s="147">
        <f t="shared" si="127"/>
        <v>4.4999999999999998E-2</v>
      </c>
      <c r="K243" s="175">
        <f t="shared" si="118"/>
        <v>3.8296430163020645E-3</v>
      </c>
      <c r="L243" s="149">
        <f t="shared" si="128"/>
        <v>296540.96055124805</v>
      </c>
      <c r="M243" s="149">
        <f t="shared" si="129"/>
        <v>1700242.2853521463</v>
      </c>
      <c r="N243" s="149">
        <f t="shared" si="130"/>
        <v>1321030.8157256171</v>
      </c>
      <c r="P243" s="149">
        <f t="shared" si="131"/>
        <v>0</v>
      </c>
      <c r="Q243" s="149">
        <f t="shared" si="132"/>
        <v>0</v>
      </c>
      <c r="R243" s="176">
        <f t="shared" si="133"/>
        <v>0</v>
      </c>
      <c r="S243" s="113">
        <f t="shared" si="134"/>
        <v>0</v>
      </c>
      <c r="T243" s="113">
        <f t="shared" si="119"/>
        <v>0</v>
      </c>
      <c r="U243" s="114">
        <f t="shared" si="135"/>
        <v>36.833333333333336</v>
      </c>
      <c r="V243" s="114">
        <f t="shared" si="136"/>
        <v>0</v>
      </c>
      <c r="W243" s="114">
        <f t="shared" si="137"/>
        <v>1393.5277777777781</v>
      </c>
      <c r="X243" s="114"/>
      <c r="Y243" s="149">
        <f t="shared" si="138"/>
        <v>0</v>
      </c>
      <c r="Z243" s="149">
        <f t="shared" si="139"/>
        <v>0</v>
      </c>
      <c r="AA243" s="176">
        <f t="shared" si="140"/>
        <v>0</v>
      </c>
      <c r="AB243" s="113">
        <f t="shared" si="141"/>
        <v>0</v>
      </c>
      <c r="AC243" s="113">
        <f t="shared" si="120"/>
        <v>0</v>
      </c>
      <c r="AD243" s="114">
        <f t="shared" si="142"/>
        <v>36.833333333333336</v>
      </c>
      <c r="AE243" s="114">
        <f t="shared" si="143"/>
        <v>0</v>
      </c>
      <c r="AF243" s="114">
        <f t="shared" si="144"/>
        <v>1393.5277777777781</v>
      </c>
      <c r="AG243" s="114"/>
      <c r="AH243" s="176">
        <f t="shared" si="145"/>
        <v>77136514.624245852</v>
      </c>
      <c r="AI243" s="176">
        <f t="shared" si="146"/>
        <v>379211.46962652873</v>
      </c>
      <c r="AJ243" s="176">
        <f t="shared" si="147"/>
        <v>1321030.8157256171</v>
      </c>
      <c r="AK243" s="113">
        <f t="shared" si="148"/>
        <v>1700242.2853521458</v>
      </c>
      <c r="AL243" s="113">
        <f t="shared" si="121"/>
        <v>587929.46462624066</v>
      </c>
      <c r="AM243" s="114">
        <f t="shared" si="149"/>
        <v>36.833333333333336</v>
      </c>
      <c r="AN243" s="114">
        <f t="shared" si="150"/>
        <v>5.8653041942546098E-3</v>
      </c>
      <c r="AO243" s="114">
        <f t="shared" si="151"/>
        <v>1393.5277777777781</v>
      </c>
    </row>
    <row r="244" spans="1:41" hidden="1" outlineLevel="1" x14ac:dyDescent="0.3">
      <c r="A244" s="146">
        <f t="shared" si="122"/>
        <v>222</v>
      </c>
      <c r="B244" s="147">
        <f t="shared" si="115"/>
        <v>63</v>
      </c>
      <c r="C244" s="147">
        <f t="shared" si="114"/>
        <v>297</v>
      </c>
      <c r="D244" s="149">
        <f t="shared" si="123"/>
        <v>75819367.999940947</v>
      </c>
      <c r="E244" s="149">
        <f t="shared" si="124"/>
        <v>1411351.8300002341</v>
      </c>
      <c r="F244" s="149">
        <f t="shared" si="116"/>
        <v>385682.57312122965</v>
      </c>
      <c r="G244" s="149">
        <f t="shared" si="117"/>
        <v>372826.48735052202</v>
      </c>
      <c r="H244" s="149">
        <f t="shared" si="125"/>
        <v>12856.085770707636</v>
      </c>
      <c r="I244" s="149">
        <f t="shared" si="126"/>
        <v>1025669.2568790044</v>
      </c>
      <c r="J244" s="147">
        <f t="shared" si="127"/>
        <v>4.4999999999999998E-2</v>
      </c>
      <c r="K244" s="175">
        <f t="shared" si="118"/>
        <v>3.8296430163020645E-3</v>
      </c>
      <c r="L244" s="149">
        <f t="shared" si="128"/>
        <v>291477.36742598307</v>
      </c>
      <c r="M244" s="149">
        <f t="shared" si="129"/>
        <v>1689973.1116555096</v>
      </c>
      <c r="N244" s="149">
        <f t="shared" si="130"/>
        <v>1317146.6243049875</v>
      </c>
      <c r="P244" s="149">
        <f t="shared" si="131"/>
        <v>0</v>
      </c>
      <c r="Q244" s="149">
        <f t="shared" si="132"/>
        <v>0</v>
      </c>
      <c r="R244" s="176">
        <f t="shared" si="133"/>
        <v>0</v>
      </c>
      <c r="S244" s="113">
        <f t="shared" si="134"/>
        <v>0</v>
      </c>
      <c r="T244" s="113">
        <f t="shared" si="119"/>
        <v>0</v>
      </c>
      <c r="U244" s="114">
        <f t="shared" si="135"/>
        <v>37</v>
      </c>
      <c r="V244" s="114">
        <f t="shared" si="136"/>
        <v>0</v>
      </c>
      <c r="W244" s="114">
        <f t="shared" si="137"/>
        <v>1406</v>
      </c>
      <c r="X244" s="114"/>
      <c r="Y244" s="149">
        <f t="shared" si="138"/>
        <v>0</v>
      </c>
      <c r="Z244" s="149">
        <f t="shared" si="139"/>
        <v>0</v>
      </c>
      <c r="AA244" s="176">
        <f t="shared" si="140"/>
        <v>0</v>
      </c>
      <c r="AB244" s="113">
        <f t="shared" si="141"/>
        <v>0</v>
      </c>
      <c r="AC244" s="113">
        <f t="shared" si="120"/>
        <v>0</v>
      </c>
      <c r="AD244" s="114">
        <f t="shared" si="142"/>
        <v>37</v>
      </c>
      <c r="AE244" s="114">
        <f t="shared" si="143"/>
        <v>0</v>
      </c>
      <c r="AF244" s="114">
        <f t="shared" si="144"/>
        <v>1406</v>
      </c>
      <c r="AG244" s="114"/>
      <c r="AH244" s="176">
        <f t="shared" si="145"/>
        <v>75819367.999940872</v>
      </c>
      <c r="AI244" s="176">
        <f t="shared" si="146"/>
        <v>372826.48735052161</v>
      </c>
      <c r="AJ244" s="176">
        <f t="shared" si="147"/>
        <v>1317146.6243049875</v>
      </c>
      <c r="AK244" s="113">
        <f t="shared" si="148"/>
        <v>1689973.1116555091</v>
      </c>
      <c r="AL244" s="113">
        <f t="shared" si="121"/>
        <v>581577.23057121155</v>
      </c>
      <c r="AM244" s="114">
        <f t="shared" si="149"/>
        <v>37</v>
      </c>
      <c r="AN244" s="114">
        <f t="shared" si="150"/>
        <v>5.8019330123569059E-3</v>
      </c>
      <c r="AO244" s="114">
        <f t="shared" si="151"/>
        <v>1406</v>
      </c>
    </row>
    <row r="245" spans="1:41" hidden="1" outlineLevel="1" x14ac:dyDescent="0.3">
      <c r="A245" s="146">
        <f t="shared" si="122"/>
        <v>223</v>
      </c>
      <c r="B245" s="147">
        <f t="shared" si="115"/>
        <v>62</v>
      </c>
      <c r="C245" s="147">
        <f t="shared" si="114"/>
        <v>298</v>
      </c>
      <c r="D245" s="149">
        <f t="shared" si="123"/>
        <v>74506089.339452103</v>
      </c>
      <c r="E245" s="149">
        <f t="shared" si="124"/>
        <v>1405946.8563209285</v>
      </c>
      <c r="F245" s="149">
        <f t="shared" si="116"/>
        <v>379096.83999970474</v>
      </c>
      <c r="G245" s="149">
        <f t="shared" si="117"/>
        <v>366460.27866638126</v>
      </c>
      <c r="H245" s="149">
        <f t="shared" si="125"/>
        <v>12636.56133332348</v>
      </c>
      <c r="I245" s="149">
        <f t="shared" si="126"/>
        <v>1026850.0163212238</v>
      </c>
      <c r="J245" s="147">
        <f t="shared" si="127"/>
        <v>4.4999999999999998E-2</v>
      </c>
      <c r="K245" s="175">
        <f t="shared" si="118"/>
        <v>3.8296430163020645E-3</v>
      </c>
      <c r="L245" s="149">
        <f t="shared" si="128"/>
        <v>286428.6441676158</v>
      </c>
      <c r="M245" s="149">
        <f t="shared" si="129"/>
        <v>1679738.9391552208</v>
      </c>
      <c r="N245" s="149">
        <f t="shared" si="130"/>
        <v>1313278.6604888397</v>
      </c>
      <c r="P245" s="149">
        <f t="shared" si="131"/>
        <v>0</v>
      </c>
      <c r="Q245" s="149">
        <f t="shared" si="132"/>
        <v>0</v>
      </c>
      <c r="R245" s="176">
        <f t="shared" si="133"/>
        <v>0</v>
      </c>
      <c r="S245" s="113">
        <f t="shared" si="134"/>
        <v>0</v>
      </c>
      <c r="T245" s="113">
        <f t="shared" si="119"/>
        <v>0</v>
      </c>
      <c r="U245" s="114">
        <f t="shared" si="135"/>
        <v>37.166666666666664</v>
      </c>
      <c r="V245" s="114">
        <f t="shared" si="136"/>
        <v>0</v>
      </c>
      <c r="W245" s="114">
        <f t="shared" si="137"/>
        <v>1418.5277777777776</v>
      </c>
      <c r="X245" s="114"/>
      <c r="Y245" s="149">
        <f t="shared" si="138"/>
        <v>0</v>
      </c>
      <c r="Z245" s="149">
        <f t="shared" si="139"/>
        <v>0</v>
      </c>
      <c r="AA245" s="176">
        <f t="shared" si="140"/>
        <v>0</v>
      </c>
      <c r="AB245" s="113">
        <f t="shared" si="141"/>
        <v>0</v>
      </c>
      <c r="AC245" s="113">
        <f t="shared" si="120"/>
        <v>0</v>
      </c>
      <c r="AD245" s="114">
        <f t="shared" si="142"/>
        <v>37.166666666666664</v>
      </c>
      <c r="AE245" s="114">
        <f t="shared" si="143"/>
        <v>0</v>
      </c>
      <c r="AF245" s="114">
        <f t="shared" si="144"/>
        <v>1418.5277777777776</v>
      </c>
      <c r="AG245" s="114"/>
      <c r="AH245" s="176">
        <f t="shared" si="145"/>
        <v>74506089.339452028</v>
      </c>
      <c r="AI245" s="176">
        <f t="shared" si="146"/>
        <v>366460.27866638091</v>
      </c>
      <c r="AJ245" s="176">
        <f t="shared" si="147"/>
        <v>1313278.6604888397</v>
      </c>
      <c r="AK245" s="113">
        <f t="shared" si="148"/>
        <v>1679738.9391552205</v>
      </c>
      <c r="AL245" s="113">
        <f t="shared" si="121"/>
        <v>575284.37378160178</v>
      </c>
      <c r="AM245" s="114">
        <f t="shared" si="149"/>
        <v>37.166666666666664</v>
      </c>
      <c r="AN245" s="114">
        <f t="shared" si="150"/>
        <v>5.7391541901636589E-3</v>
      </c>
      <c r="AO245" s="114">
        <f t="shared" si="151"/>
        <v>1418.5277777777776</v>
      </c>
    </row>
    <row r="246" spans="1:41" hidden="1" outlineLevel="1" x14ac:dyDescent="0.3">
      <c r="A246" s="146">
        <f t="shared" si="122"/>
        <v>224</v>
      </c>
      <c r="B246" s="147">
        <f t="shared" si="115"/>
        <v>61</v>
      </c>
      <c r="C246" s="147">
        <f t="shared" si="114"/>
        <v>299</v>
      </c>
      <c r="D246" s="149">
        <f t="shared" si="123"/>
        <v>73196662.475763813</v>
      </c>
      <c r="E246" s="149">
        <f t="shared" si="124"/>
        <v>1400562.5817613273</v>
      </c>
      <c r="F246" s="149">
        <f t="shared" si="116"/>
        <v>372530.44669726054</v>
      </c>
      <c r="G246" s="149">
        <f t="shared" si="117"/>
        <v>360112.76514068519</v>
      </c>
      <c r="H246" s="149">
        <f t="shared" si="125"/>
        <v>12417.68155657535</v>
      </c>
      <c r="I246" s="149">
        <f t="shared" si="126"/>
        <v>1028032.1350640669</v>
      </c>
      <c r="J246" s="147">
        <f t="shared" si="127"/>
        <v>4.4999999999999998E-2</v>
      </c>
      <c r="K246" s="175">
        <f t="shared" si="118"/>
        <v>3.8296430163020645E-3</v>
      </c>
      <c r="L246" s="149">
        <f t="shared" si="128"/>
        <v>281394.72862422827</v>
      </c>
      <c r="M246" s="149">
        <f t="shared" si="129"/>
        <v>1669539.6288289805</v>
      </c>
      <c r="N246" s="149">
        <f t="shared" si="130"/>
        <v>1309426.8636882952</v>
      </c>
      <c r="P246" s="149">
        <f t="shared" si="131"/>
        <v>0</v>
      </c>
      <c r="Q246" s="149">
        <f t="shared" si="132"/>
        <v>0</v>
      </c>
      <c r="R246" s="176">
        <f t="shared" si="133"/>
        <v>0</v>
      </c>
      <c r="S246" s="113">
        <f t="shared" si="134"/>
        <v>0</v>
      </c>
      <c r="T246" s="113">
        <f t="shared" si="119"/>
        <v>0</v>
      </c>
      <c r="U246" s="114">
        <f t="shared" si="135"/>
        <v>37.333333333333336</v>
      </c>
      <c r="V246" s="114">
        <f t="shared" si="136"/>
        <v>0</v>
      </c>
      <c r="W246" s="114">
        <f t="shared" si="137"/>
        <v>1431.1111111111113</v>
      </c>
      <c r="X246" s="114"/>
      <c r="Y246" s="149">
        <f t="shared" si="138"/>
        <v>0</v>
      </c>
      <c r="Z246" s="149">
        <f t="shared" si="139"/>
        <v>0</v>
      </c>
      <c r="AA246" s="176">
        <f t="shared" si="140"/>
        <v>0</v>
      </c>
      <c r="AB246" s="113">
        <f t="shared" si="141"/>
        <v>0</v>
      </c>
      <c r="AC246" s="113">
        <f t="shared" si="120"/>
        <v>0</v>
      </c>
      <c r="AD246" s="114">
        <f t="shared" si="142"/>
        <v>37.333333333333336</v>
      </c>
      <c r="AE246" s="114">
        <f t="shared" si="143"/>
        <v>0</v>
      </c>
      <c r="AF246" s="114">
        <f t="shared" si="144"/>
        <v>1431.1111111111113</v>
      </c>
      <c r="AG246" s="114"/>
      <c r="AH246" s="176">
        <f t="shared" si="145"/>
        <v>73196662.475763738</v>
      </c>
      <c r="AI246" s="176">
        <f t="shared" si="146"/>
        <v>360112.76514068485</v>
      </c>
      <c r="AJ246" s="176">
        <f t="shared" si="147"/>
        <v>1309426.8636882952</v>
      </c>
      <c r="AK246" s="113">
        <f t="shared" si="148"/>
        <v>1669539.62882898</v>
      </c>
      <c r="AL246" s="113">
        <f t="shared" si="121"/>
        <v>569050.36611813097</v>
      </c>
      <c r="AM246" s="114">
        <f t="shared" si="149"/>
        <v>37.333333333333336</v>
      </c>
      <c r="AN246" s="114">
        <f t="shared" si="150"/>
        <v>5.676962458849741E-3</v>
      </c>
      <c r="AO246" s="114">
        <f t="shared" si="151"/>
        <v>1431.1111111111113</v>
      </c>
    </row>
    <row r="247" spans="1:41" hidden="1" outlineLevel="1" x14ac:dyDescent="0.3">
      <c r="A247" s="146">
        <f t="shared" si="122"/>
        <v>225</v>
      </c>
      <c r="B247" s="147">
        <f t="shared" si="115"/>
        <v>60</v>
      </c>
      <c r="C247" s="147">
        <f t="shared" si="114"/>
        <v>300</v>
      </c>
      <c r="D247" s="149">
        <f t="shared" si="123"/>
        <v>71891071.302215502</v>
      </c>
      <c r="E247" s="149">
        <f t="shared" si="124"/>
        <v>1395198.927051191</v>
      </c>
      <c r="F247" s="149">
        <f t="shared" si="116"/>
        <v>365983.31237881904</v>
      </c>
      <c r="G247" s="149">
        <f t="shared" si="117"/>
        <v>353783.86863285844</v>
      </c>
      <c r="H247" s="149">
        <f t="shared" si="125"/>
        <v>12199.443745960598</v>
      </c>
      <c r="I247" s="149">
        <f t="shared" si="126"/>
        <v>1029215.6146723719</v>
      </c>
      <c r="J247" s="147">
        <f t="shared" si="127"/>
        <v>4.4999999999999998E-2</v>
      </c>
      <c r="K247" s="175">
        <f t="shared" si="118"/>
        <v>3.8296430163020645E-3</v>
      </c>
      <c r="L247" s="149">
        <f t="shared" si="128"/>
        <v>276375.55887592916</v>
      </c>
      <c r="M247" s="149">
        <f t="shared" si="129"/>
        <v>1659375.0421811594</v>
      </c>
      <c r="N247" s="149">
        <f t="shared" si="130"/>
        <v>1305591.173548301</v>
      </c>
      <c r="P247" s="149">
        <f t="shared" si="131"/>
        <v>0</v>
      </c>
      <c r="Q247" s="149">
        <f t="shared" si="132"/>
        <v>0</v>
      </c>
      <c r="R247" s="176">
        <f t="shared" si="133"/>
        <v>0</v>
      </c>
      <c r="S247" s="113">
        <f t="shared" si="134"/>
        <v>0</v>
      </c>
      <c r="T247" s="113">
        <f t="shared" si="119"/>
        <v>0</v>
      </c>
      <c r="U247" s="114">
        <f t="shared" si="135"/>
        <v>37.5</v>
      </c>
      <c r="V247" s="114">
        <f t="shared" si="136"/>
        <v>0</v>
      </c>
      <c r="W247" s="114">
        <f t="shared" si="137"/>
        <v>1443.75</v>
      </c>
      <c r="X247" s="114"/>
      <c r="Y247" s="149">
        <f t="shared" si="138"/>
        <v>0</v>
      </c>
      <c r="Z247" s="149">
        <f t="shared" si="139"/>
        <v>0</v>
      </c>
      <c r="AA247" s="176">
        <f t="shared" si="140"/>
        <v>0</v>
      </c>
      <c r="AB247" s="113">
        <f t="shared" si="141"/>
        <v>0</v>
      </c>
      <c r="AC247" s="113">
        <f t="shared" si="120"/>
        <v>0</v>
      </c>
      <c r="AD247" s="114">
        <f t="shared" si="142"/>
        <v>37.5</v>
      </c>
      <c r="AE247" s="114">
        <f t="shared" si="143"/>
        <v>0</v>
      </c>
      <c r="AF247" s="114">
        <f t="shared" si="144"/>
        <v>1443.75</v>
      </c>
      <c r="AG247" s="114"/>
      <c r="AH247" s="176">
        <f t="shared" si="145"/>
        <v>71891071.302215442</v>
      </c>
      <c r="AI247" s="176">
        <f t="shared" si="146"/>
        <v>353783.8686328581</v>
      </c>
      <c r="AJ247" s="176">
        <f t="shared" si="147"/>
        <v>1305591.173548301</v>
      </c>
      <c r="AK247" s="113">
        <f t="shared" si="148"/>
        <v>1659375.0421811591</v>
      </c>
      <c r="AL247" s="113">
        <f t="shared" si="121"/>
        <v>562874.68404883763</v>
      </c>
      <c r="AM247" s="114">
        <f t="shared" si="149"/>
        <v>37.5</v>
      </c>
      <c r="AN247" s="114">
        <f t="shared" si="150"/>
        <v>5.6153525955535775E-3</v>
      </c>
      <c r="AO247" s="114">
        <f t="shared" si="151"/>
        <v>1443.75</v>
      </c>
    </row>
    <row r="248" spans="1:41" hidden="1" outlineLevel="1" x14ac:dyDescent="0.3">
      <c r="A248" s="146">
        <f t="shared" si="122"/>
        <v>226</v>
      </c>
      <c r="B248" s="147">
        <f t="shared" si="115"/>
        <v>59</v>
      </c>
      <c r="C248" s="147">
        <f t="shared" si="114"/>
        <v>301</v>
      </c>
      <c r="D248" s="149">
        <f t="shared" si="123"/>
        <v>70589299.772268757</v>
      </c>
      <c r="E248" s="149">
        <f t="shared" si="124"/>
        <v>1389855.8132238572</v>
      </c>
      <c r="F248" s="149">
        <f t="shared" si="116"/>
        <v>359455.35651107749</v>
      </c>
      <c r="G248" s="149">
        <f t="shared" si="117"/>
        <v>347473.51129404159</v>
      </c>
      <c r="H248" s="149">
        <f t="shared" si="125"/>
        <v>11981.845217035909</v>
      </c>
      <c r="I248" s="149">
        <f t="shared" si="126"/>
        <v>1030400.4567127797</v>
      </c>
      <c r="J248" s="147">
        <f t="shared" si="127"/>
        <v>4.4999999999999998E-2</v>
      </c>
      <c r="K248" s="175">
        <f t="shared" si="118"/>
        <v>3.8296430163020645E-3</v>
      </c>
      <c r="L248" s="149">
        <f t="shared" si="128"/>
        <v>271371.0732339588</v>
      </c>
      <c r="M248" s="149">
        <f t="shared" si="129"/>
        <v>1649245.0412407801</v>
      </c>
      <c r="N248" s="149">
        <f t="shared" si="130"/>
        <v>1301771.5299467384</v>
      </c>
      <c r="P248" s="149">
        <f t="shared" si="131"/>
        <v>0</v>
      </c>
      <c r="Q248" s="149">
        <f t="shared" si="132"/>
        <v>0</v>
      </c>
      <c r="R248" s="176">
        <f t="shared" si="133"/>
        <v>0</v>
      </c>
      <c r="S248" s="113">
        <f t="shared" si="134"/>
        <v>0</v>
      </c>
      <c r="T248" s="113">
        <f t="shared" si="119"/>
        <v>0</v>
      </c>
      <c r="U248" s="114">
        <f t="shared" si="135"/>
        <v>37.666666666666664</v>
      </c>
      <c r="V248" s="114">
        <f t="shared" si="136"/>
        <v>0</v>
      </c>
      <c r="W248" s="114">
        <f t="shared" si="137"/>
        <v>1456.4444444444443</v>
      </c>
      <c r="X248" s="114"/>
      <c r="Y248" s="149">
        <f t="shared" si="138"/>
        <v>0</v>
      </c>
      <c r="Z248" s="149">
        <f t="shared" si="139"/>
        <v>0</v>
      </c>
      <c r="AA248" s="176">
        <f t="shared" si="140"/>
        <v>0</v>
      </c>
      <c r="AB248" s="113">
        <f t="shared" si="141"/>
        <v>0</v>
      </c>
      <c r="AC248" s="113">
        <f t="shared" si="120"/>
        <v>0</v>
      </c>
      <c r="AD248" s="114">
        <f t="shared" si="142"/>
        <v>37.666666666666664</v>
      </c>
      <c r="AE248" s="114">
        <f t="shared" si="143"/>
        <v>0</v>
      </c>
      <c r="AF248" s="114">
        <f t="shared" si="144"/>
        <v>1456.4444444444443</v>
      </c>
      <c r="AG248" s="114"/>
      <c r="AH248" s="176">
        <f t="shared" si="145"/>
        <v>70589299.772268698</v>
      </c>
      <c r="AI248" s="176">
        <f t="shared" si="146"/>
        <v>347473.51129404129</v>
      </c>
      <c r="AJ248" s="176">
        <f t="shared" si="147"/>
        <v>1301771.5299467384</v>
      </c>
      <c r="AK248" s="113">
        <f t="shared" si="148"/>
        <v>1649245.0412407797</v>
      </c>
      <c r="AL248" s="113">
        <f t="shared" si="121"/>
        <v>556756.80860920483</v>
      </c>
      <c r="AM248" s="114">
        <f t="shared" si="149"/>
        <v>37.666666666666664</v>
      </c>
      <c r="AN248" s="114">
        <f t="shared" si="150"/>
        <v>5.5543194229793523E-3</v>
      </c>
      <c r="AO248" s="114">
        <f t="shared" si="151"/>
        <v>1456.4444444444443</v>
      </c>
    </row>
    <row r="249" spans="1:41" hidden="1" outlineLevel="1" x14ac:dyDescent="0.3">
      <c r="A249" s="146">
        <f t="shared" si="122"/>
        <v>227</v>
      </c>
      <c r="B249" s="147">
        <f t="shared" si="115"/>
        <v>58</v>
      </c>
      <c r="C249" s="147">
        <f t="shared" si="114"/>
        <v>302</v>
      </c>
      <c r="D249" s="149">
        <f t="shared" si="123"/>
        <v>69291331.899275228</v>
      </c>
      <c r="E249" s="149">
        <f t="shared" si="124"/>
        <v>1384533.1616150776</v>
      </c>
      <c r="F249" s="149">
        <f t="shared" si="116"/>
        <v>352946.49886134377</v>
      </c>
      <c r="G249" s="149">
        <f t="shared" si="117"/>
        <v>341181.61556596565</v>
      </c>
      <c r="H249" s="149">
        <f t="shared" si="125"/>
        <v>11764.883295378124</v>
      </c>
      <c r="I249" s="149">
        <f t="shared" si="126"/>
        <v>1031586.6627537338</v>
      </c>
      <c r="J249" s="147">
        <f t="shared" si="127"/>
        <v>4.4999999999999998E-2</v>
      </c>
      <c r="K249" s="175">
        <f t="shared" si="118"/>
        <v>3.8296430163020645E-3</v>
      </c>
      <c r="L249" s="149">
        <f t="shared" si="128"/>
        <v>266381.21023979678</v>
      </c>
      <c r="M249" s="149">
        <f t="shared" si="129"/>
        <v>1639149.4885594961</v>
      </c>
      <c r="N249" s="149">
        <f t="shared" si="130"/>
        <v>1297967.8729935307</v>
      </c>
      <c r="P249" s="149">
        <f t="shared" si="131"/>
        <v>0</v>
      </c>
      <c r="Q249" s="149">
        <f t="shared" si="132"/>
        <v>0</v>
      </c>
      <c r="R249" s="176">
        <f t="shared" si="133"/>
        <v>0</v>
      </c>
      <c r="S249" s="113">
        <f t="shared" si="134"/>
        <v>0</v>
      </c>
      <c r="T249" s="113">
        <f t="shared" si="119"/>
        <v>0</v>
      </c>
      <c r="U249" s="114">
        <f t="shared" si="135"/>
        <v>37.833333333333336</v>
      </c>
      <c r="V249" s="114">
        <f t="shared" si="136"/>
        <v>0</v>
      </c>
      <c r="W249" s="114">
        <f t="shared" si="137"/>
        <v>1469.1944444444446</v>
      </c>
      <c r="X249" s="114"/>
      <c r="Y249" s="149">
        <f t="shared" si="138"/>
        <v>0</v>
      </c>
      <c r="Z249" s="149">
        <f t="shared" si="139"/>
        <v>0</v>
      </c>
      <c r="AA249" s="176">
        <f t="shared" si="140"/>
        <v>0</v>
      </c>
      <c r="AB249" s="113">
        <f t="shared" si="141"/>
        <v>0</v>
      </c>
      <c r="AC249" s="113">
        <f t="shared" si="120"/>
        <v>0</v>
      </c>
      <c r="AD249" s="114">
        <f t="shared" si="142"/>
        <v>37.833333333333336</v>
      </c>
      <c r="AE249" s="114">
        <f t="shared" si="143"/>
        <v>0</v>
      </c>
      <c r="AF249" s="114">
        <f t="shared" si="144"/>
        <v>1469.1944444444446</v>
      </c>
      <c r="AG249" s="114"/>
      <c r="AH249" s="176">
        <f t="shared" si="145"/>
        <v>69291331.899275169</v>
      </c>
      <c r="AI249" s="176">
        <f t="shared" si="146"/>
        <v>341181.61556596542</v>
      </c>
      <c r="AJ249" s="176">
        <f t="shared" si="147"/>
        <v>1297967.8729935307</v>
      </c>
      <c r="AK249" s="113">
        <f t="shared" si="148"/>
        <v>1639149.4885594961</v>
      </c>
      <c r="AL249" s="113">
        <f t="shared" si="121"/>
        <v>550696.22536263044</v>
      </c>
      <c r="AM249" s="114">
        <f t="shared" si="149"/>
        <v>37.833333333333336</v>
      </c>
      <c r="AN249" s="114">
        <f t="shared" si="150"/>
        <v>5.4938578090026483E-3</v>
      </c>
      <c r="AO249" s="114">
        <f t="shared" si="151"/>
        <v>1469.1944444444446</v>
      </c>
    </row>
    <row r="250" spans="1:41" hidden="1" outlineLevel="1" x14ac:dyDescent="0.3">
      <c r="A250" s="146">
        <f t="shared" si="122"/>
        <v>228</v>
      </c>
      <c r="B250" s="147">
        <f t="shared" si="115"/>
        <v>57</v>
      </c>
      <c r="C250" s="147">
        <f t="shared" si="114"/>
        <v>303</v>
      </c>
      <c r="D250" s="149">
        <f t="shared" si="123"/>
        <v>67997151.756245479</v>
      </c>
      <c r="E250" s="149">
        <f t="shared" si="124"/>
        <v>1379230.8938618598</v>
      </c>
      <c r="F250" s="149">
        <f t="shared" si="116"/>
        <v>346456.65949637617</v>
      </c>
      <c r="G250" s="149">
        <f t="shared" si="117"/>
        <v>334908.10417983029</v>
      </c>
      <c r="H250" s="149">
        <f t="shared" si="125"/>
        <v>11548.555316545884</v>
      </c>
      <c r="I250" s="149">
        <f t="shared" si="126"/>
        <v>1032774.2343654836</v>
      </c>
      <c r="J250" s="147">
        <f t="shared" si="127"/>
        <v>4.4999999999999998E-2</v>
      </c>
      <c r="K250" s="175">
        <f t="shared" si="118"/>
        <v>3.8296430163020645E-3</v>
      </c>
      <c r="L250" s="149">
        <f t="shared" si="128"/>
        <v>261405.90866427339</v>
      </c>
      <c r="M250" s="149">
        <f t="shared" si="129"/>
        <v>1629088.2472095874</v>
      </c>
      <c r="N250" s="149">
        <f t="shared" si="130"/>
        <v>1294180.1430297571</v>
      </c>
      <c r="P250" s="149">
        <f t="shared" si="131"/>
        <v>0</v>
      </c>
      <c r="Q250" s="149">
        <f t="shared" si="132"/>
        <v>0</v>
      </c>
      <c r="R250" s="176">
        <f t="shared" si="133"/>
        <v>0</v>
      </c>
      <c r="S250" s="113">
        <f t="shared" si="134"/>
        <v>0</v>
      </c>
      <c r="T250" s="113">
        <f t="shared" si="119"/>
        <v>0</v>
      </c>
      <c r="U250" s="114">
        <f t="shared" si="135"/>
        <v>38</v>
      </c>
      <c r="V250" s="114">
        <f t="shared" si="136"/>
        <v>0</v>
      </c>
      <c r="W250" s="114">
        <f t="shared" si="137"/>
        <v>1482</v>
      </c>
      <c r="X250" s="114"/>
      <c r="Y250" s="149">
        <f t="shared" si="138"/>
        <v>0</v>
      </c>
      <c r="Z250" s="149">
        <f t="shared" si="139"/>
        <v>0</v>
      </c>
      <c r="AA250" s="176">
        <f t="shared" si="140"/>
        <v>0</v>
      </c>
      <c r="AB250" s="113">
        <f t="shared" si="141"/>
        <v>0</v>
      </c>
      <c r="AC250" s="113">
        <f t="shared" si="120"/>
        <v>0</v>
      </c>
      <c r="AD250" s="114">
        <f t="shared" si="142"/>
        <v>38</v>
      </c>
      <c r="AE250" s="114">
        <f t="shared" si="143"/>
        <v>0</v>
      </c>
      <c r="AF250" s="114">
        <f t="shared" si="144"/>
        <v>1482</v>
      </c>
      <c r="AG250" s="114"/>
      <c r="AH250" s="176">
        <f t="shared" si="145"/>
        <v>67997151.756245404</v>
      </c>
      <c r="AI250" s="176">
        <f t="shared" si="146"/>
        <v>334908.10417983</v>
      </c>
      <c r="AJ250" s="176">
        <f t="shared" si="147"/>
        <v>1294180.1430297571</v>
      </c>
      <c r="AK250" s="113">
        <f t="shared" si="148"/>
        <v>1629088.2472095871</v>
      </c>
      <c r="AL250" s="113">
        <f t="shared" si="121"/>
        <v>544692.42436123698</v>
      </c>
      <c r="AM250" s="114">
        <f t="shared" si="149"/>
        <v>38</v>
      </c>
      <c r="AN250" s="114">
        <f t="shared" si="150"/>
        <v>5.4339626662794826E-3</v>
      </c>
      <c r="AO250" s="114">
        <f t="shared" si="151"/>
        <v>1482</v>
      </c>
    </row>
    <row r="251" spans="1:41" hidden="1" outlineLevel="1" x14ac:dyDescent="0.3">
      <c r="A251" s="146">
        <f t="shared" si="122"/>
        <v>229</v>
      </c>
      <c r="B251" s="147">
        <f t="shared" si="115"/>
        <v>56</v>
      </c>
      <c r="C251" s="147">
        <f t="shared" si="114"/>
        <v>304</v>
      </c>
      <c r="D251" s="149">
        <f t="shared" si="123"/>
        <v>66706743.475618705</v>
      </c>
      <c r="E251" s="149">
        <f t="shared" si="124"/>
        <v>1373948.9319013136</v>
      </c>
      <c r="F251" s="149">
        <f t="shared" si="116"/>
        <v>339985.7587812274</v>
      </c>
      <c r="G251" s="149">
        <f t="shared" si="117"/>
        <v>328652.90015518648</v>
      </c>
      <c r="H251" s="149">
        <f t="shared" si="125"/>
        <v>11332.858626040921</v>
      </c>
      <c r="I251" s="149">
        <f t="shared" si="126"/>
        <v>1033963.1731200862</v>
      </c>
      <c r="J251" s="147">
        <f t="shared" si="127"/>
        <v>4.4999999999999998E-2</v>
      </c>
      <c r="K251" s="175">
        <f t="shared" si="118"/>
        <v>3.8296430163020645E-3</v>
      </c>
      <c r="L251" s="149">
        <f t="shared" si="128"/>
        <v>256445.10750668429</v>
      </c>
      <c r="M251" s="149">
        <f t="shared" si="129"/>
        <v>1619061.180781957</v>
      </c>
      <c r="N251" s="149">
        <f t="shared" si="130"/>
        <v>1290408.2806267706</v>
      </c>
      <c r="P251" s="149">
        <f t="shared" si="131"/>
        <v>0</v>
      </c>
      <c r="Q251" s="149">
        <f t="shared" si="132"/>
        <v>0</v>
      </c>
      <c r="R251" s="176">
        <f t="shared" si="133"/>
        <v>0</v>
      </c>
      <c r="S251" s="113">
        <f t="shared" si="134"/>
        <v>0</v>
      </c>
      <c r="T251" s="113">
        <f t="shared" si="119"/>
        <v>0</v>
      </c>
      <c r="U251" s="114">
        <f t="shared" si="135"/>
        <v>38.166666666666664</v>
      </c>
      <c r="V251" s="114">
        <f t="shared" si="136"/>
        <v>0</v>
      </c>
      <c r="W251" s="114">
        <f t="shared" si="137"/>
        <v>1494.8611111111109</v>
      </c>
      <c r="X251" s="114"/>
      <c r="Y251" s="149">
        <f t="shared" si="138"/>
        <v>0</v>
      </c>
      <c r="Z251" s="149">
        <f t="shared" si="139"/>
        <v>0</v>
      </c>
      <c r="AA251" s="176">
        <f t="shared" si="140"/>
        <v>0</v>
      </c>
      <c r="AB251" s="113">
        <f t="shared" si="141"/>
        <v>0</v>
      </c>
      <c r="AC251" s="113">
        <f t="shared" si="120"/>
        <v>0</v>
      </c>
      <c r="AD251" s="114">
        <f t="shared" si="142"/>
        <v>38.166666666666664</v>
      </c>
      <c r="AE251" s="114">
        <f t="shared" si="143"/>
        <v>0</v>
      </c>
      <c r="AF251" s="114">
        <f t="shared" si="144"/>
        <v>1494.8611111111109</v>
      </c>
      <c r="AG251" s="114"/>
      <c r="AH251" s="176">
        <f t="shared" si="145"/>
        <v>66706743.475618631</v>
      </c>
      <c r="AI251" s="176">
        <f t="shared" si="146"/>
        <v>328652.90015518613</v>
      </c>
      <c r="AJ251" s="176">
        <f t="shared" si="147"/>
        <v>1290408.2806267706</v>
      </c>
      <c r="AK251" s="113">
        <f t="shared" si="148"/>
        <v>1619061.1807819568</v>
      </c>
      <c r="AL251" s="113">
        <f t="shared" si="121"/>
        <v>538744.90010702133</v>
      </c>
      <c r="AM251" s="114">
        <f t="shared" si="149"/>
        <v>38.166666666666664</v>
      </c>
      <c r="AN251" s="114">
        <f t="shared" si="150"/>
        <v>5.3746289518587249E-3</v>
      </c>
      <c r="AO251" s="114">
        <f t="shared" si="151"/>
        <v>1494.8611111111109</v>
      </c>
    </row>
    <row r="252" spans="1:41" hidden="1" outlineLevel="1" x14ac:dyDescent="0.3">
      <c r="A252" s="146">
        <f t="shared" si="122"/>
        <v>230</v>
      </c>
      <c r="B252" s="147">
        <f t="shared" si="115"/>
        <v>55</v>
      </c>
      <c r="C252" s="147">
        <f t="shared" si="114"/>
        <v>305</v>
      </c>
      <c r="D252" s="149">
        <f t="shared" si="123"/>
        <v>65420091.249033384</v>
      </c>
      <c r="E252" s="149">
        <f t="shared" si="124"/>
        <v>1368687.1979695021</v>
      </c>
      <c r="F252" s="149">
        <f t="shared" si="116"/>
        <v>333533.71737809351</v>
      </c>
      <c r="G252" s="149">
        <f t="shared" si="117"/>
        <v>322415.92679882376</v>
      </c>
      <c r="H252" s="149">
        <f t="shared" si="125"/>
        <v>11117.790579269757</v>
      </c>
      <c r="I252" s="149">
        <f t="shared" si="126"/>
        <v>1035153.4805914086</v>
      </c>
      <c r="J252" s="147">
        <f t="shared" si="127"/>
        <v>4.4999999999999998E-2</v>
      </c>
      <c r="K252" s="175">
        <f t="shared" si="118"/>
        <v>3.8296430163020645E-3</v>
      </c>
      <c r="L252" s="149">
        <f t="shared" si="128"/>
        <v>251498.74599390881</v>
      </c>
      <c r="M252" s="149">
        <f t="shared" si="129"/>
        <v>1609068.1533841409</v>
      </c>
      <c r="N252" s="149">
        <f t="shared" si="130"/>
        <v>1286652.2265853174</v>
      </c>
      <c r="P252" s="149">
        <f t="shared" si="131"/>
        <v>0</v>
      </c>
      <c r="Q252" s="149">
        <f t="shared" si="132"/>
        <v>0</v>
      </c>
      <c r="R252" s="176">
        <f t="shared" si="133"/>
        <v>0</v>
      </c>
      <c r="S252" s="113">
        <f t="shared" si="134"/>
        <v>0</v>
      </c>
      <c r="T252" s="113">
        <f t="shared" si="119"/>
        <v>0</v>
      </c>
      <c r="U252" s="114">
        <f t="shared" si="135"/>
        <v>38.333333333333336</v>
      </c>
      <c r="V252" s="114">
        <f t="shared" si="136"/>
        <v>0</v>
      </c>
      <c r="W252" s="114">
        <f t="shared" si="137"/>
        <v>1507.7777777777781</v>
      </c>
      <c r="X252" s="114"/>
      <c r="Y252" s="149">
        <f t="shared" si="138"/>
        <v>0</v>
      </c>
      <c r="Z252" s="149">
        <f t="shared" si="139"/>
        <v>0</v>
      </c>
      <c r="AA252" s="176">
        <f t="shared" si="140"/>
        <v>0</v>
      </c>
      <c r="AB252" s="113">
        <f t="shared" si="141"/>
        <v>0</v>
      </c>
      <c r="AC252" s="113">
        <f t="shared" si="120"/>
        <v>0</v>
      </c>
      <c r="AD252" s="114">
        <f t="shared" si="142"/>
        <v>38.333333333333336</v>
      </c>
      <c r="AE252" s="114">
        <f t="shared" si="143"/>
        <v>0</v>
      </c>
      <c r="AF252" s="114">
        <f t="shared" si="144"/>
        <v>1507.7777777777781</v>
      </c>
      <c r="AG252" s="114"/>
      <c r="AH252" s="176">
        <f t="shared" si="145"/>
        <v>65420091.249033317</v>
      </c>
      <c r="AI252" s="176">
        <f t="shared" si="146"/>
        <v>322415.92679882341</v>
      </c>
      <c r="AJ252" s="176">
        <f t="shared" si="147"/>
        <v>1286652.2265853174</v>
      </c>
      <c r="AK252" s="113">
        <f t="shared" si="148"/>
        <v>1609068.1533841407</v>
      </c>
      <c r="AL252" s="113">
        <f t="shared" si="121"/>
        <v>532853.15151333832</v>
      </c>
      <c r="AM252" s="114">
        <f t="shared" si="149"/>
        <v>38.333333333333336</v>
      </c>
      <c r="AN252" s="114">
        <f t="shared" si="150"/>
        <v>5.315851666797853E-3</v>
      </c>
      <c r="AO252" s="114">
        <f t="shared" si="151"/>
        <v>1507.7777777777781</v>
      </c>
    </row>
    <row r="253" spans="1:41" hidden="1" outlineLevel="1" x14ac:dyDescent="0.3">
      <c r="A253" s="146">
        <f t="shared" si="122"/>
        <v>231</v>
      </c>
      <c r="B253" s="147">
        <f t="shared" si="115"/>
        <v>54</v>
      </c>
      <c r="C253" s="147">
        <f t="shared" si="114"/>
        <v>306</v>
      </c>
      <c r="D253" s="149">
        <f t="shared" si="123"/>
        <v>64137179.32709872</v>
      </c>
      <c r="E253" s="149">
        <f t="shared" si="124"/>
        <v>1363445.6146002961</v>
      </c>
      <c r="F253" s="149">
        <f t="shared" si="116"/>
        <v>327100.45624516695</v>
      </c>
      <c r="G253" s="149">
        <f t="shared" si="117"/>
        <v>316197.10770366137</v>
      </c>
      <c r="H253" s="149">
        <f t="shared" si="125"/>
        <v>10903.348541505577</v>
      </c>
      <c r="I253" s="149">
        <f t="shared" si="126"/>
        <v>1036345.1583551292</v>
      </c>
      <c r="J253" s="147">
        <f t="shared" si="127"/>
        <v>4.4999999999999998E-2</v>
      </c>
      <c r="K253" s="175">
        <f t="shared" si="118"/>
        <v>3.8296430163020645E-3</v>
      </c>
      <c r="L253" s="149">
        <f t="shared" si="128"/>
        <v>246566.76357953131</v>
      </c>
      <c r="M253" s="149">
        <f t="shared" si="129"/>
        <v>1599109.0296383218</v>
      </c>
      <c r="N253" s="149">
        <f t="shared" si="130"/>
        <v>1282911.9219346605</v>
      </c>
      <c r="P253" s="149">
        <f t="shared" si="131"/>
        <v>0</v>
      </c>
      <c r="Q253" s="149">
        <f t="shared" si="132"/>
        <v>0</v>
      </c>
      <c r="R253" s="176">
        <f t="shared" si="133"/>
        <v>0</v>
      </c>
      <c r="S253" s="113">
        <f t="shared" si="134"/>
        <v>0</v>
      </c>
      <c r="T253" s="113">
        <f t="shared" si="119"/>
        <v>0</v>
      </c>
      <c r="U253" s="114">
        <f t="shared" si="135"/>
        <v>38.5</v>
      </c>
      <c r="V253" s="114">
        <f t="shared" si="136"/>
        <v>0</v>
      </c>
      <c r="W253" s="114">
        <f t="shared" si="137"/>
        <v>1520.75</v>
      </c>
      <c r="X253" s="114"/>
      <c r="Y253" s="149">
        <f t="shared" si="138"/>
        <v>0</v>
      </c>
      <c r="Z253" s="149">
        <f t="shared" si="139"/>
        <v>0</v>
      </c>
      <c r="AA253" s="176">
        <f t="shared" si="140"/>
        <v>0</v>
      </c>
      <c r="AB253" s="113">
        <f t="shared" si="141"/>
        <v>0</v>
      </c>
      <c r="AC253" s="113">
        <f t="shared" si="120"/>
        <v>0</v>
      </c>
      <c r="AD253" s="114">
        <f t="shared" si="142"/>
        <v>38.5</v>
      </c>
      <c r="AE253" s="114">
        <f t="shared" si="143"/>
        <v>0</v>
      </c>
      <c r="AF253" s="114">
        <f t="shared" si="144"/>
        <v>1520.75</v>
      </c>
      <c r="AG253" s="114"/>
      <c r="AH253" s="176">
        <f t="shared" si="145"/>
        <v>64137179.327098653</v>
      </c>
      <c r="AI253" s="176">
        <f t="shared" si="146"/>
        <v>316197.10770366102</v>
      </c>
      <c r="AJ253" s="176">
        <f t="shared" si="147"/>
        <v>1282911.9219346605</v>
      </c>
      <c r="AK253" s="113">
        <f t="shared" si="148"/>
        <v>1599109.0296383216</v>
      </c>
      <c r="AL253" s="113">
        <f t="shared" si="121"/>
        <v>527016.68186671706</v>
      </c>
      <c r="AM253" s="114">
        <f t="shared" si="149"/>
        <v>38.5</v>
      </c>
      <c r="AN253" s="114">
        <f t="shared" si="150"/>
        <v>5.2576258557820192E-3</v>
      </c>
      <c r="AO253" s="114">
        <f t="shared" si="151"/>
        <v>1520.75</v>
      </c>
    </row>
    <row r="254" spans="1:41" hidden="1" outlineLevel="1" x14ac:dyDescent="0.3">
      <c r="A254" s="146">
        <f t="shared" si="122"/>
        <v>232</v>
      </c>
      <c r="B254" s="147">
        <f t="shared" si="115"/>
        <v>53</v>
      </c>
      <c r="C254" s="147">
        <f t="shared" si="114"/>
        <v>307</v>
      </c>
      <c r="D254" s="149">
        <f t="shared" si="123"/>
        <v>62857992.019167013</v>
      </c>
      <c r="E254" s="149">
        <f t="shared" si="124"/>
        <v>1358224.1046242344</v>
      </c>
      <c r="F254" s="149">
        <f t="shared" si="116"/>
        <v>320685.89663549361</v>
      </c>
      <c r="G254" s="149">
        <f t="shared" si="117"/>
        <v>309996.36674764386</v>
      </c>
      <c r="H254" s="149">
        <f t="shared" si="125"/>
        <v>10689.529887849756</v>
      </c>
      <c r="I254" s="149">
        <f t="shared" si="126"/>
        <v>1037538.2079887408</v>
      </c>
      <c r="J254" s="147">
        <f t="shared" si="127"/>
        <v>4.4999999999999998E-2</v>
      </c>
      <c r="K254" s="175">
        <f t="shared" si="118"/>
        <v>3.8296430163020645E-3</v>
      </c>
      <c r="L254" s="149">
        <f t="shared" si="128"/>
        <v>241649.09994296613</v>
      </c>
      <c r="M254" s="149">
        <f t="shared" si="129"/>
        <v>1589183.6746793508</v>
      </c>
      <c r="N254" s="149">
        <f t="shared" si="130"/>
        <v>1279187.3079317068</v>
      </c>
      <c r="P254" s="149">
        <f t="shared" si="131"/>
        <v>0</v>
      </c>
      <c r="Q254" s="149">
        <f t="shared" si="132"/>
        <v>0</v>
      </c>
      <c r="R254" s="176">
        <f t="shared" si="133"/>
        <v>0</v>
      </c>
      <c r="S254" s="113">
        <f t="shared" si="134"/>
        <v>0</v>
      </c>
      <c r="T254" s="113">
        <f t="shared" si="119"/>
        <v>0</v>
      </c>
      <c r="U254" s="114">
        <f t="shared" si="135"/>
        <v>38.666666666666664</v>
      </c>
      <c r="V254" s="114">
        <f t="shared" si="136"/>
        <v>0</v>
      </c>
      <c r="W254" s="114">
        <f t="shared" si="137"/>
        <v>1533.7777777777776</v>
      </c>
      <c r="X254" s="114"/>
      <c r="Y254" s="149">
        <f t="shared" si="138"/>
        <v>0</v>
      </c>
      <c r="Z254" s="149">
        <f t="shared" si="139"/>
        <v>0</v>
      </c>
      <c r="AA254" s="176">
        <f t="shared" si="140"/>
        <v>0</v>
      </c>
      <c r="AB254" s="113">
        <f t="shared" si="141"/>
        <v>0</v>
      </c>
      <c r="AC254" s="113">
        <f t="shared" si="120"/>
        <v>0</v>
      </c>
      <c r="AD254" s="114">
        <f t="shared" si="142"/>
        <v>38.666666666666664</v>
      </c>
      <c r="AE254" s="114">
        <f t="shared" si="143"/>
        <v>0</v>
      </c>
      <c r="AF254" s="114">
        <f t="shared" si="144"/>
        <v>1533.7777777777776</v>
      </c>
      <c r="AG254" s="114"/>
      <c r="AH254" s="176">
        <f t="shared" si="145"/>
        <v>62857992.019166946</v>
      </c>
      <c r="AI254" s="176">
        <f t="shared" si="146"/>
        <v>309996.36674764351</v>
      </c>
      <c r="AJ254" s="176">
        <f t="shared" si="147"/>
        <v>1279187.3079317068</v>
      </c>
      <c r="AK254" s="113">
        <f t="shared" si="148"/>
        <v>1589183.6746793503</v>
      </c>
      <c r="AL254" s="113">
        <f t="shared" si="121"/>
        <v>521234.9987890062</v>
      </c>
      <c r="AM254" s="114">
        <f t="shared" si="149"/>
        <v>38.666666666666664</v>
      </c>
      <c r="AN254" s="114">
        <f t="shared" si="150"/>
        <v>5.1999466067464122E-3</v>
      </c>
      <c r="AO254" s="114">
        <f t="shared" si="151"/>
        <v>1533.7777777777776</v>
      </c>
    </row>
    <row r="255" spans="1:41" hidden="1" outlineLevel="1" x14ac:dyDescent="0.3">
      <c r="A255" s="146">
        <f t="shared" si="122"/>
        <v>233</v>
      </c>
      <c r="B255" s="147">
        <f t="shared" si="115"/>
        <v>52</v>
      </c>
      <c r="C255" s="147">
        <f t="shared" si="114"/>
        <v>308</v>
      </c>
      <c r="D255" s="149">
        <f t="shared" si="123"/>
        <v>61582513.693106875</v>
      </c>
      <c r="E255" s="149">
        <f t="shared" si="124"/>
        <v>1353022.5911673871</v>
      </c>
      <c r="F255" s="149">
        <f t="shared" si="116"/>
        <v>314289.96009583509</v>
      </c>
      <c r="G255" s="149">
        <f t="shared" si="117"/>
        <v>303813.6280926406</v>
      </c>
      <c r="H255" s="149">
        <f t="shared" si="125"/>
        <v>10476.33200319449</v>
      </c>
      <c r="I255" s="149">
        <f t="shared" si="126"/>
        <v>1038732.6310715519</v>
      </c>
      <c r="J255" s="147">
        <f t="shared" si="127"/>
        <v>4.4999999999999998E-2</v>
      </c>
      <c r="K255" s="175">
        <f t="shared" si="118"/>
        <v>3.8296430163020645E-3</v>
      </c>
      <c r="L255" s="149">
        <f t="shared" si="128"/>
        <v>236745.69498858563</v>
      </c>
      <c r="M255" s="149">
        <f t="shared" si="129"/>
        <v>1579291.954152778</v>
      </c>
      <c r="N255" s="149">
        <f t="shared" si="130"/>
        <v>1275478.3260601375</v>
      </c>
      <c r="P255" s="149">
        <f t="shared" si="131"/>
        <v>0</v>
      </c>
      <c r="Q255" s="149">
        <f t="shared" si="132"/>
        <v>0</v>
      </c>
      <c r="R255" s="176">
        <f t="shared" si="133"/>
        <v>0</v>
      </c>
      <c r="S255" s="113">
        <f t="shared" si="134"/>
        <v>0</v>
      </c>
      <c r="T255" s="113">
        <f t="shared" si="119"/>
        <v>0</v>
      </c>
      <c r="U255" s="114">
        <f t="shared" si="135"/>
        <v>38.833333333333336</v>
      </c>
      <c r="V255" s="114">
        <f t="shared" si="136"/>
        <v>0</v>
      </c>
      <c r="W255" s="114">
        <f t="shared" si="137"/>
        <v>1546.8611111111113</v>
      </c>
      <c r="X255" s="114"/>
      <c r="Y255" s="149">
        <f t="shared" si="138"/>
        <v>0</v>
      </c>
      <c r="Z255" s="149">
        <f t="shared" si="139"/>
        <v>0</v>
      </c>
      <c r="AA255" s="176">
        <f t="shared" si="140"/>
        <v>0</v>
      </c>
      <c r="AB255" s="113">
        <f t="shared" si="141"/>
        <v>0</v>
      </c>
      <c r="AC255" s="113">
        <f t="shared" si="120"/>
        <v>0</v>
      </c>
      <c r="AD255" s="114">
        <f t="shared" si="142"/>
        <v>38.833333333333336</v>
      </c>
      <c r="AE255" s="114">
        <f t="shared" si="143"/>
        <v>0</v>
      </c>
      <c r="AF255" s="114">
        <f t="shared" si="144"/>
        <v>1546.8611111111113</v>
      </c>
      <c r="AG255" s="114"/>
      <c r="AH255" s="176">
        <f t="shared" si="145"/>
        <v>61582513.693106808</v>
      </c>
      <c r="AI255" s="176">
        <f t="shared" si="146"/>
        <v>303813.62809264025</v>
      </c>
      <c r="AJ255" s="176">
        <f t="shared" si="147"/>
        <v>1275478.3260601375</v>
      </c>
      <c r="AK255" s="113">
        <f t="shared" si="148"/>
        <v>1579291.9541527778</v>
      </c>
      <c r="AL255" s="113">
        <f t="shared" si="121"/>
        <v>515507.6141998464</v>
      </c>
      <c r="AM255" s="114">
        <f t="shared" si="149"/>
        <v>38.833333333333336</v>
      </c>
      <c r="AN255" s="114">
        <f t="shared" si="150"/>
        <v>5.1428090505018648E-3</v>
      </c>
      <c r="AO255" s="114">
        <f t="shared" si="151"/>
        <v>1546.8611111111113</v>
      </c>
    </row>
    <row r="256" spans="1:41" hidden="1" outlineLevel="1" x14ac:dyDescent="0.3">
      <c r="A256" s="146">
        <f t="shared" si="122"/>
        <v>234</v>
      </c>
      <c r="B256" s="147">
        <f t="shared" si="115"/>
        <v>51</v>
      </c>
      <c r="C256" s="147">
        <f t="shared" si="114"/>
        <v>309</v>
      </c>
      <c r="D256" s="149">
        <f t="shared" si="123"/>
        <v>60310728.775077336</v>
      </c>
      <c r="E256" s="149">
        <f t="shared" si="124"/>
        <v>1347840.997650224</v>
      </c>
      <c r="F256" s="149">
        <f t="shared" si="116"/>
        <v>307912.56846553436</v>
      </c>
      <c r="G256" s="149">
        <f t="shared" si="117"/>
        <v>297648.81618334993</v>
      </c>
      <c r="H256" s="149">
        <f t="shared" si="125"/>
        <v>10263.752282184432</v>
      </c>
      <c r="I256" s="149">
        <f t="shared" si="126"/>
        <v>1039928.4291846897</v>
      </c>
      <c r="J256" s="147">
        <f t="shared" si="127"/>
        <v>4.4999999999999998E-2</v>
      </c>
      <c r="K256" s="175">
        <f t="shared" si="118"/>
        <v>3.8296430163020645E-3</v>
      </c>
      <c r="L256" s="149">
        <f t="shared" si="128"/>
        <v>231856.48884485188</v>
      </c>
      <c r="M256" s="149">
        <f t="shared" si="129"/>
        <v>1569433.7342128917</v>
      </c>
      <c r="N256" s="149">
        <f t="shared" si="130"/>
        <v>1271784.9180295416</v>
      </c>
      <c r="P256" s="149">
        <f t="shared" si="131"/>
        <v>0</v>
      </c>
      <c r="Q256" s="149">
        <f t="shared" si="132"/>
        <v>0</v>
      </c>
      <c r="R256" s="176">
        <f t="shared" si="133"/>
        <v>0</v>
      </c>
      <c r="S256" s="113">
        <f t="shared" si="134"/>
        <v>0</v>
      </c>
      <c r="T256" s="113">
        <f t="shared" si="119"/>
        <v>0</v>
      </c>
      <c r="U256" s="114">
        <f t="shared" si="135"/>
        <v>39</v>
      </c>
      <c r="V256" s="114">
        <f t="shared" si="136"/>
        <v>0</v>
      </c>
      <c r="W256" s="114">
        <f t="shared" si="137"/>
        <v>1560</v>
      </c>
      <c r="X256" s="114"/>
      <c r="Y256" s="149">
        <f t="shared" si="138"/>
        <v>0</v>
      </c>
      <c r="Z256" s="149">
        <f t="shared" si="139"/>
        <v>0</v>
      </c>
      <c r="AA256" s="176">
        <f t="shared" si="140"/>
        <v>0</v>
      </c>
      <c r="AB256" s="113">
        <f t="shared" si="141"/>
        <v>0</v>
      </c>
      <c r="AC256" s="113">
        <f t="shared" si="120"/>
        <v>0</v>
      </c>
      <c r="AD256" s="114">
        <f t="shared" si="142"/>
        <v>39</v>
      </c>
      <c r="AE256" s="114">
        <f t="shared" si="143"/>
        <v>0</v>
      </c>
      <c r="AF256" s="114">
        <f t="shared" si="144"/>
        <v>1560</v>
      </c>
      <c r="AG256" s="114"/>
      <c r="AH256" s="176">
        <f t="shared" si="145"/>
        <v>60310728.775077268</v>
      </c>
      <c r="AI256" s="176">
        <f t="shared" si="146"/>
        <v>297648.81618334958</v>
      </c>
      <c r="AJ256" s="176">
        <f t="shared" si="147"/>
        <v>1271784.9180295416</v>
      </c>
      <c r="AK256" s="113">
        <f t="shared" si="148"/>
        <v>1569433.7342128912</v>
      </c>
      <c r="AL256" s="113">
        <f t="shared" si="121"/>
        <v>509834.04427946656</v>
      </c>
      <c r="AM256" s="114">
        <f t="shared" si="149"/>
        <v>39</v>
      </c>
      <c r="AN256" s="114">
        <f t="shared" si="150"/>
        <v>5.0862083603637111E-3</v>
      </c>
      <c r="AO256" s="114">
        <f t="shared" si="151"/>
        <v>1560</v>
      </c>
    </row>
    <row r="257" spans="1:41" hidden="1" outlineLevel="1" x14ac:dyDescent="0.3">
      <c r="A257" s="146">
        <f t="shared" si="122"/>
        <v>235</v>
      </c>
      <c r="B257" s="147">
        <f t="shared" si="115"/>
        <v>50</v>
      </c>
      <c r="C257" s="147">
        <f t="shared" si="114"/>
        <v>310</v>
      </c>
      <c r="D257" s="149">
        <f t="shared" si="123"/>
        <v>59042621.749302782</v>
      </c>
      <c r="E257" s="149">
        <f t="shared" si="124"/>
        <v>1342679.2477864872</v>
      </c>
      <c r="F257" s="149">
        <f t="shared" si="116"/>
        <v>301553.64387538668</v>
      </c>
      <c r="G257" s="149">
        <f t="shared" si="117"/>
        <v>291501.85574620712</v>
      </c>
      <c r="H257" s="149">
        <f t="shared" si="125"/>
        <v>10051.788129179564</v>
      </c>
      <c r="I257" s="149">
        <f t="shared" si="126"/>
        <v>1041125.6039111005</v>
      </c>
      <c r="J257" s="147">
        <f t="shared" si="127"/>
        <v>4.4999999999999998E-2</v>
      </c>
      <c r="K257" s="175">
        <f t="shared" si="118"/>
        <v>3.8296430163020645E-3</v>
      </c>
      <c r="L257" s="149">
        <f t="shared" si="128"/>
        <v>226981.42186345145</v>
      </c>
      <c r="M257" s="149">
        <f t="shared" si="129"/>
        <v>1559608.8815207591</v>
      </c>
      <c r="N257" s="149">
        <f t="shared" si="130"/>
        <v>1268107.025774552</v>
      </c>
      <c r="P257" s="149">
        <f t="shared" si="131"/>
        <v>0</v>
      </c>
      <c r="Q257" s="149">
        <f t="shared" si="132"/>
        <v>0</v>
      </c>
      <c r="R257" s="176">
        <f t="shared" si="133"/>
        <v>0</v>
      </c>
      <c r="S257" s="113">
        <f t="shared" si="134"/>
        <v>0</v>
      </c>
      <c r="T257" s="113">
        <f t="shared" si="119"/>
        <v>0</v>
      </c>
      <c r="U257" s="114">
        <f t="shared" si="135"/>
        <v>39.166666666666664</v>
      </c>
      <c r="V257" s="114">
        <f t="shared" si="136"/>
        <v>0</v>
      </c>
      <c r="W257" s="114">
        <f t="shared" si="137"/>
        <v>1573.1944444444443</v>
      </c>
      <c r="X257" s="114"/>
      <c r="Y257" s="149">
        <f t="shared" si="138"/>
        <v>0</v>
      </c>
      <c r="Z257" s="149">
        <f t="shared" si="139"/>
        <v>0</v>
      </c>
      <c r="AA257" s="176">
        <f t="shared" si="140"/>
        <v>0</v>
      </c>
      <c r="AB257" s="113">
        <f t="shared" si="141"/>
        <v>0</v>
      </c>
      <c r="AC257" s="113">
        <f t="shared" si="120"/>
        <v>0</v>
      </c>
      <c r="AD257" s="114">
        <f t="shared" si="142"/>
        <v>39.166666666666664</v>
      </c>
      <c r="AE257" s="114">
        <f t="shared" si="143"/>
        <v>0</v>
      </c>
      <c r="AF257" s="114">
        <f t="shared" si="144"/>
        <v>1573.1944444444443</v>
      </c>
      <c r="AG257" s="114"/>
      <c r="AH257" s="176">
        <f t="shared" si="145"/>
        <v>59042621.749302715</v>
      </c>
      <c r="AI257" s="176">
        <f t="shared" si="146"/>
        <v>291501.85574620683</v>
      </c>
      <c r="AJ257" s="176">
        <f t="shared" si="147"/>
        <v>1268107.025774552</v>
      </c>
      <c r="AK257" s="113">
        <f t="shared" si="148"/>
        <v>1559608.8815207588</v>
      </c>
      <c r="AL257" s="113">
        <f t="shared" si="121"/>
        <v>504213.80943179893</v>
      </c>
      <c r="AM257" s="114">
        <f t="shared" si="149"/>
        <v>39.166666666666664</v>
      </c>
      <c r="AN257" s="114">
        <f t="shared" si="150"/>
        <v>5.0301397517838074E-3</v>
      </c>
      <c r="AO257" s="114">
        <f t="shared" si="151"/>
        <v>1573.1944444444443</v>
      </c>
    </row>
    <row r="258" spans="1:41" hidden="1" outlineLevel="1" x14ac:dyDescent="0.3">
      <c r="A258" s="146">
        <f t="shared" si="122"/>
        <v>236</v>
      </c>
      <c r="B258" s="147">
        <f t="shared" si="115"/>
        <v>49</v>
      </c>
      <c r="C258" s="147">
        <f t="shared" si="114"/>
        <v>311</v>
      </c>
      <c r="D258" s="149">
        <f t="shared" si="123"/>
        <v>57778177.15784879</v>
      </c>
      <c r="E258" s="149">
        <f t="shared" si="124"/>
        <v>1337537.2655820679</v>
      </c>
      <c r="F258" s="149">
        <f t="shared" si="116"/>
        <v>295213.1087465139</v>
      </c>
      <c r="G258" s="149">
        <f t="shared" si="117"/>
        <v>285372.67178829678</v>
      </c>
      <c r="H258" s="149">
        <f t="shared" si="125"/>
        <v>9840.4369582171203</v>
      </c>
      <c r="I258" s="149">
        <f t="shared" si="126"/>
        <v>1042324.1568355539</v>
      </c>
      <c r="J258" s="147">
        <f t="shared" si="127"/>
        <v>4.4999999999999998E-2</v>
      </c>
      <c r="K258" s="175">
        <f t="shared" si="118"/>
        <v>3.8296430163020645E-3</v>
      </c>
      <c r="L258" s="149">
        <f t="shared" si="128"/>
        <v>222120.43461843356</v>
      </c>
      <c r="M258" s="149">
        <f t="shared" si="129"/>
        <v>1549817.2632422843</v>
      </c>
      <c r="N258" s="149">
        <f t="shared" si="130"/>
        <v>1264444.5914539874</v>
      </c>
      <c r="P258" s="149">
        <f t="shared" si="131"/>
        <v>0</v>
      </c>
      <c r="Q258" s="149">
        <f t="shared" si="132"/>
        <v>0</v>
      </c>
      <c r="R258" s="176">
        <f t="shared" si="133"/>
        <v>0</v>
      </c>
      <c r="S258" s="113">
        <f t="shared" si="134"/>
        <v>0</v>
      </c>
      <c r="T258" s="113">
        <f t="shared" si="119"/>
        <v>0</v>
      </c>
      <c r="U258" s="114">
        <f t="shared" si="135"/>
        <v>39.333333333333336</v>
      </c>
      <c r="V258" s="114">
        <f t="shared" si="136"/>
        <v>0</v>
      </c>
      <c r="W258" s="114">
        <f t="shared" si="137"/>
        <v>1586.4444444444446</v>
      </c>
      <c r="X258" s="114"/>
      <c r="Y258" s="149">
        <f t="shared" si="138"/>
        <v>0</v>
      </c>
      <c r="Z258" s="149">
        <f t="shared" si="139"/>
        <v>0</v>
      </c>
      <c r="AA258" s="176">
        <f t="shared" si="140"/>
        <v>0</v>
      </c>
      <c r="AB258" s="113">
        <f t="shared" si="141"/>
        <v>0</v>
      </c>
      <c r="AC258" s="113">
        <f t="shared" si="120"/>
        <v>0</v>
      </c>
      <c r="AD258" s="114">
        <f t="shared" si="142"/>
        <v>39.333333333333336</v>
      </c>
      <c r="AE258" s="114">
        <f t="shared" si="143"/>
        <v>0</v>
      </c>
      <c r="AF258" s="114">
        <f t="shared" si="144"/>
        <v>1586.4444444444446</v>
      </c>
      <c r="AG258" s="114"/>
      <c r="AH258" s="176">
        <f t="shared" si="145"/>
        <v>57778177.157848731</v>
      </c>
      <c r="AI258" s="176">
        <f t="shared" si="146"/>
        <v>285372.67178829649</v>
      </c>
      <c r="AJ258" s="176">
        <f t="shared" si="147"/>
        <v>1264444.5914539874</v>
      </c>
      <c r="AK258" s="113">
        <f t="shared" si="148"/>
        <v>1549817.2632422838</v>
      </c>
      <c r="AL258" s="113">
        <f t="shared" si="121"/>
        <v>498646.43424791691</v>
      </c>
      <c r="AM258" s="114">
        <f t="shared" si="149"/>
        <v>39.333333333333336</v>
      </c>
      <c r="AN258" s="114">
        <f t="shared" si="150"/>
        <v>4.9745984819857866E-3</v>
      </c>
      <c r="AO258" s="114">
        <f t="shared" si="151"/>
        <v>1586.4444444444446</v>
      </c>
    </row>
    <row r="259" spans="1:41" hidden="1" outlineLevel="1" x14ac:dyDescent="0.3">
      <c r="A259" s="146">
        <f t="shared" si="122"/>
        <v>237</v>
      </c>
      <c r="B259" s="147">
        <f t="shared" si="115"/>
        <v>48</v>
      </c>
      <c r="C259" s="147">
        <f t="shared" si="114"/>
        <v>312</v>
      </c>
      <c r="D259" s="149">
        <f t="shared" si="123"/>
        <v>56517379.600398794</v>
      </c>
      <c r="E259" s="149">
        <f t="shared" si="124"/>
        <v>1332414.9753338879</v>
      </c>
      <c r="F259" s="149">
        <f t="shared" si="116"/>
        <v>288890.88578924397</v>
      </c>
      <c r="G259" s="149">
        <f t="shared" si="117"/>
        <v>279261.18959626916</v>
      </c>
      <c r="H259" s="149">
        <f t="shared" si="125"/>
        <v>9629.6961929748068</v>
      </c>
      <c r="I259" s="149">
        <f t="shared" si="126"/>
        <v>1043524.0895446439</v>
      </c>
      <c r="J259" s="147">
        <f t="shared" si="127"/>
        <v>4.4999999999999998E-2</v>
      </c>
      <c r="K259" s="175">
        <f t="shared" si="118"/>
        <v>3.8296430163020645E-3</v>
      </c>
      <c r="L259" s="149">
        <f t="shared" si="128"/>
        <v>217273.46790535146</v>
      </c>
      <c r="M259" s="149">
        <f t="shared" si="129"/>
        <v>1540058.7470462644</v>
      </c>
      <c r="N259" s="149">
        <f t="shared" si="130"/>
        <v>1260797.5574499953</v>
      </c>
      <c r="P259" s="149">
        <f t="shared" si="131"/>
        <v>0</v>
      </c>
      <c r="Q259" s="149">
        <f t="shared" si="132"/>
        <v>0</v>
      </c>
      <c r="R259" s="176">
        <f t="shared" si="133"/>
        <v>0</v>
      </c>
      <c r="S259" s="113">
        <f t="shared" si="134"/>
        <v>0</v>
      </c>
      <c r="T259" s="113">
        <f t="shared" si="119"/>
        <v>0</v>
      </c>
      <c r="U259" s="114">
        <f t="shared" si="135"/>
        <v>39.5</v>
      </c>
      <c r="V259" s="114">
        <f t="shared" si="136"/>
        <v>0</v>
      </c>
      <c r="W259" s="114">
        <f t="shared" si="137"/>
        <v>1599.75</v>
      </c>
      <c r="X259" s="114"/>
      <c r="Y259" s="149">
        <f t="shared" si="138"/>
        <v>0</v>
      </c>
      <c r="Z259" s="149">
        <f t="shared" si="139"/>
        <v>0</v>
      </c>
      <c r="AA259" s="176">
        <f t="shared" si="140"/>
        <v>0</v>
      </c>
      <c r="AB259" s="113">
        <f t="shared" si="141"/>
        <v>0</v>
      </c>
      <c r="AC259" s="113">
        <f t="shared" si="120"/>
        <v>0</v>
      </c>
      <c r="AD259" s="114">
        <f t="shared" si="142"/>
        <v>39.5</v>
      </c>
      <c r="AE259" s="114">
        <f t="shared" si="143"/>
        <v>0</v>
      </c>
      <c r="AF259" s="114">
        <f t="shared" si="144"/>
        <v>1599.75</v>
      </c>
      <c r="AG259" s="114"/>
      <c r="AH259" s="176">
        <f t="shared" si="145"/>
        <v>56517379.600398734</v>
      </c>
      <c r="AI259" s="176">
        <f t="shared" si="146"/>
        <v>279261.18959626887</v>
      </c>
      <c r="AJ259" s="176">
        <f t="shared" si="147"/>
        <v>1260797.5574499953</v>
      </c>
      <c r="AK259" s="113">
        <f t="shared" si="148"/>
        <v>1540058.7470462641</v>
      </c>
      <c r="AL259" s="113">
        <f t="shared" si="121"/>
        <v>493131.44746978284</v>
      </c>
      <c r="AM259" s="114">
        <f t="shared" si="149"/>
        <v>39.5</v>
      </c>
      <c r="AN259" s="114">
        <f t="shared" si="150"/>
        <v>4.9195798496033932E-3</v>
      </c>
      <c r="AO259" s="114">
        <f t="shared" si="151"/>
        <v>1599.75</v>
      </c>
    </row>
    <row r="260" spans="1:41" hidden="1" outlineLevel="1" x14ac:dyDescent="0.3">
      <c r="A260" s="146">
        <f t="shared" si="122"/>
        <v>238</v>
      </c>
      <c r="B260" s="147">
        <f t="shared" si="115"/>
        <v>47</v>
      </c>
      <c r="C260" s="147">
        <f t="shared" si="114"/>
        <v>313</v>
      </c>
      <c r="D260" s="149">
        <f t="shared" si="123"/>
        <v>55260213.734031595</v>
      </c>
      <c r="E260" s="149">
        <f t="shared" si="124"/>
        <v>1327312.301628784</v>
      </c>
      <c r="F260" s="149">
        <f t="shared" si="116"/>
        <v>282586.89800199395</v>
      </c>
      <c r="G260" s="149">
        <f t="shared" si="117"/>
        <v>273167.33473526087</v>
      </c>
      <c r="H260" s="149">
        <f t="shared" si="125"/>
        <v>9419.5632667330792</v>
      </c>
      <c r="I260" s="149">
        <f t="shared" si="126"/>
        <v>1044725.40362679</v>
      </c>
      <c r="J260" s="147">
        <f t="shared" si="127"/>
        <v>4.4999999999999998E-2</v>
      </c>
      <c r="K260" s="175">
        <f t="shared" si="118"/>
        <v>3.8296430163020645E-3</v>
      </c>
      <c r="L260" s="149">
        <f t="shared" si="128"/>
        <v>212440.4627404073</v>
      </c>
      <c r="M260" s="149">
        <f t="shared" si="129"/>
        <v>1530333.2011024582</v>
      </c>
      <c r="N260" s="149">
        <f t="shared" si="130"/>
        <v>1257165.8663671974</v>
      </c>
      <c r="P260" s="149">
        <f t="shared" si="131"/>
        <v>0</v>
      </c>
      <c r="Q260" s="149">
        <f t="shared" si="132"/>
        <v>0</v>
      </c>
      <c r="R260" s="176">
        <f t="shared" si="133"/>
        <v>0</v>
      </c>
      <c r="S260" s="113">
        <f t="shared" si="134"/>
        <v>0</v>
      </c>
      <c r="T260" s="113">
        <f t="shared" si="119"/>
        <v>0</v>
      </c>
      <c r="U260" s="114">
        <f t="shared" si="135"/>
        <v>39.666666666666664</v>
      </c>
      <c r="V260" s="114">
        <f t="shared" si="136"/>
        <v>0</v>
      </c>
      <c r="W260" s="114">
        <f t="shared" si="137"/>
        <v>1613.1111111111109</v>
      </c>
      <c r="X260" s="114"/>
      <c r="Y260" s="149">
        <f t="shared" si="138"/>
        <v>0</v>
      </c>
      <c r="Z260" s="149">
        <f t="shared" si="139"/>
        <v>0</v>
      </c>
      <c r="AA260" s="176">
        <f t="shared" si="140"/>
        <v>0</v>
      </c>
      <c r="AB260" s="113">
        <f t="shared" si="141"/>
        <v>0</v>
      </c>
      <c r="AC260" s="113">
        <f t="shared" si="120"/>
        <v>0</v>
      </c>
      <c r="AD260" s="114">
        <f t="shared" si="142"/>
        <v>39.666666666666664</v>
      </c>
      <c r="AE260" s="114">
        <f t="shared" si="143"/>
        <v>0</v>
      </c>
      <c r="AF260" s="114">
        <f t="shared" si="144"/>
        <v>1613.1111111111109</v>
      </c>
      <c r="AG260" s="114"/>
      <c r="AH260" s="176">
        <f t="shared" si="145"/>
        <v>55260213.734031536</v>
      </c>
      <c r="AI260" s="176">
        <f t="shared" si="146"/>
        <v>273167.33473526058</v>
      </c>
      <c r="AJ260" s="176">
        <f t="shared" si="147"/>
        <v>1257165.8663671974</v>
      </c>
      <c r="AK260" s="113">
        <f t="shared" si="148"/>
        <v>1530333.2011024579</v>
      </c>
      <c r="AL260" s="113">
        <f t="shared" si="121"/>
        <v>487668.3819543125</v>
      </c>
      <c r="AM260" s="114">
        <f t="shared" si="149"/>
        <v>39.666666666666664</v>
      </c>
      <c r="AN260" s="114">
        <f t="shared" si="150"/>
        <v>4.8650791943219878E-3</v>
      </c>
      <c r="AO260" s="114">
        <f t="shared" si="151"/>
        <v>1613.1111111111109</v>
      </c>
    </row>
    <row r="261" spans="1:41" hidden="1" outlineLevel="1" x14ac:dyDescent="0.3">
      <c r="A261" s="146">
        <f t="shared" si="122"/>
        <v>239</v>
      </c>
      <c r="B261" s="147">
        <f t="shared" si="115"/>
        <v>46</v>
      </c>
      <c r="C261" s="147">
        <f t="shared" si="114"/>
        <v>314</v>
      </c>
      <c r="D261" s="149">
        <f t="shared" si="123"/>
        <v>54006664.272999749</v>
      </c>
      <c r="E261" s="149">
        <f t="shared" si="124"/>
        <v>1322229.1693423996</v>
      </c>
      <c r="F261" s="149">
        <f t="shared" si="116"/>
        <v>276301.06867015798</v>
      </c>
      <c r="G261" s="149">
        <f t="shared" si="117"/>
        <v>267091.03304781939</v>
      </c>
      <c r="H261" s="149">
        <f t="shared" si="125"/>
        <v>9210.0356223385897</v>
      </c>
      <c r="I261" s="149">
        <f t="shared" si="126"/>
        <v>1045928.1006722415</v>
      </c>
      <c r="J261" s="147">
        <f t="shared" si="127"/>
        <v>4.4999999999999998E-2</v>
      </c>
      <c r="K261" s="175">
        <f t="shared" si="118"/>
        <v>3.8296430163020645E-3</v>
      </c>
      <c r="L261" s="149">
        <f t="shared" si="128"/>
        <v>207621.36035959999</v>
      </c>
      <c r="M261" s="149">
        <f t="shared" si="129"/>
        <v>1520640.4940796609</v>
      </c>
      <c r="N261" s="149">
        <f t="shared" si="130"/>
        <v>1253549.4610318416</v>
      </c>
      <c r="P261" s="149">
        <f t="shared" si="131"/>
        <v>0</v>
      </c>
      <c r="Q261" s="149">
        <f t="shared" si="132"/>
        <v>0</v>
      </c>
      <c r="R261" s="176">
        <f t="shared" si="133"/>
        <v>0</v>
      </c>
      <c r="S261" s="113">
        <f t="shared" si="134"/>
        <v>0</v>
      </c>
      <c r="T261" s="113">
        <f t="shared" si="119"/>
        <v>0</v>
      </c>
      <c r="U261" s="114">
        <f t="shared" si="135"/>
        <v>39.833333333333336</v>
      </c>
      <c r="V261" s="114">
        <f t="shared" si="136"/>
        <v>0</v>
      </c>
      <c r="W261" s="114">
        <f t="shared" si="137"/>
        <v>1626.5277777777781</v>
      </c>
      <c r="X261" s="114"/>
      <c r="Y261" s="149">
        <f t="shared" si="138"/>
        <v>0</v>
      </c>
      <c r="Z261" s="149">
        <f t="shared" si="139"/>
        <v>0</v>
      </c>
      <c r="AA261" s="176">
        <f t="shared" si="140"/>
        <v>0</v>
      </c>
      <c r="AB261" s="113">
        <f t="shared" si="141"/>
        <v>0</v>
      </c>
      <c r="AC261" s="113">
        <f t="shared" si="120"/>
        <v>0</v>
      </c>
      <c r="AD261" s="114">
        <f t="shared" si="142"/>
        <v>39.833333333333336</v>
      </c>
      <c r="AE261" s="114">
        <f t="shared" si="143"/>
        <v>0</v>
      </c>
      <c r="AF261" s="114">
        <f t="shared" si="144"/>
        <v>1626.5277777777781</v>
      </c>
      <c r="AG261" s="114"/>
      <c r="AH261" s="176">
        <f t="shared" si="145"/>
        <v>54006664.272999696</v>
      </c>
      <c r="AI261" s="176">
        <f t="shared" si="146"/>
        <v>267091.0330478191</v>
      </c>
      <c r="AJ261" s="176">
        <f t="shared" si="147"/>
        <v>1253549.4610318416</v>
      </c>
      <c r="AK261" s="113">
        <f t="shared" si="148"/>
        <v>1520640.4940796606</v>
      </c>
      <c r="AL261" s="113">
        <f t="shared" si="121"/>
        <v>482256.7746377486</v>
      </c>
      <c r="AM261" s="114">
        <f t="shared" si="149"/>
        <v>39.833333333333336</v>
      </c>
      <c r="AN261" s="114">
        <f t="shared" si="150"/>
        <v>4.8110918965231274E-3</v>
      </c>
      <c r="AO261" s="114">
        <f t="shared" si="151"/>
        <v>1626.5277777777781</v>
      </c>
    </row>
    <row r="262" spans="1:41" hidden="1" outlineLevel="1" x14ac:dyDescent="0.3">
      <c r="A262" s="146">
        <f t="shared" si="122"/>
        <v>240</v>
      </c>
      <c r="B262" s="147">
        <f t="shared" si="115"/>
        <v>45</v>
      </c>
      <c r="C262" s="147">
        <f t="shared" si="114"/>
        <v>315</v>
      </c>
      <c r="D262" s="149">
        <f t="shared" si="123"/>
        <v>52756715.988508798</v>
      </c>
      <c r="E262" s="149">
        <f t="shared" si="124"/>
        <v>1317165.5036380766</v>
      </c>
      <c r="F262" s="149">
        <f t="shared" si="116"/>
        <v>270033.32136499876</v>
      </c>
      <c r="G262" s="149">
        <f t="shared" si="117"/>
        <v>261032.21065283215</v>
      </c>
      <c r="H262" s="149">
        <f t="shared" si="125"/>
        <v>9001.1107121666137</v>
      </c>
      <c r="I262" s="149">
        <f t="shared" si="126"/>
        <v>1047132.1822730778</v>
      </c>
      <c r="J262" s="147">
        <f t="shared" si="127"/>
        <v>4.4999999999999998E-2</v>
      </c>
      <c r="K262" s="175">
        <f t="shared" si="118"/>
        <v>3.8296430163020645E-3</v>
      </c>
      <c r="L262" s="149">
        <f t="shared" si="128"/>
        <v>202816.10221787647</v>
      </c>
      <c r="M262" s="149">
        <f t="shared" si="129"/>
        <v>1510980.4951437865</v>
      </c>
      <c r="N262" s="149">
        <f t="shared" si="130"/>
        <v>1249948.2844909541</v>
      </c>
      <c r="P262" s="149">
        <f t="shared" si="131"/>
        <v>0</v>
      </c>
      <c r="Q262" s="149">
        <f t="shared" si="132"/>
        <v>0</v>
      </c>
      <c r="R262" s="176">
        <f t="shared" si="133"/>
        <v>0</v>
      </c>
      <c r="S262" s="113">
        <f t="shared" si="134"/>
        <v>0</v>
      </c>
      <c r="T262" s="113">
        <f t="shared" si="119"/>
        <v>0</v>
      </c>
      <c r="U262" s="114">
        <f t="shared" si="135"/>
        <v>40</v>
      </c>
      <c r="V262" s="114">
        <f t="shared" si="136"/>
        <v>0</v>
      </c>
      <c r="W262" s="114">
        <f t="shared" si="137"/>
        <v>1640</v>
      </c>
      <c r="X262" s="114"/>
      <c r="Y262" s="149">
        <f t="shared" si="138"/>
        <v>0</v>
      </c>
      <c r="Z262" s="149">
        <f t="shared" si="139"/>
        <v>0</v>
      </c>
      <c r="AA262" s="176">
        <f t="shared" si="140"/>
        <v>0</v>
      </c>
      <c r="AB262" s="113">
        <f t="shared" si="141"/>
        <v>0</v>
      </c>
      <c r="AC262" s="113">
        <f t="shared" si="120"/>
        <v>0</v>
      </c>
      <c r="AD262" s="114">
        <f t="shared" si="142"/>
        <v>40</v>
      </c>
      <c r="AE262" s="114">
        <f t="shared" si="143"/>
        <v>0</v>
      </c>
      <c r="AF262" s="114">
        <f t="shared" si="144"/>
        <v>1640</v>
      </c>
      <c r="AG262" s="114"/>
      <c r="AH262" s="176">
        <f t="shared" si="145"/>
        <v>52756715.988508746</v>
      </c>
      <c r="AI262" s="176">
        <f t="shared" si="146"/>
        <v>261032.21065283188</v>
      </c>
      <c r="AJ262" s="176">
        <f t="shared" si="147"/>
        <v>1249948.2844909541</v>
      </c>
      <c r="AK262" s="113">
        <f t="shared" si="148"/>
        <v>1510980.4951437861</v>
      </c>
      <c r="AL262" s="113">
        <f t="shared" si="121"/>
        <v>476896.16650033987</v>
      </c>
      <c r="AM262" s="114">
        <f t="shared" si="149"/>
        <v>40</v>
      </c>
      <c r="AN262" s="114">
        <f t="shared" si="150"/>
        <v>4.7576133769321981E-3</v>
      </c>
      <c r="AO262" s="114">
        <f t="shared" si="151"/>
        <v>1640</v>
      </c>
    </row>
    <row r="263" spans="1:41" hidden="1" outlineLevel="1" x14ac:dyDescent="0.3">
      <c r="A263" s="146">
        <f t="shared" si="122"/>
        <v>241</v>
      </c>
      <c r="B263" s="147">
        <f t="shared" si="115"/>
        <v>44</v>
      </c>
      <c r="C263" s="147">
        <f t="shared" si="114"/>
        <v>316</v>
      </c>
      <c r="D263" s="149">
        <f t="shared" si="123"/>
        <v>51510353.708497301</v>
      </c>
      <c r="E263" s="149">
        <f t="shared" si="124"/>
        <v>1312121.229965755</v>
      </c>
      <c r="F263" s="149">
        <f t="shared" si="116"/>
        <v>263783.57994254399</v>
      </c>
      <c r="G263" s="149">
        <f t="shared" si="117"/>
        <v>254990.7939444592</v>
      </c>
      <c r="H263" s="149">
        <f t="shared" si="125"/>
        <v>8792.7859980847861</v>
      </c>
      <c r="I263" s="149">
        <f t="shared" si="126"/>
        <v>1048337.650023211</v>
      </c>
      <c r="J263" s="147">
        <f t="shared" si="127"/>
        <v>4.4999999999999998E-2</v>
      </c>
      <c r="K263" s="175">
        <f t="shared" si="118"/>
        <v>3.8296430163020645E-3</v>
      </c>
      <c r="L263" s="149">
        <f t="shared" si="128"/>
        <v>198024.62998828627</v>
      </c>
      <c r="M263" s="149">
        <f t="shared" si="129"/>
        <v>1501353.0739559564</v>
      </c>
      <c r="N263" s="149">
        <f t="shared" si="130"/>
        <v>1246362.2800114972</v>
      </c>
      <c r="P263" s="149">
        <f t="shared" si="131"/>
        <v>0</v>
      </c>
      <c r="Q263" s="149">
        <f t="shared" si="132"/>
        <v>0</v>
      </c>
      <c r="R263" s="176">
        <f t="shared" si="133"/>
        <v>0</v>
      </c>
      <c r="S263" s="113">
        <f t="shared" si="134"/>
        <v>0</v>
      </c>
      <c r="T263" s="113">
        <f t="shared" si="119"/>
        <v>0</v>
      </c>
      <c r="U263" s="114">
        <f t="shared" si="135"/>
        <v>40.166666666666664</v>
      </c>
      <c r="V263" s="114">
        <f t="shared" si="136"/>
        <v>0</v>
      </c>
      <c r="W263" s="114">
        <f t="shared" si="137"/>
        <v>1653.5277777777776</v>
      </c>
      <c r="X263" s="114"/>
      <c r="Y263" s="149">
        <f t="shared" si="138"/>
        <v>0</v>
      </c>
      <c r="Z263" s="149">
        <f t="shared" si="139"/>
        <v>0</v>
      </c>
      <c r="AA263" s="176">
        <f t="shared" si="140"/>
        <v>0</v>
      </c>
      <c r="AB263" s="113">
        <f t="shared" si="141"/>
        <v>0</v>
      </c>
      <c r="AC263" s="113">
        <f t="shared" si="120"/>
        <v>0</v>
      </c>
      <c r="AD263" s="114">
        <f t="shared" si="142"/>
        <v>40.166666666666664</v>
      </c>
      <c r="AE263" s="114">
        <f t="shared" si="143"/>
        <v>0</v>
      </c>
      <c r="AF263" s="114">
        <f t="shared" si="144"/>
        <v>1653.5277777777776</v>
      </c>
      <c r="AG263" s="114"/>
      <c r="AH263" s="176">
        <f t="shared" si="145"/>
        <v>51510353.708497249</v>
      </c>
      <c r="AI263" s="176">
        <f t="shared" si="146"/>
        <v>254990.79394445894</v>
      </c>
      <c r="AJ263" s="176">
        <f t="shared" si="147"/>
        <v>1246362.2800114972</v>
      </c>
      <c r="AK263" s="113">
        <f t="shared" si="148"/>
        <v>1501353.0739559561</v>
      </c>
      <c r="AL263" s="113">
        <f t="shared" si="121"/>
        <v>471586.10253132775</v>
      </c>
      <c r="AM263" s="114">
        <f t="shared" si="149"/>
        <v>40.166666666666664</v>
      </c>
      <c r="AN263" s="114">
        <f t="shared" si="150"/>
        <v>4.7046390962691151E-3</v>
      </c>
      <c r="AO263" s="114">
        <f t="shared" si="151"/>
        <v>1653.5277777777776</v>
      </c>
    </row>
    <row r="264" spans="1:41" hidden="1" outlineLevel="1" x14ac:dyDescent="0.3">
      <c r="A264" s="146">
        <f t="shared" si="122"/>
        <v>242</v>
      </c>
      <c r="B264" s="147">
        <f t="shared" si="115"/>
        <v>43</v>
      </c>
      <c r="C264" s="147">
        <f t="shared" si="114"/>
        <v>317</v>
      </c>
      <c r="D264" s="149">
        <f t="shared" si="123"/>
        <v>50267562.317417771</v>
      </c>
      <c r="E264" s="149">
        <f t="shared" si="124"/>
        <v>1307096.2740608749</v>
      </c>
      <c r="F264" s="149">
        <f t="shared" si="116"/>
        <v>257551.7685424865</v>
      </c>
      <c r="G264" s="149">
        <f t="shared" si="117"/>
        <v>248966.70959107031</v>
      </c>
      <c r="H264" s="149">
        <f t="shared" si="125"/>
        <v>8585.0589514161984</v>
      </c>
      <c r="I264" s="149">
        <f t="shared" si="126"/>
        <v>1049544.5055183885</v>
      </c>
      <c r="J264" s="147">
        <f t="shared" si="127"/>
        <v>4.4999999999999998E-2</v>
      </c>
      <c r="K264" s="175">
        <f t="shared" si="118"/>
        <v>3.8296430163020645E-3</v>
      </c>
      <c r="L264" s="149">
        <f t="shared" si="128"/>
        <v>193246.88556113912</v>
      </c>
      <c r="M264" s="149">
        <f t="shared" si="129"/>
        <v>1491758.1006705977</v>
      </c>
      <c r="N264" s="149">
        <f t="shared" si="130"/>
        <v>1242791.3910795276</v>
      </c>
      <c r="P264" s="149">
        <f t="shared" si="131"/>
        <v>0</v>
      </c>
      <c r="Q264" s="149">
        <f t="shared" si="132"/>
        <v>0</v>
      </c>
      <c r="R264" s="176">
        <f t="shared" si="133"/>
        <v>0</v>
      </c>
      <c r="S264" s="113">
        <f t="shared" si="134"/>
        <v>0</v>
      </c>
      <c r="T264" s="113">
        <f t="shared" si="119"/>
        <v>0</v>
      </c>
      <c r="U264" s="114">
        <f t="shared" si="135"/>
        <v>40.333333333333336</v>
      </c>
      <c r="V264" s="114">
        <f t="shared" si="136"/>
        <v>0</v>
      </c>
      <c r="W264" s="114">
        <f t="shared" si="137"/>
        <v>1667.1111111111113</v>
      </c>
      <c r="X264" s="114"/>
      <c r="Y264" s="149">
        <f t="shared" si="138"/>
        <v>0</v>
      </c>
      <c r="Z264" s="149">
        <f t="shared" si="139"/>
        <v>0</v>
      </c>
      <c r="AA264" s="176">
        <f t="shared" si="140"/>
        <v>0</v>
      </c>
      <c r="AB264" s="113">
        <f t="shared" si="141"/>
        <v>0</v>
      </c>
      <c r="AC264" s="113">
        <f t="shared" si="120"/>
        <v>0</v>
      </c>
      <c r="AD264" s="114">
        <f t="shared" si="142"/>
        <v>40.333333333333336</v>
      </c>
      <c r="AE264" s="114">
        <f t="shared" si="143"/>
        <v>0</v>
      </c>
      <c r="AF264" s="114">
        <f t="shared" si="144"/>
        <v>1667.1111111111113</v>
      </c>
      <c r="AG264" s="114"/>
      <c r="AH264" s="176">
        <f t="shared" si="145"/>
        <v>50267562.317417718</v>
      </c>
      <c r="AI264" s="176">
        <f t="shared" si="146"/>
        <v>248966.70959107004</v>
      </c>
      <c r="AJ264" s="176">
        <f t="shared" si="147"/>
        <v>1242791.3910795276</v>
      </c>
      <c r="AK264" s="113">
        <f t="shared" si="148"/>
        <v>1491758.1006705975</v>
      </c>
      <c r="AL264" s="113">
        <f t="shared" si="121"/>
        <v>466326.13169423339</v>
      </c>
      <c r="AM264" s="114">
        <f t="shared" si="149"/>
        <v>40.333333333333336</v>
      </c>
      <c r="AN264" s="114">
        <f t="shared" si="150"/>
        <v>4.6521645549020153E-3</v>
      </c>
      <c r="AO264" s="114">
        <f t="shared" si="151"/>
        <v>1667.1111111111113</v>
      </c>
    </row>
    <row r="265" spans="1:41" hidden="1" outlineLevel="1" x14ac:dyDescent="0.3">
      <c r="A265" s="146">
        <f t="shared" si="122"/>
        <v>243</v>
      </c>
      <c r="B265" s="147">
        <f t="shared" si="115"/>
        <v>42</v>
      </c>
      <c r="C265" s="147">
        <f t="shared" si="114"/>
        <v>318</v>
      </c>
      <c r="D265" s="149">
        <f t="shared" si="123"/>
        <v>49028326.756018408</v>
      </c>
      <c r="E265" s="149">
        <f t="shared" si="124"/>
        <v>1302090.5619432833</v>
      </c>
      <c r="F265" s="149">
        <f t="shared" si="116"/>
        <v>251337.81158708886</v>
      </c>
      <c r="G265" s="149">
        <f t="shared" si="117"/>
        <v>242959.8845341859</v>
      </c>
      <c r="H265" s="149">
        <f t="shared" si="125"/>
        <v>8377.92705290296</v>
      </c>
      <c r="I265" s="149">
        <f t="shared" si="126"/>
        <v>1050752.7503561946</v>
      </c>
      <c r="J265" s="147">
        <f t="shared" si="127"/>
        <v>4.4999999999999998E-2</v>
      </c>
      <c r="K265" s="175">
        <f t="shared" si="118"/>
        <v>3.8296430163020645E-3</v>
      </c>
      <c r="L265" s="149">
        <f t="shared" si="128"/>
        <v>188482.811043166</v>
      </c>
      <c r="M265" s="149">
        <f t="shared" si="129"/>
        <v>1482195.4459335466</v>
      </c>
      <c r="N265" s="149">
        <f t="shared" si="130"/>
        <v>1239235.5613993607</v>
      </c>
      <c r="P265" s="149">
        <f t="shared" si="131"/>
        <v>0</v>
      </c>
      <c r="Q265" s="149">
        <f t="shared" si="132"/>
        <v>0</v>
      </c>
      <c r="R265" s="176">
        <f t="shared" si="133"/>
        <v>0</v>
      </c>
      <c r="S265" s="113">
        <f t="shared" si="134"/>
        <v>0</v>
      </c>
      <c r="T265" s="113">
        <f t="shared" si="119"/>
        <v>0</v>
      </c>
      <c r="U265" s="114">
        <f t="shared" si="135"/>
        <v>40.5</v>
      </c>
      <c r="V265" s="114">
        <f t="shared" si="136"/>
        <v>0</v>
      </c>
      <c r="W265" s="114">
        <f t="shared" si="137"/>
        <v>1680.75</v>
      </c>
      <c r="X265" s="114"/>
      <c r="Y265" s="149">
        <f t="shared" si="138"/>
        <v>0</v>
      </c>
      <c r="Z265" s="149">
        <f t="shared" si="139"/>
        <v>0</v>
      </c>
      <c r="AA265" s="176">
        <f t="shared" si="140"/>
        <v>0</v>
      </c>
      <c r="AB265" s="113">
        <f t="shared" si="141"/>
        <v>0</v>
      </c>
      <c r="AC265" s="113">
        <f t="shared" si="120"/>
        <v>0</v>
      </c>
      <c r="AD265" s="114">
        <f t="shared" si="142"/>
        <v>40.5</v>
      </c>
      <c r="AE265" s="114">
        <f t="shared" si="143"/>
        <v>0</v>
      </c>
      <c r="AF265" s="114">
        <f t="shared" si="144"/>
        <v>1680.75</v>
      </c>
      <c r="AG265" s="114"/>
      <c r="AH265" s="176">
        <f t="shared" si="145"/>
        <v>49028326.756018355</v>
      </c>
      <c r="AI265" s="176">
        <f t="shared" si="146"/>
        <v>242959.88453418566</v>
      </c>
      <c r="AJ265" s="176">
        <f t="shared" si="147"/>
        <v>1239235.5613993607</v>
      </c>
      <c r="AK265" s="113">
        <f t="shared" si="148"/>
        <v>1482195.4459335464</v>
      </c>
      <c r="AL265" s="113">
        <f t="shared" si="121"/>
        <v>461115.80689244403</v>
      </c>
      <c r="AM265" s="114">
        <f t="shared" si="149"/>
        <v>40.5</v>
      </c>
      <c r="AN265" s="114">
        <f t="shared" si="150"/>
        <v>4.6001852925039452E-3</v>
      </c>
      <c r="AO265" s="114">
        <f t="shared" si="151"/>
        <v>1680.75</v>
      </c>
    </row>
    <row r="266" spans="1:41" hidden="1" outlineLevel="1" x14ac:dyDescent="0.3">
      <c r="A266" s="146">
        <f t="shared" si="122"/>
        <v>244</v>
      </c>
      <c r="B266" s="147">
        <f t="shared" si="115"/>
        <v>41</v>
      </c>
      <c r="C266" s="147">
        <f t="shared" si="114"/>
        <v>319</v>
      </c>
      <c r="D266" s="149">
        <f t="shared" si="123"/>
        <v>47792632.021125667</v>
      </c>
      <c r="E266" s="149">
        <f t="shared" si="124"/>
        <v>1297104.0199161444</v>
      </c>
      <c r="F266" s="149">
        <f t="shared" si="116"/>
        <v>245141.63378009203</v>
      </c>
      <c r="G266" s="149">
        <f t="shared" si="117"/>
        <v>236970.24598742233</v>
      </c>
      <c r="H266" s="149">
        <f t="shared" si="125"/>
        <v>8171.3877926697023</v>
      </c>
      <c r="I266" s="149">
        <f t="shared" si="126"/>
        <v>1051962.3861360524</v>
      </c>
      <c r="J266" s="147">
        <f t="shared" si="127"/>
        <v>4.4999999999999998E-2</v>
      </c>
      <c r="K266" s="175">
        <f t="shared" si="118"/>
        <v>3.8296430163020645E-3</v>
      </c>
      <c r="L266" s="149">
        <f t="shared" si="128"/>
        <v>183732.34875668315</v>
      </c>
      <c r="M266" s="149">
        <f t="shared" si="129"/>
        <v>1472664.9808801578</v>
      </c>
      <c r="N266" s="149">
        <f t="shared" si="130"/>
        <v>1235694.7348927355</v>
      </c>
      <c r="P266" s="149">
        <f t="shared" si="131"/>
        <v>0</v>
      </c>
      <c r="Q266" s="149">
        <f t="shared" si="132"/>
        <v>0</v>
      </c>
      <c r="R266" s="176">
        <f t="shared" si="133"/>
        <v>0</v>
      </c>
      <c r="S266" s="113">
        <f t="shared" si="134"/>
        <v>0</v>
      </c>
      <c r="T266" s="113">
        <f t="shared" si="119"/>
        <v>0</v>
      </c>
      <c r="U266" s="114">
        <f t="shared" si="135"/>
        <v>40.666666666666664</v>
      </c>
      <c r="V266" s="114">
        <f t="shared" si="136"/>
        <v>0</v>
      </c>
      <c r="W266" s="114">
        <f t="shared" si="137"/>
        <v>1694.4444444444443</v>
      </c>
      <c r="X266" s="114"/>
      <c r="Y266" s="149">
        <f t="shared" si="138"/>
        <v>0</v>
      </c>
      <c r="Z266" s="149">
        <f t="shared" si="139"/>
        <v>0</v>
      </c>
      <c r="AA266" s="176">
        <f t="shared" si="140"/>
        <v>0</v>
      </c>
      <c r="AB266" s="113">
        <f t="shared" si="141"/>
        <v>0</v>
      </c>
      <c r="AC266" s="113">
        <f t="shared" si="120"/>
        <v>0</v>
      </c>
      <c r="AD266" s="114">
        <f t="shared" si="142"/>
        <v>40.666666666666664</v>
      </c>
      <c r="AE266" s="114">
        <f t="shared" si="143"/>
        <v>0</v>
      </c>
      <c r="AF266" s="114">
        <f t="shared" si="144"/>
        <v>1694.4444444444443</v>
      </c>
      <c r="AG266" s="114"/>
      <c r="AH266" s="176">
        <f t="shared" si="145"/>
        <v>47792632.021125622</v>
      </c>
      <c r="AI266" s="176">
        <f t="shared" si="146"/>
        <v>236970.24598742207</v>
      </c>
      <c r="AJ266" s="176">
        <f t="shared" si="147"/>
        <v>1235694.7348927355</v>
      </c>
      <c r="AK266" s="113">
        <f t="shared" si="148"/>
        <v>1472664.9808801576</v>
      </c>
      <c r="AL266" s="113">
        <f t="shared" si="121"/>
        <v>455954.68493509694</v>
      </c>
      <c r="AM266" s="114">
        <f t="shared" si="149"/>
        <v>40.666666666666664</v>
      </c>
      <c r="AN266" s="114">
        <f t="shared" si="150"/>
        <v>4.5486968877125108E-3</v>
      </c>
      <c r="AO266" s="114">
        <f t="shared" si="151"/>
        <v>1694.4444444444443</v>
      </c>
    </row>
    <row r="267" spans="1:41" hidden="1" outlineLevel="1" x14ac:dyDescent="0.3">
      <c r="A267" s="146">
        <f t="shared" si="122"/>
        <v>245</v>
      </c>
      <c r="B267" s="147">
        <f t="shared" si="115"/>
        <v>40</v>
      </c>
      <c r="C267" s="147">
        <f t="shared" si="114"/>
        <v>320</v>
      </c>
      <c r="D267" s="149">
        <f t="shared" si="123"/>
        <v>46560463.165427677</v>
      </c>
      <c r="E267" s="149">
        <f t="shared" si="124"/>
        <v>1292136.5745648553</v>
      </c>
      <c r="F267" s="149">
        <f t="shared" si="116"/>
        <v>238963.16010562834</v>
      </c>
      <c r="G267" s="149">
        <f t="shared" si="117"/>
        <v>230997.72143544073</v>
      </c>
      <c r="H267" s="149">
        <f t="shared" si="125"/>
        <v>7965.4386701876065</v>
      </c>
      <c r="I267" s="149">
        <f t="shared" si="126"/>
        <v>1053173.4144592269</v>
      </c>
      <c r="J267" s="147">
        <f t="shared" si="127"/>
        <v>4.4999999999999998E-2</v>
      </c>
      <c r="K267" s="175">
        <f t="shared" si="118"/>
        <v>3.8296430163020645E-3</v>
      </c>
      <c r="L267" s="149">
        <f t="shared" si="128"/>
        <v>178995.44123875955</v>
      </c>
      <c r="M267" s="149">
        <f t="shared" si="129"/>
        <v>1463166.5771334271</v>
      </c>
      <c r="N267" s="149">
        <f t="shared" si="130"/>
        <v>1232168.8556979864</v>
      </c>
      <c r="P267" s="149">
        <f t="shared" si="131"/>
        <v>0</v>
      </c>
      <c r="Q267" s="149">
        <f t="shared" si="132"/>
        <v>0</v>
      </c>
      <c r="R267" s="176">
        <f t="shared" si="133"/>
        <v>0</v>
      </c>
      <c r="S267" s="113">
        <f t="shared" si="134"/>
        <v>0</v>
      </c>
      <c r="T267" s="113">
        <f t="shared" si="119"/>
        <v>0</v>
      </c>
      <c r="U267" s="114">
        <f t="shared" si="135"/>
        <v>40.833333333333336</v>
      </c>
      <c r="V267" s="114">
        <f t="shared" si="136"/>
        <v>0</v>
      </c>
      <c r="W267" s="114">
        <f t="shared" si="137"/>
        <v>1708.1944444444446</v>
      </c>
      <c r="X267" s="114"/>
      <c r="Y267" s="149">
        <f t="shared" si="138"/>
        <v>0</v>
      </c>
      <c r="Z267" s="149">
        <f t="shared" si="139"/>
        <v>0</v>
      </c>
      <c r="AA267" s="176">
        <f t="shared" si="140"/>
        <v>0</v>
      </c>
      <c r="AB267" s="113">
        <f t="shared" si="141"/>
        <v>0</v>
      </c>
      <c r="AC267" s="113">
        <f t="shared" si="120"/>
        <v>0</v>
      </c>
      <c r="AD267" s="114">
        <f t="shared" si="142"/>
        <v>40.833333333333336</v>
      </c>
      <c r="AE267" s="114">
        <f t="shared" si="143"/>
        <v>0</v>
      </c>
      <c r="AF267" s="114">
        <f t="shared" si="144"/>
        <v>1708.1944444444446</v>
      </c>
      <c r="AG267" s="114"/>
      <c r="AH267" s="176">
        <f t="shared" si="145"/>
        <v>46560463.165427633</v>
      </c>
      <c r="AI267" s="176">
        <f t="shared" si="146"/>
        <v>230997.72143544053</v>
      </c>
      <c r="AJ267" s="176">
        <f t="shared" si="147"/>
        <v>1232168.8556979864</v>
      </c>
      <c r="AK267" s="113">
        <f t="shared" si="148"/>
        <v>1463166.5771334269</v>
      </c>
      <c r="AL267" s="113">
        <f t="shared" si="121"/>
        <v>450842.32650325773</v>
      </c>
      <c r="AM267" s="114">
        <f t="shared" si="149"/>
        <v>40.833333333333336</v>
      </c>
      <c r="AN267" s="114">
        <f t="shared" si="150"/>
        <v>4.4976949577924617E-3</v>
      </c>
      <c r="AO267" s="114">
        <f t="shared" si="151"/>
        <v>1708.1944444444446</v>
      </c>
    </row>
    <row r="268" spans="1:41" hidden="1" outlineLevel="1" x14ac:dyDescent="0.3">
      <c r="A268" s="146">
        <f t="shared" si="122"/>
        <v>246</v>
      </c>
      <c r="B268" s="147">
        <f t="shared" si="115"/>
        <v>39</v>
      </c>
      <c r="C268" s="147">
        <f t="shared" si="114"/>
        <v>321</v>
      </c>
      <c r="D268" s="149">
        <f t="shared" si="123"/>
        <v>45331805.297258459</v>
      </c>
      <c r="E268" s="149">
        <f t="shared" si="124"/>
        <v>1287188.1527559645</v>
      </c>
      <c r="F268" s="149">
        <f t="shared" si="116"/>
        <v>232802.3158271384</v>
      </c>
      <c r="G268" s="149">
        <f t="shared" si="117"/>
        <v>225042.23863290047</v>
      </c>
      <c r="H268" s="149">
        <f t="shared" si="125"/>
        <v>7760.0771942379361</v>
      </c>
      <c r="I268" s="149">
        <f t="shared" si="126"/>
        <v>1054385.8369288261</v>
      </c>
      <c r="J268" s="147">
        <f t="shared" si="127"/>
        <v>4.4999999999999998E-2</v>
      </c>
      <c r="K268" s="175">
        <f t="shared" si="118"/>
        <v>3.8296430163020645E-3</v>
      </c>
      <c r="L268" s="149">
        <f t="shared" si="128"/>
        <v>174272.03124038732</v>
      </c>
      <c r="M268" s="149">
        <f t="shared" si="129"/>
        <v>1453700.1068021138</v>
      </c>
      <c r="N268" s="149">
        <f t="shared" si="130"/>
        <v>1228657.8681692134</v>
      </c>
      <c r="P268" s="149">
        <f t="shared" si="131"/>
        <v>0</v>
      </c>
      <c r="Q268" s="149">
        <f t="shared" si="132"/>
        <v>0</v>
      </c>
      <c r="R268" s="176">
        <f t="shared" si="133"/>
        <v>0</v>
      </c>
      <c r="S268" s="113">
        <f t="shared" si="134"/>
        <v>0</v>
      </c>
      <c r="T268" s="113">
        <f t="shared" si="119"/>
        <v>0</v>
      </c>
      <c r="U268" s="114">
        <f t="shared" si="135"/>
        <v>41</v>
      </c>
      <c r="V268" s="114">
        <f t="shared" si="136"/>
        <v>0</v>
      </c>
      <c r="W268" s="114">
        <f t="shared" si="137"/>
        <v>1722</v>
      </c>
      <c r="X268" s="114"/>
      <c r="Y268" s="149">
        <f t="shared" si="138"/>
        <v>0</v>
      </c>
      <c r="Z268" s="149">
        <f t="shared" si="139"/>
        <v>0</v>
      </c>
      <c r="AA268" s="176">
        <f t="shared" si="140"/>
        <v>0</v>
      </c>
      <c r="AB268" s="113">
        <f t="shared" si="141"/>
        <v>0</v>
      </c>
      <c r="AC268" s="113">
        <f t="shared" si="120"/>
        <v>0</v>
      </c>
      <c r="AD268" s="114">
        <f t="shared" si="142"/>
        <v>41</v>
      </c>
      <c r="AE268" s="114">
        <f t="shared" si="143"/>
        <v>0</v>
      </c>
      <c r="AF268" s="114">
        <f t="shared" si="144"/>
        <v>1722</v>
      </c>
      <c r="AG268" s="114"/>
      <c r="AH268" s="176">
        <f t="shared" si="145"/>
        <v>45331805.297258422</v>
      </c>
      <c r="AI268" s="176">
        <f t="shared" si="146"/>
        <v>225042.23863290023</v>
      </c>
      <c r="AJ268" s="176">
        <f t="shared" si="147"/>
        <v>1228657.8681692134</v>
      </c>
      <c r="AK268" s="113">
        <f t="shared" si="148"/>
        <v>1453700.1068021136</v>
      </c>
      <c r="AL268" s="113">
        <f t="shared" si="121"/>
        <v>445778.29611639021</v>
      </c>
      <c r="AM268" s="114">
        <f t="shared" si="149"/>
        <v>41</v>
      </c>
      <c r="AN268" s="114">
        <f t="shared" si="150"/>
        <v>4.4471751583011927E-3</v>
      </c>
      <c r="AO268" s="114">
        <f t="shared" si="151"/>
        <v>1722</v>
      </c>
    </row>
    <row r="269" spans="1:41" hidden="1" outlineLevel="1" x14ac:dyDescent="0.3">
      <c r="A269" s="146">
        <f t="shared" si="122"/>
        <v>247</v>
      </c>
      <c r="B269" s="147">
        <f t="shared" si="115"/>
        <v>38</v>
      </c>
      <c r="C269" s="147">
        <f t="shared" si="114"/>
        <v>322</v>
      </c>
      <c r="D269" s="149">
        <f t="shared" si="123"/>
        <v>44106643.580383003</v>
      </c>
      <c r="E269" s="149">
        <f t="shared" si="124"/>
        <v>1282258.681636096</v>
      </c>
      <c r="F269" s="149">
        <f t="shared" si="116"/>
        <v>226659.02648629231</v>
      </c>
      <c r="G269" s="149">
        <f t="shared" si="117"/>
        <v>219103.72560341589</v>
      </c>
      <c r="H269" s="149">
        <f t="shared" si="125"/>
        <v>7555.3008828764141</v>
      </c>
      <c r="I269" s="149">
        <f t="shared" si="126"/>
        <v>1055599.6551498037</v>
      </c>
      <c r="J269" s="147">
        <f t="shared" si="127"/>
        <v>4.4999999999999998E-2</v>
      </c>
      <c r="K269" s="175">
        <f t="shared" si="118"/>
        <v>3.8296430163020645E-3</v>
      </c>
      <c r="L269" s="149">
        <f t="shared" si="128"/>
        <v>169562.06172565548</v>
      </c>
      <c r="M269" s="149">
        <f t="shared" si="129"/>
        <v>1444265.4424788752</v>
      </c>
      <c r="N269" s="149">
        <f t="shared" si="130"/>
        <v>1225161.7168754593</v>
      </c>
      <c r="P269" s="149">
        <f t="shared" si="131"/>
        <v>0</v>
      </c>
      <c r="Q269" s="149">
        <f t="shared" si="132"/>
        <v>0</v>
      </c>
      <c r="R269" s="176">
        <f t="shared" si="133"/>
        <v>0</v>
      </c>
      <c r="S269" s="113">
        <f t="shared" si="134"/>
        <v>0</v>
      </c>
      <c r="T269" s="113">
        <f t="shared" si="119"/>
        <v>0</v>
      </c>
      <c r="U269" s="114">
        <f t="shared" si="135"/>
        <v>41.166666666666664</v>
      </c>
      <c r="V269" s="114">
        <f t="shared" si="136"/>
        <v>0</v>
      </c>
      <c r="W269" s="114">
        <f t="shared" si="137"/>
        <v>1735.8611111111109</v>
      </c>
      <c r="X269" s="114"/>
      <c r="Y269" s="149">
        <f t="shared" si="138"/>
        <v>0</v>
      </c>
      <c r="Z269" s="149">
        <f t="shared" si="139"/>
        <v>0</v>
      </c>
      <c r="AA269" s="176">
        <f t="shared" si="140"/>
        <v>0</v>
      </c>
      <c r="AB269" s="113">
        <f t="shared" si="141"/>
        <v>0</v>
      </c>
      <c r="AC269" s="113">
        <f t="shared" si="120"/>
        <v>0</v>
      </c>
      <c r="AD269" s="114">
        <f t="shared" si="142"/>
        <v>41.166666666666664</v>
      </c>
      <c r="AE269" s="114">
        <f t="shared" si="143"/>
        <v>0</v>
      </c>
      <c r="AF269" s="114">
        <f t="shared" si="144"/>
        <v>1735.8611111111109</v>
      </c>
      <c r="AG269" s="114"/>
      <c r="AH269" s="176">
        <f t="shared" si="145"/>
        <v>44106643.580382966</v>
      </c>
      <c r="AI269" s="176">
        <f t="shared" si="146"/>
        <v>219103.72560341572</v>
      </c>
      <c r="AJ269" s="176">
        <f t="shared" si="147"/>
        <v>1225161.7168754593</v>
      </c>
      <c r="AK269" s="113">
        <f t="shared" si="148"/>
        <v>1444265.4424788749</v>
      </c>
      <c r="AL269" s="113">
        <f t="shared" si="121"/>
        <v>440762.16209911538</v>
      </c>
      <c r="AM269" s="114">
        <f t="shared" si="149"/>
        <v>41.166666666666664</v>
      </c>
      <c r="AN269" s="114">
        <f t="shared" si="150"/>
        <v>4.3971331827571212E-3</v>
      </c>
      <c r="AO269" s="114">
        <f t="shared" si="151"/>
        <v>1735.8611111111109</v>
      </c>
    </row>
    <row r="270" spans="1:41" hidden="1" outlineLevel="1" x14ac:dyDescent="0.3">
      <c r="A270" s="146">
        <f t="shared" si="122"/>
        <v>248</v>
      </c>
      <c r="B270" s="147">
        <f t="shared" si="115"/>
        <v>37</v>
      </c>
      <c r="C270" s="147">
        <f t="shared" si="114"/>
        <v>323</v>
      </c>
      <c r="D270" s="149">
        <f t="shared" si="123"/>
        <v>42884963.233783111</v>
      </c>
      <c r="E270" s="149">
        <f t="shared" si="124"/>
        <v>1277348.0886308756</v>
      </c>
      <c r="F270" s="149">
        <f t="shared" si="116"/>
        <v>220533.21790191502</v>
      </c>
      <c r="G270" s="149">
        <f t="shared" si="117"/>
        <v>213182.11063851786</v>
      </c>
      <c r="H270" s="149">
        <f t="shared" si="125"/>
        <v>7351.1072633971635</v>
      </c>
      <c r="I270" s="149">
        <f t="shared" si="126"/>
        <v>1056814.8707289605</v>
      </c>
      <c r="J270" s="147">
        <f t="shared" si="127"/>
        <v>4.4999999999999998E-2</v>
      </c>
      <c r="K270" s="175">
        <f t="shared" si="118"/>
        <v>3.8296430163020645E-3</v>
      </c>
      <c r="L270" s="149">
        <f t="shared" si="128"/>
        <v>164865.47587092672</v>
      </c>
      <c r="M270" s="149">
        <f t="shared" si="129"/>
        <v>1434862.457238405</v>
      </c>
      <c r="N270" s="149">
        <f t="shared" si="130"/>
        <v>1221680.3465998871</v>
      </c>
      <c r="P270" s="149">
        <f t="shared" si="131"/>
        <v>0</v>
      </c>
      <c r="Q270" s="149">
        <f t="shared" si="132"/>
        <v>0</v>
      </c>
      <c r="R270" s="176">
        <f t="shared" si="133"/>
        <v>0</v>
      </c>
      <c r="S270" s="113">
        <f t="shared" si="134"/>
        <v>0</v>
      </c>
      <c r="T270" s="113">
        <f t="shared" si="119"/>
        <v>0</v>
      </c>
      <c r="U270" s="114">
        <f t="shared" si="135"/>
        <v>41.333333333333336</v>
      </c>
      <c r="V270" s="114">
        <f t="shared" si="136"/>
        <v>0</v>
      </c>
      <c r="W270" s="114">
        <f t="shared" si="137"/>
        <v>1749.7777777777781</v>
      </c>
      <c r="X270" s="114"/>
      <c r="Y270" s="149">
        <f t="shared" si="138"/>
        <v>0</v>
      </c>
      <c r="Z270" s="149">
        <f t="shared" si="139"/>
        <v>0</v>
      </c>
      <c r="AA270" s="176">
        <f t="shared" si="140"/>
        <v>0</v>
      </c>
      <c r="AB270" s="113">
        <f t="shared" si="141"/>
        <v>0</v>
      </c>
      <c r="AC270" s="113">
        <f t="shared" si="120"/>
        <v>0</v>
      </c>
      <c r="AD270" s="114">
        <f t="shared" si="142"/>
        <v>41.333333333333336</v>
      </c>
      <c r="AE270" s="114">
        <f t="shared" si="143"/>
        <v>0</v>
      </c>
      <c r="AF270" s="114">
        <f t="shared" si="144"/>
        <v>1749.7777777777781</v>
      </c>
      <c r="AG270" s="114"/>
      <c r="AH270" s="176">
        <f t="shared" si="145"/>
        <v>42884963.233783081</v>
      </c>
      <c r="AI270" s="176">
        <f t="shared" si="146"/>
        <v>213182.11063851768</v>
      </c>
      <c r="AJ270" s="176">
        <f t="shared" si="147"/>
        <v>1221680.3465998871</v>
      </c>
      <c r="AK270" s="113">
        <f t="shared" si="148"/>
        <v>1434862.4572384048</v>
      </c>
      <c r="AL270" s="113">
        <f t="shared" si="121"/>
        <v>435793.49654825719</v>
      </c>
      <c r="AM270" s="114">
        <f t="shared" si="149"/>
        <v>41.333333333333336</v>
      </c>
      <c r="AN270" s="114">
        <f t="shared" si="150"/>
        <v>4.3475647623109313E-3</v>
      </c>
      <c r="AO270" s="114">
        <f t="shared" si="151"/>
        <v>1749.7777777777781</v>
      </c>
    </row>
    <row r="271" spans="1:41" hidden="1" outlineLevel="1" x14ac:dyDescent="0.3">
      <c r="A271" s="146">
        <f t="shared" si="122"/>
        <v>249</v>
      </c>
      <c r="B271" s="147">
        <f t="shared" si="115"/>
        <v>36</v>
      </c>
      <c r="C271" s="147">
        <f t="shared" si="114"/>
        <v>324</v>
      </c>
      <c r="D271" s="149">
        <f t="shared" si="123"/>
        <v>41666749.531444147</v>
      </c>
      <c r="E271" s="149">
        <f t="shared" si="124"/>
        <v>1272456.3014438637</v>
      </c>
      <c r="F271" s="149">
        <f t="shared" si="116"/>
        <v>214424.81616891557</v>
      </c>
      <c r="G271" s="149">
        <f t="shared" si="117"/>
        <v>207277.32229661837</v>
      </c>
      <c r="H271" s="149">
        <f t="shared" si="125"/>
        <v>7147.4938722972001</v>
      </c>
      <c r="I271" s="149">
        <f t="shared" si="126"/>
        <v>1058031.4852749482</v>
      </c>
      <c r="J271" s="147">
        <f t="shared" si="127"/>
        <v>4.4999999999999998E-2</v>
      </c>
      <c r="K271" s="175">
        <f t="shared" si="118"/>
        <v>3.8296430163020645E-3</v>
      </c>
      <c r="L271" s="149">
        <f t="shared" si="128"/>
        <v>160182.21706401737</v>
      </c>
      <c r="M271" s="149">
        <f t="shared" si="129"/>
        <v>1425491.0246355841</v>
      </c>
      <c r="N271" s="149">
        <f t="shared" si="130"/>
        <v>1218213.7023389656</v>
      </c>
      <c r="P271" s="149">
        <f t="shared" si="131"/>
        <v>0</v>
      </c>
      <c r="Q271" s="149">
        <f t="shared" si="132"/>
        <v>0</v>
      </c>
      <c r="R271" s="176">
        <f t="shared" si="133"/>
        <v>0</v>
      </c>
      <c r="S271" s="113">
        <f t="shared" si="134"/>
        <v>0</v>
      </c>
      <c r="T271" s="113">
        <f t="shared" si="119"/>
        <v>0</v>
      </c>
      <c r="U271" s="114">
        <f t="shared" si="135"/>
        <v>41.5</v>
      </c>
      <c r="V271" s="114">
        <f t="shared" si="136"/>
        <v>0</v>
      </c>
      <c r="W271" s="114">
        <f t="shared" si="137"/>
        <v>1763.75</v>
      </c>
      <c r="X271" s="114"/>
      <c r="Y271" s="149">
        <f t="shared" si="138"/>
        <v>0</v>
      </c>
      <c r="Z271" s="149">
        <f t="shared" si="139"/>
        <v>0</v>
      </c>
      <c r="AA271" s="176">
        <f t="shared" si="140"/>
        <v>0</v>
      </c>
      <c r="AB271" s="113">
        <f t="shared" si="141"/>
        <v>0</v>
      </c>
      <c r="AC271" s="113">
        <f t="shared" si="120"/>
        <v>0</v>
      </c>
      <c r="AD271" s="114">
        <f t="shared" si="142"/>
        <v>41.5</v>
      </c>
      <c r="AE271" s="114">
        <f t="shared" si="143"/>
        <v>0</v>
      </c>
      <c r="AF271" s="114">
        <f t="shared" si="144"/>
        <v>1763.75</v>
      </c>
      <c r="AG271" s="114"/>
      <c r="AH271" s="176">
        <f t="shared" si="145"/>
        <v>41666749.531444117</v>
      </c>
      <c r="AI271" s="176">
        <f t="shared" si="146"/>
        <v>207277.32229661822</v>
      </c>
      <c r="AJ271" s="176">
        <f t="shared" si="147"/>
        <v>1218213.7023389656</v>
      </c>
      <c r="AK271" s="113">
        <f t="shared" si="148"/>
        <v>1425491.0246355839</v>
      </c>
      <c r="AL271" s="113">
        <f t="shared" si="121"/>
        <v>430871.87530017376</v>
      </c>
      <c r="AM271" s="114">
        <f t="shared" si="149"/>
        <v>41.5</v>
      </c>
      <c r="AN271" s="114">
        <f t="shared" si="150"/>
        <v>4.2984656654196608E-3</v>
      </c>
      <c r="AO271" s="114">
        <f t="shared" si="151"/>
        <v>1763.75</v>
      </c>
    </row>
    <row r="272" spans="1:41" hidden="1" outlineLevel="1" x14ac:dyDescent="0.3">
      <c r="A272" s="146">
        <f t="shared" si="122"/>
        <v>250</v>
      </c>
      <c r="B272" s="147">
        <f t="shared" si="115"/>
        <v>35</v>
      </c>
      <c r="C272" s="147">
        <f t="shared" si="114"/>
        <v>325</v>
      </c>
      <c r="D272" s="149">
        <f t="shared" si="123"/>
        <v>40451987.802142493</v>
      </c>
      <c r="E272" s="149">
        <f t="shared" si="124"/>
        <v>1267583.2480554895</v>
      </c>
      <c r="F272" s="149">
        <f t="shared" si="116"/>
        <v>208333.74765722075</v>
      </c>
      <c r="G272" s="149">
        <f t="shared" si="117"/>
        <v>201389.28940198006</v>
      </c>
      <c r="H272" s="149">
        <f t="shared" si="125"/>
        <v>6944.4582552406937</v>
      </c>
      <c r="I272" s="149">
        <f t="shared" si="126"/>
        <v>1059249.5003982687</v>
      </c>
      <c r="J272" s="147">
        <f t="shared" si="127"/>
        <v>4.4999999999999998E-2</v>
      </c>
      <c r="K272" s="175">
        <f t="shared" si="118"/>
        <v>3.8296430163020645E-3</v>
      </c>
      <c r="L272" s="149">
        <f t="shared" si="128"/>
        <v>155512.22890338072</v>
      </c>
      <c r="M272" s="149">
        <f t="shared" si="129"/>
        <v>1416151.0187036295</v>
      </c>
      <c r="N272" s="149">
        <f t="shared" si="130"/>
        <v>1214761.7293016494</v>
      </c>
      <c r="P272" s="149">
        <f t="shared" si="131"/>
        <v>0</v>
      </c>
      <c r="Q272" s="149">
        <f t="shared" si="132"/>
        <v>0</v>
      </c>
      <c r="R272" s="176">
        <f t="shared" si="133"/>
        <v>0</v>
      </c>
      <c r="S272" s="113">
        <f t="shared" si="134"/>
        <v>0</v>
      </c>
      <c r="T272" s="113">
        <f t="shared" si="119"/>
        <v>0</v>
      </c>
      <c r="U272" s="114">
        <f t="shared" si="135"/>
        <v>41.666666666666664</v>
      </c>
      <c r="V272" s="114">
        <f t="shared" si="136"/>
        <v>0</v>
      </c>
      <c r="W272" s="114">
        <f t="shared" si="137"/>
        <v>1777.7777777777776</v>
      </c>
      <c r="X272" s="114"/>
      <c r="Y272" s="149">
        <f t="shared" si="138"/>
        <v>0</v>
      </c>
      <c r="Z272" s="149">
        <f t="shared" si="139"/>
        <v>0</v>
      </c>
      <c r="AA272" s="176">
        <f t="shared" si="140"/>
        <v>0</v>
      </c>
      <c r="AB272" s="113">
        <f t="shared" si="141"/>
        <v>0</v>
      </c>
      <c r="AC272" s="113">
        <f t="shared" si="120"/>
        <v>0</v>
      </c>
      <c r="AD272" s="114">
        <f t="shared" si="142"/>
        <v>41.666666666666664</v>
      </c>
      <c r="AE272" s="114">
        <f t="shared" si="143"/>
        <v>0</v>
      </c>
      <c r="AF272" s="114">
        <f t="shared" si="144"/>
        <v>1777.7777777777776</v>
      </c>
      <c r="AG272" s="114"/>
      <c r="AH272" s="176">
        <f t="shared" si="145"/>
        <v>40451987.802142471</v>
      </c>
      <c r="AI272" s="176">
        <f t="shared" si="146"/>
        <v>201389.28940197991</v>
      </c>
      <c r="AJ272" s="176">
        <f t="shared" si="147"/>
        <v>1214761.7293016494</v>
      </c>
      <c r="AK272" s="113">
        <f t="shared" si="148"/>
        <v>1416151.0187036293</v>
      </c>
      <c r="AL272" s="113">
        <f t="shared" si="121"/>
        <v>425996.87789836858</v>
      </c>
      <c r="AM272" s="114">
        <f t="shared" si="149"/>
        <v>41.666666666666664</v>
      </c>
      <c r="AN272" s="114">
        <f t="shared" si="150"/>
        <v>4.2498316975235874E-3</v>
      </c>
      <c r="AO272" s="114">
        <f t="shared" si="151"/>
        <v>1777.7777777777776</v>
      </c>
    </row>
    <row r="273" spans="1:41" hidden="1" outlineLevel="1" x14ac:dyDescent="0.3">
      <c r="A273" s="146">
        <f t="shared" si="122"/>
        <v>251</v>
      </c>
      <c r="B273" s="147">
        <f t="shared" si="115"/>
        <v>34</v>
      </c>
      <c r="C273" s="147">
        <f t="shared" si="114"/>
        <v>326</v>
      </c>
      <c r="D273" s="149">
        <f t="shared" si="123"/>
        <v>39240663.429233924</v>
      </c>
      <c r="E273" s="149">
        <f t="shared" si="124"/>
        <v>1262728.8567219924</v>
      </c>
      <c r="F273" s="149">
        <f t="shared" si="116"/>
        <v>202259.93901071246</v>
      </c>
      <c r="G273" s="149">
        <f t="shared" si="117"/>
        <v>195517.94104368874</v>
      </c>
      <c r="H273" s="149">
        <f t="shared" si="125"/>
        <v>6741.9979670237226</v>
      </c>
      <c r="I273" s="149">
        <f t="shared" si="126"/>
        <v>1060468.9177112798</v>
      </c>
      <c r="J273" s="147">
        <f t="shared" si="127"/>
        <v>4.4999999999999998E-2</v>
      </c>
      <c r="K273" s="175">
        <f t="shared" si="118"/>
        <v>3.8296430163020645E-3</v>
      </c>
      <c r="L273" s="149">
        <f t="shared" si="128"/>
        <v>150855.45519729287</v>
      </c>
      <c r="M273" s="149">
        <f t="shared" si="129"/>
        <v>1406842.3139522613</v>
      </c>
      <c r="N273" s="149">
        <f t="shared" si="130"/>
        <v>1211324.3729085727</v>
      </c>
      <c r="P273" s="149">
        <f t="shared" si="131"/>
        <v>0</v>
      </c>
      <c r="Q273" s="149">
        <f t="shared" si="132"/>
        <v>0</v>
      </c>
      <c r="R273" s="176">
        <f t="shared" si="133"/>
        <v>0</v>
      </c>
      <c r="S273" s="113">
        <f t="shared" si="134"/>
        <v>0</v>
      </c>
      <c r="T273" s="113">
        <f t="shared" si="119"/>
        <v>0</v>
      </c>
      <c r="U273" s="114">
        <f t="shared" si="135"/>
        <v>41.833333333333336</v>
      </c>
      <c r="V273" s="114">
        <f t="shared" si="136"/>
        <v>0</v>
      </c>
      <c r="W273" s="114">
        <f t="shared" si="137"/>
        <v>1791.8611111111113</v>
      </c>
      <c r="X273" s="114"/>
      <c r="Y273" s="149">
        <f t="shared" si="138"/>
        <v>0</v>
      </c>
      <c r="Z273" s="149">
        <f t="shared" si="139"/>
        <v>0</v>
      </c>
      <c r="AA273" s="176">
        <f t="shared" si="140"/>
        <v>0</v>
      </c>
      <c r="AB273" s="113">
        <f t="shared" si="141"/>
        <v>0</v>
      </c>
      <c r="AC273" s="113">
        <f t="shared" si="120"/>
        <v>0</v>
      </c>
      <c r="AD273" s="114">
        <f t="shared" si="142"/>
        <v>41.833333333333336</v>
      </c>
      <c r="AE273" s="114">
        <f t="shared" si="143"/>
        <v>0</v>
      </c>
      <c r="AF273" s="114">
        <f t="shared" si="144"/>
        <v>1791.8611111111113</v>
      </c>
      <c r="AG273" s="114"/>
      <c r="AH273" s="176">
        <f t="shared" si="145"/>
        <v>39240663.429233901</v>
      </c>
      <c r="AI273" s="176">
        <f t="shared" si="146"/>
        <v>195517.94104368862</v>
      </c>
      <c r="AJ273" s="176">
        <f t="shared" si="147"/>
        <v>1211324.3729085727</v>
      </c>
      <c r="AK273" s="113">
        <f t="shared" si="148"/>
        <v>1406842.3139522613</v>
      </c>
      <c r="AL273" s="113">
        <f t="shared" si="121"/>
        <v>421168.08756138274</v>
      </c>
      <c r="AM273" s="114">
        <f t="shared" si="149"/>
        <v>41.833333333333336</v>
      </c>
      <c r="AN273" s="114">
        <f t="shared" si="150"/>
        <v>4.2016587007259118E-3</v>
      </c>
      <c r="AO273" s="114">
        <f t="shared" si="151"/>
        <v>1791.8611111111113</v>
      </c>
    </row>
    <row r="274" spans="1:41" hidden="1" outlineLevel="1" x14ac:dyDescent="0.3">
      <c r="A274" s="146">
        <f t="shared" si="122"/>
        <v>252</v>
      </c>
      <c r="B274" s="147">
        <f t="shared" si="115"/>
        <v>33</v>
      </c>
      <c r="C274" s="147">
        <f t="shared" si="114"/>
        <v>327</v>
      </c>
      <c r="D274" s="149">
        <f t="shared" si="123"/>
        <v>38032761.850442685</v>
      </c>
      <c r="E274" s="149">
        <f t="shared" si="124"/>
        <v>1257893.0559743638</v>
      </c>
      <c r="F274" s="149">
        <f t="shared" si="116"/>
        <v>196203.31714616963</v>
      </c>
      <c r="G274" s="149">
        <f t="shared" si="117"/>
        <v>189663.20657463063</v>
      </c>
      <c r="H274" s="149">
        <f t="shared" si="125"/>
        <v>6540.1105715390004</v>
      </c>
      <c r="I274" s="149">
        <f t="shared" si="126"/>
        <v>1061689.7388281941</v>
      </c>
      <c r="J274" s="147">
        <f t="shared" si="127"/>
        <v>4.4999999999999998E-2</v>
      </c>
      <c r="K274" s="175">
        <f t="shared" si="118"/>
        <v>3.8296430163020645E-3</v>
      </c>
      <c r="L274" s="149">
        <f t="shared" si="128"/>
        <v>146211.83996304256</v>
      </c>
      <c r="M274" s="149">
        <f t="shared" si="129"/>
        <v>1397564.7853658674</v>
      </c>
      <c r="N274" s="149">
        <f t="shared" si="130"/>
        <v>1207901.5787912367</v>
      </c>
      <c r="P274" s="149">
        <f t="shared" si="131"/>
        <v>0</v>
      </c>
      <c r="Q274" s="149">
        <f t="shared" si="132"/>
        <v>0</v>
      </c>
      <c r="R274" s="176">
        <f t="shared" si="133"/>
        <v>0</v>
      </c>
      <c r="S274" s="113">
        <f t="shared" si="134"/>
        <v>0</v>
      </c>
      <c r="T274" s="113">
        <f t="shared" si="119"/>
        <v>0</v>
      </c>
      <c r="U274" s="114">
        <f t="shared" si="135"/>
        <v>42</v>
      </c>
      <c r="V274" s="114">
        <f t="shared" si="136"/>
        <v>0</v>
      </c>
      <c r="W274" s="114">
        <f t="shared" si="137"/>
        <v>1806</v>
      </c>
      <c r="X274" s="114"/>
      <c r="Y274" s="149">
        <f t="shared" si="138"/>
        <v>0</v>
      </c>
      <c r="Z274" s="149">
        <f t="shared" si="139"/>
        <v>0</v>
      </c>
      <c r="AA274" s="176">
        <f t="shared" si="140"/>
        <v>0</v>
      </c>
      <c r="AB274" s="113">
        <f t="shared" si="141"/>
        <v>0</v>
      </c>
      <c r="AC274" s="113">
        <f t="shared" si="120"/>
        <v>0</v>
      </c>
      <c r="AD274" s="114">
        <f t="shared" si="142"/>
        <v>42</v>
      </c>
      <c r="AE274" s="114">
        <f t="shared" si="143"/>
        <v>0</v>
      </c>
      <c r="AF274" s="114">
        <f t="shared" si="144"/>
        <v>1806</v>
      </c>
      <c r="AG274" s="114"/>
      <c r="AH274" s="176">
        <f t="shared" si="145"/>
        <v>38032761.850442663</v>
      </c>
      <c r="AI274" s="176">
        <f t="shared" si="146"/>
        <v>189663.20657463055</v>
      </c>
      <c r="AJ274" s="176">
        <f t="shared" si="147"/>
        <v>1207901.5787912367</v>
      </c>
      <c r="AK274" s="113">
        <f t="shared" si="148"/>
        <v>1397564.7853658672</v>
      </c>
      <c r="AL274" s="113">
        <f t="shared" si="121"/>
        <v>416385.09115096385</v>
      </c>
      <c r="AM274" s="114">
        <f t="shared" si="149"/>
        <v>42</v>
      </c>
      <c r="AN274" s="114">
        <f t="shared" si="150"/>
        <v>4.1539425534752056E-3</v>
      </c>
      <c r="AO274" s="114">
        <f t="shared" si="151"/>
        <v>1806</v>
      </c>
    </row>
    <row r="275" spans="1:41" hidden="1" outlineLevel="1" x14ac:dyDescent="0.3">
      <c r="A275" s="146">
        <f t="shared" si="122"/>
        <v>253</v>
      </c>
      <c r="B275" s="147">
        <f t="shared" si="115"/>
        <v>32</v>
      </c>
      <c r="C275" s="147">
        <f t="shared" si="114"/>
        <v>328</v>
      </c>
      <c r="D275" s="149">
        <f t="shared" si="123"/>
        <v>36828268.557651483</v>
      </c>
      <c r="E275" s="149">
        <f t="shared" si="124"/>
        <v>1253075.7746172966</v>
      </c>
      <c r="F275" s="149">
        <f t="shared" si="116"/>
        <v>190163.80925221342</v>
      </c>
      <c r="G275" s="149">
        <f t="shared" si="117"/>
        <v>183825.015610473</v>
      </c>
      <c r="H275" s="149">
        <f t="shared" si="125"/>
        <v>6338.7936417404271</v>
      </c>
      <c r="I275" s="149">
        <f t="shared" si="126"/>
        <v>1062911.9653650832</v>
      </c>
      <c r="J275" s="147">
        <f t="shared" si="127"/>
        <v>4.4999999999999998E-2</v>
      </c>
      <c r="K275" s="175">
        <f t="shared" si="118"/>
        <v>3.8296430163020645E-3</v>
      </c>
      <c r="L275" s="149">
        <f t="shared" si="128"/>
        <v>141581.32742612311</v>
      </c>
      <c r="M275" s="149">
        <f t="shared" si="129"/>
        <v>1388318.3084016794</v>
      </c>
      <c r="N275" s="149">
        <f t="shared" si="130"/>
        <v>1204493.2927912064</v>
      </c>
      <c r="P275" s="149">
        <f t="shared" si="131"/>
        <v>0</v>
      </c>
      <c r="Q275" s="149">
        <f t="shared" si="132"/>
        <v>0</v>
      </c>
      <c r="R275" s="176">
        <f t="shared" si="133"/>
        <v>0</v>
      </c>
      <c r="S275" s="113">
        <f t="shared" si="134"/>
        <v>0</v>
      </c>
      <c r="T275" s="113">
        <f t="shared" si="119"/>
        <v>0</v>
      </c>
      <c r="U275" s="114">
        <f t="shared" si="135"/>
        <v>42.166666666666664</v>
      </c>
      <c r="V275" s="114">
        <f t="shared" si="136"/>
        <v>0</v>
      </c>
      <c r="W275" s="114">
        <f t="shared" si="137"/>
        <v>1820.1944444444443</v>
      </c>
      <c r="X275" s="114"/>
      <c r="Y275" s="149">
        <f t="shared" si="138"/>
        <v>0</v>
      </c>
      <c r="Z275" s="149">
        <f t="shared" si="139"/>
        <v>0</v>
      </c>
      <c r="AA275" s="176">
        <f t="shared" si="140"/>
        <v>0</v>
      </c>
      <c r="AB275" s="113">
        <f t="shared" si="141"/>
        <v>0</v>
      </c>
      <c r="AC275" s="113">
        <f t="shared" si="120"/>
        <v>0</v>
      </c>
      <c r="AD275" s="114">
        <f t="shared" si="142"/>
        <v>42.166666666666664</v>
      </c>
      <c r="AE275" s="114">
        <f t="shared" si="143"/>
        <v>0</v>
      </c>
      <c r="AF275" s="114">
        <f t="shared" si="144"/>
        <v>1820.1944444444443</v>
      </c>
      <c r="AG275" s="114"/>
      <c r="AH275" s="176">
        <f t="shared" si="145"/>
        <v>36828268.55765146</v>
      </c>
      <c r="AI275" s="176">
        <f t="shared" si="146"/>
        <v>183825.01561047288</v>
      </c>
      <c r="AJ275" s="176">
        <f t="shared" si="147"/>
        <v>1204493.2927912064</v>
      </c>
      <c r="AK275" s="113">
        <f t="shared" si="148"/>
        <v>1388318.3084016792</v>
      </c>
      <c r="AL275" s="113">
        <f t="shared" si="121"/>
        <v>411647.47914050857</v>
      </c>
      <c r="AM275" s="114">
        <f t="shared" si="149"/>
        <v>42.166666666666664</v>
      </c>
      <c r="AN275" s="114">
        <f t="shared" si="150"/>
        <v>4.1066791702505873E-3</v>
      </c>
      <c r="AO275" s="114">
        <f t="shared" si="151"/>
        <v>1820.1944444444443</v>
      </c>
    </row>
    <row r="276" spans="1:41" hidden="1" outlineLevel="1" x14ac:dyDescent="0.3">
      <c r="A276" s="146">
        <f t="shared" si="122"/>
        <v>254</v>
      </c>
      <c r="B276" s="147">
        <f t="shared" si="115"/>
        <v>31</v>
      </c>
      <c r="C276" s="147">
        <f t="shared" si="114"/>
        <v>329</v>
      </c>
      <c r="D276" s="149">
        <f t="shared" si="123"/>
        <v>35627169.096692175</v>
      </c>
      <c r="E276" s="149">
        <f t="shared" si="124"/>
        <v>1248276.9417281363</v>
      </c>
      <c r="F276" s="149">
        <f t="shared" si="116"/>
        <v>184141.3427882574</v>
      </c>
      <c r="G276" s="149">
        <f t="shared" si="117"/>
        <v>178003.29802864883</v>
      </c>
      <c r="H276" s="149">
        <f t="shared" si="125"/>
        <v>6138.0447596085723</v>
      </c>
      <c r="I276" s="149">
        <f t="shared" si="126"/>
        <v>1064135.5989398789</v>
      </c>
      <c r="J276" s="147">
        <f t="shared" si="127"/>
        <v>4.4999999999999998E-2</v>
      </c>
      <c r="K276" s="175">
        <f t="shared" si="118"/>
        <v>3.8296430163020645E-3</v>
      </c>
      <c r="L276" s="149">
        <f t="shared" si="128"/>
        <v>136963.86201942837</v>
      </c>
      <c r="M276" s="149">
        <f t="shared" si="129"/>
        <v>1379102.758987956</v>
      </c>
      <c r="N276" s="149">
        <f t="shared" si="130"/>
        <v>1201099.4609593072</v>
      </c>
      <c r="P276" s="149">
        <f t="shared" si="131"/>
        <v>0</v>
      </c>
      <c r="Q276" s="149">
        <f t="shared" si="132"/>
        <v>0</v>
      </c>
      <c r="R276" s="176">
        <f t="shared" si="133"/>
        <v>0</v>
      </c>
      <c r="S276" s="113">
        <f t="shared" si="134"/>
        <v>0</v>
      </c>
      <c r="T276" s="113">
        <f t="shared" si="119"/>
        <v>0</v>
      </c>
      <c r="U276" s="114">
        <f t="shared" si="135"/>
        <v>42.333333333333336</v>
      </c>
      <c r="V276" s="114">
        <f t="shared" si="136"/>
        <v>0</v>
      </c>
      <c r="W276" s="114">
        <f t="shared" si="137"/>
        <v>1834.4444444444446</v>
      </c>
      <c r="X276" s="114"/>
      <c r="Y276" s="149">
        <f t="shared" si="138"/>
        <v>0</v>
      </c>
      <c r="Z276" s="149">
        <f t="shared" si="139"/>
        <v>0</v>
      </c>
      <c r="AA276" s="176">
        <f t="shared" si="140"/>
        <v>0</v>
      </c>
      <c r="AB276" s="113">
        <f t="shared" si="141"/>
        <v>0</v>
      </c>
      <c r="AC276" s="113">
        <f t="shared" si="120"/>
        <v>0</v>
      </c>
      <c r="AD276" s="114">
        <f t="shared" si="142"/>
        <v>42.333333333333336</v>
      </c>
      <c r="AE276" s="114">
        <f t="shared" si="143"/>
        <v>0</v>
      </c>
      <c r="AF276" s="114">
        <f t="shared" si="144"/>
        <v>1834.4444444444446</v>
      </c>
      <c r="AG276" s="114"/>
      <c r="AH276" s="176">
        <f t="shared" si="145"/>
        <v>35627169.096692152</v>
      </c>
      <c r="AI276" s="176">
        <f t="shared" si="146"/>
        <v>178003.29802864874</v>
      </c>
      <c r="AJ276" s="176">
        <f t="shared" si="147"/>
        <v>1201099.4609593072</v>
      </c>
      <c r="AK276" s="113">
        <f t="shared" si="148"/>
        <v>1379102.758987956</v>
      </c>
      <c r="AL276" s="113">
        <f t="shared" si="121"/>
        <v>406954.84558377916</v>
      </c>
      <c r="AM276" s="114">
        <f t="shared" si="149"/>
        <v>42.333333333333336</v>
      </c>
      <c r="AN276" s="114">
        <f t="shared" si="150"/>
        <v>4.0598645012496345E-3</v>
      </c>
      <c r="AO276" s="114">
        <f t="shared" si="151"/>
        <v>1834.4444444444446</v>
      </c>
    </row>
    <row r="277" spans="1:41" hidden="1" outlineLevel="1" x14ac:dyDescent="0.3">
      <c r="A277" s="146">
        <f t="shared" si="122"/>
        <v>255</v>
      </c>
      <c r="B277" s="147">
        <f t="shared" si="115"/>
        <v>30</v>
      </c>
      <c r="C277" s="147">
        <f t="shared" si="114"/>
        <v>330</v>
      </c>
      <c r="D277" s="149">
        <f t="shared" si="123"/>
        <v>34429449.067137353</v>
      </c>
      <c r="E277" s="149">
        <f t="shared" si="124"/>
        <v>1243496.4866558362</v>
      </c>
      <c r="F277" s="149">
        <f t="shared" si="116"/>
        <v>178135.84548346087</v>
      </c>
      <c r="G277" s="149">
        <f t="shared" si="117"/>
        <v>172197.98396734553</v>
      </c>
      <c r="H277" s="149">
        <f t="shared" si="125"/>
        <v>5937.861516115343</v>
      </c>
      <c r="I277" s="149">
        <f t="shared" si="126"/>
        <v>1065360.6411723753</v>
      </c>
      <c r="J277" s="147">
        <f t="shared" si="127"/>
        <v>4.4999999999999998E-2</v>
      </c>
      <c r="K277" s="175">
        <f t="shared" si="118"/>
        <v>3.8296430163020645E-3</v>
      </c>
      <c r="L277" s="149">
        <f t="shared" si="128"/>
        <v>132359.38838245106</v>
      </c>
      <c r="M277" s="149">
        <f t="shared" si="129"/>
        <v>1369918.0135221719</v>
      </c>
      <c r="N277" s="149">
        <f t="shared" si="130"/>
        <v>1197720.0295548264</v>
      </c>
      <c r="P277" s="149">
        <f t="shared" si="131"/>
        <v>0</v>
      </c>
      <c r="Q277" s="149">
        <f t="shared" si="132"/>
        <v>0</v>
      </c>
      <c r="R277" s="176">
        <f t="shared" si="133"/>
        <v>0</v>
      </c>
      <c r="S277" s="113">
        <f t="shared" si="134"/>
        <v>0</v>
      </c>
      <c r="T277" s="113">
        <f t="shared" si="119"/>
        <v>0</v>
      </c>
      <c r="U277" s="114">
        <f t="shared" si="135"/>
        <v>42.5</v>
      </c>
      <c r="V277" s="114">
        <f t="shared" si="136"/>
        <v>0</v>
      </c>
      <c r="W277" s="114">
        <f t="shared" si="137"/>
        <v>1848.75</v>
      </c>
      <c r="X277" s="114"/>
      <c r="Y277" s="149">
        <f t="shared" si="138"/>
        <v>0</v>
      </c>
      <c r="Z277" s="149">
        <f t="shared" si="139"/>
        <v>0</v>
      </c>
      <c r="AA277" s="176">
        <f t="shared" si="140"/>
        <v>0</v>
      </c>
      <c r="AB277" s="113">
        <f t="shared" si="141"/>
        <v>0</v>
      </c>
      <c r="AC277" s="113">
        <f t="shared" si="120"/>
        <v>0</v>
      </c>
      <c r="AD277" s="114">
        <f t="shared" si="142"/>
        <v>42.5</v>
      </c>
      <c r="AE277" s="114">
        <f t="shared" si="143"/>
        <v>0</v>
      </c>
      <c r="AF277" s="114">
        <f t="shared" si="144"/>
        <v>1848.75</v>
      </c>
      <c r="AG277" s="114"/>
      <c r="AH277" s="176">
        <f t="shared" si="145"/>
        <v>34429449.067137323</v>
      </c>
      <c r="AI277" s="176">
        <f t="shared" si="146"/>
        <v>172197.98396734541</v>
      </c>
      <c r="AJ277" s="176">
        <f t="shared" si="147"/>
        <v>1197720.0295548264</v>
      </c>
      <c r="AK277" s="113">
        <f t="shared" si="148"/>
        <v>1369918.0135221719</v>
      </c>
      <c r="AL277" s="113">
        <f t="shared" si="121"/>
        <v>402306.78808388882</v>
      </c>
      <c r="AM277" s="114">
        <f t="shared" si="149"/>
        <v>42.5</v>
      </c>
      <c r="AN277" s="114">
        <f t="shared" si="150"/>
        <v>4.0134945320789714E-3</v>
      </c>
      <c r="AO277" s="114">
        <f t="shared" si="151"/>
        <v>1848.75</v>
      </c>
    </row>
    <row r="278" spans="1:41" hidden="1" outlineLevel="1" x14ac:dyDescent="0.3">
      <c r="A278" s="146">
        <f t="shared" si="122"/>
        <v>256</v>
      </c>
      <c r="B278" s="147">
        <f t="shared" si="115"/>
        <v>29</v>
      </c>
      <c r="C278" s="147">
        <f t="shared" ref="C278:C341" si="152">IF($A278&gt;$B$4,"",$B$11*$B$13-B278)</f>
        <v>331</v>
      </c>
      <c r="D278" s="149">
        <f t="shared" si="123"/>
        <v>33235094.122092634</v>
      </c>
      <c r="E278" s="149">
        <f t="shared" si="124"/>
        <v>1238734.3390199186</v>
      </c>
      <c r="F278" s="149">
        <f t="shared" si="116"/>
        <v>172147.24533568678</v>
      </c>
      <c r="G278" s="149">
        <f t="shared" si="117"/>
        <v>166409.00382449722</v>
      </c>
      <c r="H278" s="149">
        <f t="shared" si="125"/>
        <v>5738.2415111895534</v>
      </c>
      <c r="I278" s="149">
        <f t="shared" si="126"/>
        <v>1066587.0936842319</v>
      </c>
      <c r="J278" s="147">
        <f t="shared" si="127"/>
        <v>4.4999999999999998E-2</v>
      </c>
      <c r="K278" s="175">
        <f t="shared" si="118"/>
        <v>3.8296430163020645E-3</v>
      </c>
      <c r="L278" s="149">
        <f t="shared" si="128"/>
        <v>127767.85136048445</v>
      </c>
      <c r="M278" s="149">
        <f t="shared" si="129"/>
        <v>1360763.9488692135</v>
      </c>
      <c r="N278" s="149">
        <f t="shared" si="130"/>
        <v>1194354.9450447164</v>
      </c>
      <c r="P278" s="149">
        <f t="shared" si="131"/>
        <v>0</v>
      </c>
      <c r="Q278" s="149">
        <f t="shared" si="132"/>
        <v>0</v>
      </c>
      <c r="R278" s="176">
        <f t="shared" si="133"/>
        <v>0</v>
      </c>
      <c r="S278" s="113">
        <f t="shared" si="134"/>
        <v>0</v>
      </c>
      <c r="T278" s="113">
        <f t="shared" si="119"/>
        <v>0</v>
      </c>
      <c r="U278" s="114">
        <f t="shared" si="135"/>
        <v>42.666666666666664</v>
      </c>
      <c r="V278" s="114">
        <f t="shared" si="136"/>
        <v>0</v>
      </c>
      <c r="W278" s="114">
        <f t="shared" si="137"/>
        <v>1863.1111111111109</v>
      </c>
      <c r="X278" s="114"/>
      <c r="Y278" s="149">
        <f t="shared" si="138"/>
        <v>0</v>
      </c>
      <c r="Z278" s="149">
        <f t="shared" si="139"/>
        <v>0</v>
      </c>
      <c r="AA278" s="176">
        <f t="shared" si="140"/>
        <v>0</v>
      </c>
      <c r="AB278" s="113">
        <f t="shared" si="141"/>
        <v>0</v>
      </c>
      <c r="AC278" s="113">
        <f t="shared" si="120"/>
        <v>0</v>
      </c>
      <c r="AD278" s="114">
        <f t="shared" si="142"/>
        <v>42.666666666666664</v>
      </c>
      <c r="AE278" s="114">
        <f t="shared" si="143"/>
        <v>0</v>
      </c>
      <c r="AF278" s="114">
        <f t="shared" si="144"/>
        <v>1863.1111111111109</v>
      </c>
      <c r="AG278" s="114"/>
      <c r="AH278" s="176">
        <f t="shared" si="145"/>
        <v>33235094.122092608</v>
      </c>
      <c r="AI278" s="176">
        <f t="shared" si="146"/>
        <v>166409.00382449708</v>
      </c>
      <c r="AJ278" s="176">
        <f t="shared" si="147"/>
        <v>1194354.9450447164</v>
      </c>
      <c r="AK278" s="113">
        <f t="shared" si="148"/>
        <v>1360763.9488692135</v>
      </c>
      <c r="AL278" s="113">
        <f t="shared" si="121"/>
        <v>397702.90776255453</v>
      </c>
      <c r="AM278" s="114">
        <f t="shared" si="149"/>
        <v>42.666666666666664</v>
      </c>
      <c r="AN278" s="114">
        <f t="shared" si="150"/>
        <v>3.9675652834475304E-3</v>
      </c>
      <c r="AO278" s="114">
        <f t="shared" si="151"/>
        <v>1863.1111111111109</v>
      </c>
    </row>
    <row r="279" spans="1:41" hidden="1" outlineLevel="1" x14ac:dyDescent="0.3">
      <c r="A279" s="146">
        <f t="shared" si="122"/>
        <v>257</v>
      </c>
      <c r="B279" s="147">
        <f t="shared" ref="B279:B342" si="153">IF(A279&gt;$B$4,"",B$4-A279)</f>
        <v>28</v>
      </c>
      <c r="C279" s="147">
        <f t="shared" si="152"/>
        <v>332</v>
      </c>
      <c r="D279" s="149">
        <f t="shared" si="123"/>
        <v>32044089.967989832</v>
      </c>
      <c r="E279" s="149">
        <f t="shared" si="124"/>
        <v>1233990.4287094374</v>
      </c>
      <c r="F279" s="149">
        <f t="shared" ref="F279:F342" si="154">IF(A279&gt;$B$4,"",D278*$B$15)</f>
        <v>166175.47061046318</v>
      </c>
      <c r="G279" s="149">
        <f t="shared" ref="G279:G342" si="155">IF(A279&gt;$B$4,"",D278*$B$16)</f>
        <v>160636.28825678109</v>
      </c>
      <c r="H279" s="149">
        <f t="shared" si="125"/>
        <v>5539.1823536820884</v>
      </c>
      <c r="I279" s="149">
        <f t="shared" si="126"/>
        <v>1067814.9580989741</v>
      </c>
      <c r="J279" s="147">
        <f t="shared" si="127"/>
        <v>4.4999999999999998E-2</v>
      </c>
      <c r="K279" s="175">
        <f t="shared" ref="K279:K342" si="156">IF(A279&gt;$B$4,"",1-(1-J279)^(1/$B$11))</f>
        <v>3.8296430163020645E-3</v>
      </c>
      <c r="L279" s="149">
        <f t="shared" si="128"/>
        <v>123189.19600382724</v>
      </c>
      <c r="M279" s="149">
        <f t="shared" si="129"/>
        <v>1351640.4423595825</v>
      </c>
      <c r="N279" s="149">
        <f t="shared" si="130"/>
        <v>1191004.1541028013</v>
      </c>
      <c r="P279" s="149">
        <f t="shared" si="131"/>
        <v>0</v>
      </c>
      <c r="Q279" s="149">
        <f t="shared" si="132"/>
        <v>0</v>
      </c>
      <c r="R279" s="176">
        <f t="shared" si="133"/>
        <v>0</v>
      </c>
      <c r="S279" s="113">
        <f t="shared" si="134"/>
        <v>0</v>
      </c>
      <c r="T279" s="113">
        <f t="shared" ref="T279:T342" si="157">IF(A279&gt;$B$4,"",S279/(1+$B$14)^(A279/$B$11*$B$8))</f>
        <v>0</v>
      </c>
      <c r="U279" s="114">
        <f t="shared" si="135"/>
        <v>42.833333333333336</v>
      </c>
      <c r="V279" s="114">
        <f t="shared" si="136"/>
        <v>0</v>
      </c>
      <c r="W279" s="114">
        <f t="shared" si="137"/>
        <v>1877.5277777777781</v>
      </c>
      <c r="X279" s="114"/>
      <c r="Y279" s="149">
        <f t="shared" si="138"/>
        <v>0</v>
      </c>
      <c r="Z279" s="149">
        <f t="shared" si="139"/>
        <v>0</v>
      </c>
      <c r="AA279" s="176">
        <f t="shared" si="140"/>
        <v>0</v>
      </c>
      <c r="AB279" s="113">
        <f t="shared" si="141"/>
        <v>0</v>
      </c>
      <c r="AC279" s="113">
        <f t="shared" ref="AC279:AC342" si="158">IF(A279&gt;$B$4,"",AB279/(1+$B$14)^(A279/$B$11*$B$8))</f>
        <v>0</v>
      </c>
      <c r="AD279" s="114">
        <f t="shared" si="142"/>
        <v>42.833333333333336</v>
      </c>
      <c r="AE279" s="114">
        <f t="shared" si="143"/>
        <v>0</v>
      </c>
      <c r="AF279" s="114">
        <f t="shared" si="144"/>
        <v>1877.5277777777781</v>
      </c>
      <c r="AG279" s="114"/>
      <c r="AH279" s="176">
        <f t="shared" si="145"/>
        <v>32044089.967989806</v>
      </c>
      <c r="AI279" s="176">
        <f t="shared" si="146"/>
        <v>160636.28825678094</v>
      </c>
      <c r="AJ279" s="176">
        <f t="shared" si="147"/>
        <v>1191004.1541028013</v>
      </c>
      <c r="AK279" s="113">
        <f t="shared" si="148"/>
        <v>1351640.4423595823</v>
      </c>
      <c r="AL279" s="113">
        <f t="shared" ref="AL279:AL342" si="159">IF(A279&gt;$B$4,"",AK279/(1+$B$14)^(A279/$B$11*$B$8))</f>
        <v>393142.80922961637</v>
      </c>
      <c r="AM279" s="114">
        <f t="shared" si="149"/>
        <v>42.833333333333336</v>
      </c>
      <c r="AN279" s="114">
        <f t="shared" si="150"/>
        <v>3.9220728108624739E-3</v>
      </c>
      <c r="AO279" s="114">
        <f t="shared" si="151"/>
        <v>1877.5277777777781</v>
      </c>
    </row>
    <row r="280" spans="1:41" hidden="1" outlineLevel="1" x14ac:dyDescent="0.3">
      <c r="A280" s="146">
        <f t="shared" ref="A280:A343" si="160">A279+1</f>
        <v>258</v>
      </c>
      <c r="B280" s="147">
        <f t="shared" si="153"/>
        <v>27</v>
      </c>
      <c r="C280" s="147">
        <f t="shared" si="152"/>
        <v>333</v>
      </c>
      <c r="D280" s="149">
        <f t="shared" ref="D280:D343" si="161">IF(A280&gt;$B$4,"",D279-I280-L280)</f>
        <v>30856422.364380844</v>
      </c>
      <c r="E280" s="149">
        <f t="shared" ref="E280:E343" si="162">IF(A280&gt;$B$4,"",MIN(E279*(1-K279),D279*(1+$B$15)))</f>
        <v>1229264.6858819467</v>
      </c>
      <c r="F280" s="149">
        <f t="shared" si="154"/>
        <v>160220.44983994917</v>
      </c>
      <c r="G280" s="149">
        <f t="shared" si="155"/>
        <v>154879.76817861752</v>
      </c>
      <c r="H280" s="149">
        <f t="shared" ref="H280:H343" si="163">IF(A280&gt;$B$4,"",F280-G280)</f>
        <v>5340.6816613316478</v>
      </c>
      <c r="I280" s="149">
        <f t="shared" ref="I280:I343" si="164">IF(A280&gt;$B$4,"",E280-F280)</f>
        <v>1069044.2360419976</v>
      </c>
      <c r="J280" s="147">
        <f t="shared" ref="J280:J343" si="165">IF(A280&gt;$B$4,"",$B$9/100*MIN(C280/30,1)*0.06)</f>
        <v>4.4999999999999998E-2</v>
      </c>
      <c r="K280" s="175">
        <f t="shared" si="156"/>
        <v>3.8296430163020645E-3</v>
      </c>
      <c r="L280" s="149">
        <f t="shared" ref="L280:L343" si="166">IF(A280&gt;$B$4,"",(D279-I280)*K280)</f>
        <v>118623.3675669911</v>
      </c>
      <c r="M280" s="149">
        <f t="shared" ref="M280:M343" si="167">IF(A280&gt;$B$4,"",G280+I280+L280)</f>
        <v>1342547.3717876063</v>
      </c>
      <c r="N280" s="149">
        <f t="shared" ref="N280:N343" si="168">IF($A280&gt;$B$4,"",I280+L280)</f>
        <v>1187667.6036089887</v>
      </c>
      <c r="P280" s="149">
        <f t="shared" ref="P280:P343" si="169">IF($A280&gt;$B$4,"",MAX(0,P279-R280))</f>
        <v>0</v>
      </c>
      <c r="Q280" s="149">
        <f t="shared" ref="Q280:Q343" si="170">IF($A280&gt;$B$4,"",IF(P279&gt;0,$H$6*P279,0))</f>
        <v>0</v>
      </c>
      <c r="R280" s="176">
        <f t="shared" ref="R280:R343" si="171">IF($A280&gt;$B$4,"",MIN(P279,$N280))</f>
        <v>0</v>
      </c>
      <c r="S280" s="113">
        <f t="shared" ref="S280:S343" si="172">IF($A280&gt;$B$4,"",Q280+R280)</f>
        <v>0</v>
      </c>
      <c r="T280" s="113">
        <f t="shared" si="157"/>
        <v>0</v>
      </c>
      <c r="U280" s="114">
        <f t="shared" ref="U280:U343" si="173">IF($A280&gt;$B$4,"",A280/6)</f>
        <v>43</v>
      </c>
      <c r="V280" s="114">
        <f t="shared" ref="V280:V343" si="174">IF($A280&gt;$B$4,"",T280/$T$21)</f>
        <v>0</v>
      </c>
      <c r="W280" s="114">
        <f t="shared" ref="W280:W343" si="175">IF($A280&gt;$B$4,"",U280*(U280+1))</f>
        <v>1892</v>
      </c>
      <c r="X280" s="114"/>
      <c r="Y280" s="149">
        <f t="shared" ref="Y280:Y343" si="176">IF($A280&gt;$B$4,"",MAX(0,Y279-AA280))</f>
        <v>0</v>
      </c>
      <c r="Z280" s="149">
        <f t="shared" ref="Z280:Z343" si="177">IF($A280&gt;$B$4,"",IF(Y279&gt;0,$H$7*Y279,0))</f>
        <v>0</v>
      </c>
      <c r="AA280" s="176">
        <f t="shared" ref="AA280:AA343" si="178">IF($A280&gt;$B$4,"",IF(P280&gt;0,0,MIN(Y279,$N280-R280)))</f>
        <v>0</v>
      </c>
      <c r="AB280" s="113">
        <f t="shared" ref="AB280:AB343" si="179">IF($A280&gt;$B$4,"",Z280+AA280)</f>
        <v>0</v>
      </c>
      <c r="AC280" s="113">
        <f t="shared" si="158"/>
        <v>0</v>
      </c>
      <c r="AD280" s="114">
        <f t="shared" ref="AD280:AD343" si="180">IF($A280&gt;$B$4,"",A280/6)</f>
        <v>43</v>
      </c>
      <c r="AE280" s="114">
        <f t="shared" ref="AE280:AE343" si="181">IF($A280&gt;$B$4,"",AC280/$AC$21)</f>
        <v>0</v>
      </c>
      <c r="AF280" s="114">
        <f t="shared" ref="AF280:AF343" si="182">IF($A280&gt;$B$4,"",AD280*(AD280+1))</f>
        <v>1892</v>
      </c>
      <c r="AG280" s="114"/>
      <c r="AH280" s="176">
        <f t="shared" ref="AH280:AH343" si="183">IF($A280&gt;$B$4,"",MAX(0,AH279-AJ280))</f>
        <v>30856422.364380818</v>
      </c>
      <c r="AI280" s="176">
        <f t="shared" ref="AI280:AI343" si="184">IF($A280&gt;$B$4,"",IF(AH279&gt;0,$H$8*AH279,0))</f>
        <v>154879.76817861741</v>
      </c>
      <c r="AJ280" s="176">
        <f t="shared" ref="AJ280:AJ343" si="185">IF($A280&gt;$B$4,"",IF(Y280&gt;0,0,MIN(AH279,$N280-AA280)))</f>
        <v>1187667.6036089887</v>
      </c>
      <c r="AK280" s="113">
        <f t="shared" ref="AK280:AK343" si="186">IF($A280&gt;$B$4,"",AI280+AJ280)</f>
        <v>1342547.371787606</v>
      </c>
      <c r="AL280" s="113">
        <f t="shared" si="159"/>
        <v>388626.10055281874</v>
      </c>
      <c r="AM280" s="114">
        <f t="shared" ref="AM280:AM343" si="187">IF($A280&gt;$B$4,"",A280/6)</f>
        <v>43</v>
      </c>
      <c r="AN280" s="114">
        <f t="shared" ref="AN280:AN343" si="188">IF($A280&gt;$B$4,"",AL280/$AL$21)</f>
        <v>3.8770132043277191E-3</v>
      </c>
      <c r="AO280" s="114">
        <f t="shared" ref="AO280:AO343" si="189">IF($A280&gt;$B$4,"",AM280*(AM280+1))</f>
        <v>1892</v>
      </c>
    </row>
    <row r="281" spans="1:41" hidden="1" outlineLevel="1" x14ac:dyDescent="0.3">
      <c r="A281" s="146">
        <f t="shared" si="160"/>
        <v>259</v>
      </c>
      <c r="B281" s="147">
        <f t="shared" si="153"/>
        <v>26</v>
      </c>
      <c r="C281" s="147">
        <f t="shared" si="152"/>
        <v>334</v>
      </c>
      <c r="D281" s="149">
        <f t="shared" si="161"/>
        <v>29672077.123732366</v>
      </c>
      <c r="E281" s="149">
        <f t="shared" si="162"/>
        <v>1224557.0409624721</v>
      </c>
      <c r="F281" s="149">
        <f t="shared" si="154"/>
        <v>154282.11182190423</v>
      </c>
      <c r="G281" s="149">
        <f t="shared" si="155"/>
        <v>149139.37476117408</v>
      </c>
      <c r="H281" s="149">
        <f t="shared" si="163"/>
        <v>5142.7370607301418</v>
      </c>
      <c r="I281" s="149">
        <f t="shared" si="164"/>
        <v>1070274.9291405678</v>
      </c>
      <c r="J281" s="147">
        <f t="shared" si="165"/>
        <v>4.4999999999999998E-2</v>
      </c>
      <c r="K281" s="175">
        <f t="shared" si="156"/>
        <v>3.8296430163020645E-3</v>
      </c>
      <c r="L281" s="149">
        <f t="shared" si="166"/>
        <v>114070.31150791157</v>
      </c>
      <c r="M281" s="149">
        <f t="shared" si="167"/>
        <v>1333484.6154096534</v>
      </c>
      <c r="N281" s="149">
        <f t="shared" si="168"/>
        <v>1184345.2406484794</v>
      </c>
      <c r="P281" s="149">
        <f t="shared" si="169"/>
        <v>0</v>
      </c>
      <c r="Q281" s="149">
        <f t="shared" si="170"/>
        <v>0</v>
      </c>
      <c r="R281" s="176">
        <f t="shared" si="171"/>
        <v>0</v>
      </c>
      <c r="S281" s="113">
        <f t="shared" si="172"/>
        <v>0</v>
      </c>
      <c r="T281" s="113">
        <f t="shared" si="157"/>
        <v>0</v>
      </c>
      <c r="U281" s="114">
        <f t="shared" si="173"/>
        <v>43.166666666666664</v>
      </c>
      <c r="V281" s="114">
        <f t="shared" si="174"/>
        <v>0</v>
      </c>
      <c r="W281" s="114">
        <f t="shared" si="175"/>
        <v>1906.5277777777776</v>
      </c>
      <c r="X281" s="114"/>
      <c r="Y281" s="149">
        <f t="shared" si="176"/>
        <v>0</v>
      </c>
      <c r="Z281" s="149">
        <f t="shared" si="177"/>
        <v>0</v>
      </c>
      <c r="AA281" s="176">
        <f t="shared" si="178"/>
        <v>0</v>
      </c>
      <c r="AB281" s="113">
        <f t="shared" si="179"/>
        <v>0</v>
      </c>
      <c r="AC281" s="113">
        <f t="shared" si="158"/>
        <v>0</v>
      </c>
      <c r="AD281" s="114">
        <f t="shared" si="180"/>
        <v>43.166666666666664</v>
      </c>
      <c r="AE281" s="114">
        <f t="shared" si="181"/>
        <v>0</v>
      </c>
      <c r="AF281" s="114">
        <f t="shared" si="182"/>
        <v>1906.5277777777776</v>
      </c>
      <c r="AG281" s="114"/>
      <c r="AH281" s="176">
        <f t="shared" si="183"/>
        <v>29672077.12373234</v>
      </c>
      <c r="AI281" s="176">
        <f t="shared" si="184"/>
        <v>149139.37476117397</v>
      </c>
      <c r="AJ281" s="176">
        <f t="shared" si="185"/>
        <v>1184345.2406484794</v>
      </c>
      <c r="AK281" s="113">
        <f t="shared" si="186"/>
        <v>1333484.6154096534</v>
      </c>
      <c r="AL281" s="113">
        <f t="shared" si="159"/>
        <v>384152.39322785247</v>
      </c>
      <c r="AM281" s="114">
        <f t="shared" si="187"/>
        <v>43.166666666666664</v>
      </c>
      <c r="AN281" s="114">
        <f t="shared" si="188"/>
        <v>3.8323825880450784E-3</v>
      </c>
      <c r="AO281" s="114">
        <f t="shared" si="189"/>
        <v>1906.5277777777776</v>
      </c>
    </row>
    <row r="282" spans="1:41" hidden="1" outlineLevel="1" x14ac:dyDescent="0.3">
      <c r="A282" s="146">
        <f t="shared" si="160"/>
        <v>260</v>
      </c>
      <c r="B282" s="147">
        <f t="shared" si="153"/>
        <v>25</v>
      </c>
      <c r="C282" s="147">
        <f t="shared" si="152"/>
        <v>335</v>
      </c>
      <c r="D282" s="149">
        <f t="shared" si="161"/>
        <v>28491040.111221381</v>
      </c>
      <c r="E282" s="149">
        <f t="shared" si="162"/>
        <v>1219867.4246424867</v>
      </c>
      <c r="F282" s="149">
        <f t="shared" si="154"/>
        <v>148360.38561866182</v>
      </c>
      <c r="G282" s="149">
        <f t="shared" si="155"/>
        <v>143415.03943137309</v>
      </c>
      <c r="H282" s="149">
        <f t="shared" si="163"/>
        <v>4945.3461872887274</v>
      </c>
      <c r="I282" s="149">
        <f t="shared" si="164"/>
        <v>1071507.039023825</v>
      </c>
      <c r="J282" s="147">
        <f t="shared" si="165"/>
        <v>4.4999999999999998E-2</v>
      </c>
      <c r="K282" s="175">
        <f t="shared" si="156"/>
        <v>3.8296430163020645E-3</v>
      </c>
      <c r="L282" s="149">
        <f t="shared" si="166"/>
        <v>109529.97348716181</v>
      </c>
      <c r="M282" s="149">
        <f t="shared" si="167"/>
        <v>1324452.0519423599</v>
      </c>
      <c r="N282" s="149">
        <f t="shared" si="168"/>
        <v>1181037.0125109868</v>
      </c>
      <c r="P282" s="149">
        <f t="shared" si="169"/>
        <v>0</v>
      </c>
      <c r="Q282" s="149">
        <f t="shared" si="170"/>
        <v>0</v>
      </c>
      <c r="R282" s="176">
        <f t="shared" si="171"/>
        <v>0</v>
      </c>
      <c r="S282" s="113">
        <f t="shared" si="172"/>
        <v>0</v>
      </c>
      <c r="T282" s="113">
        <f t="shared" si="157"/>
        <v>0</v>
      </c>
      <c r="U282" s="114">
        <f t="shared" si="173"/>
        <v>43.333333333333336</v>
      </c>
      <c r="V282" s="114">
        <f t="shared" si="174"/>
        <v>0</v>
      </c>
      <c r="W282" s="114">
        <f t="shared" si="175"/>
        <v>1921.1111111111113</v>
      </c>
      <c r="X282" s="114"/>
      <c r="Y282" s="149">
        <f t="shared" si="176"/>
        <v>0</v>
      </c>
      <c r="Z282" s="149">
        <f t="shared" si="177"/>
        <v>0</v>
      </c>
      <c r="AA282" s="176">
        <f t="shared" si="178"/>
        <v>0</v>
      </c>
      <c r="AB282" s="113">
        <f t="shared" si="179"/>
        <v>0</v>
      </c>
      <c r="AC282" s="113">
        <f t="shared" si="158"/>
        <v>0</v>
      </c>
      <c r="AD282" s="114">
        <f t="shared" si="180"/>
        <v>43.333333333333336</v>
      </c>
      <c r="AE282" s="114">
        <f t="shared" si="181"/>
        <v>0</v>
      </c>
      <c r="AF282" s="114">
        <f t="shared" si="182"/>
        <v>1921.1111111111113</v>
      </c>
      <c r="AG282" s="114"/>
      <c r="AH282" s="176">
        <f t="shared" si="183"/>
        <v>28491040.111221354</v>
      </c>
      <c r="AI282" s="176">
        <f t="shared" si="184"/>
        <v>143415.03943137298</v>
      </c>
      <c r="AJ282" s="176">
        <f t="shared" si="185"/>
        <v>1181037.0125109868</v>
      </c>
      <c r="AK282" s="113">
        <f t="shared" si="186"/>
        <v>1324452.0519423597</v>
      </c>
      <c r="AL282" s="113">
        <f t="shared" si="159"/>
        <v>379721.30214865616</v>
      </c>
      <c r="AM282" s="114">
        <f t="shared" si="187"/>
        <v>43.333333333333336</v>
      </c>
      <c r="AN282" s="114">
        <f t="shared" si="188"/>
        <v>3.7881771201179748E-3</v>
      </c>
      <c r="AO282" s="114">
        <f t="shared" si="189"/>
        <v>1921.1111111111113</v>
      </c>
    </row>
    <row r="283" spans="1:41" hidden="1" outlineLevel="1" x14ac:dyDescent="0.3">
      <c r="A283" s="146">
        <f t="shared" si="160"/>
        <v>261</v>
      </c>
      <c r="B283" s="147">
        <f t="shared" si="153"/>
        <v>24</v>
      </c>
      <c r="C283" s="147">
        <f t="shared" si="152"/>
        <v>336</v>
      </c>
      <c r="D283" s="149">
        <f t="shared" si="161"/>
        <v>27313297.244531427</v>
      </c>
      <c r="E283" s="149">
        <f t="shared" si="162"/>
        <v>1215195.7678788903</v>
      </c>
      <c r="F283" s="149">
        <f t="shared" si="154"/>
        <v>142455.20055610689</v>
      </c>
      <c r="G283" s="149">
        <f t="shared" si="155"/>
        <v>137706.69387090334</v>
      </c>
      <c r="H283" s="149">
        <f t="shared" si="163"/>
        <v>4748.5066852035525</v>
      </c>
      <c r="I283" s="149">
        <f t="shared" si="164"/>
        <v>1072740.5673227834</v>
      </c>
      <c r="J283" s="147">
        <f t="shared" si="165"/>
        <v>4.4999999999999998E-2</v>
      </c>
      <c r="K283" s="175">
        <f t="shared" si="156"/>
        <v>3.8296430163020645E-3</v>
      </c>
      <c r="L283" s="149">
        <f t="shared" si="166"/>
        <v>105002.29936716934</v>
      </c>
      <c r="M283" s="149">
        <f t="shared" si="167"/>
        <v>1315449.560560856</v>
      </c>
      <c r="N283" s="149">
        <f t="shared" si="168"/>
        <v>1177742.8666899528</v>
      </c>
      <c r="P283" s="149">
        <f t="shared" si="169"/>
        <v>0</v>
      </c>
      <c r="Q283" s="149">
        <f t="shared" si="170"/>
        <v>0</v>
      </c>
      <c r="R283" s="176">
        <f t="shared" si="171"/>
        <v>0</v>
      </c>
      <c r="S283" s="113">
        <f t="shared" si="172"/>
        <v>0</v>
      </c>
      <c r="T283" s="113">
        <f t="shared" si="157"/>
        <v>0</v>
      </c>
      <c r="U283" s="114">
        <f t="shared" si="173"/>
        <v>43.5</v>
      </c>
      <c r="V283" s="114">
        <f t="shared" si="174"/>
        <v>0</v>
      </c>
      <c r="W283" s="114">
        <f t="shared" si="175"/>
        <v>1935.75</v>
      </c>
      <c r="X283" s="114"/>
      <c r="Y283" s="149">
        <f t="shared" si="176"/>
        <v>0</v>
      </c>
      <c r="Z283" s="149">
        <f t="shared" si="177"/>
        <v>0</v>
      </c>
      <c r="AA283" s="176">
        <f t="shared" si="178"/>
        <v>0</v>
      </c>
      <c r="AB283" s="113">
        <f t="shared" si="179"/>
        <v>0</v>
      </c>
      <c r="AC283" s="113">
        <f t="shared" si="158"/>
        <v>0</v>
      </c>
      <c r="AD283" s="114">
        <f t="shared" si="180"/>
        <v>43.5</v>
      </c>
      <c r="AE283" s="114">
        <f t="shared" si="181"/>
        <v>0</v>
      </c>
      <c r="AF283" s="114">
        <f t="shared" si="182"/>
        <v>1935.75</v>
      </c>
      <c r="AG283" s="114"/>
      <c r="AH283" s="176">
        <f t="shared" si="183"/>
        <v>27313297.244531401</v>
      </c>
      <c r="AI283" s="176">
        <f t="shared" si="184"/>
        <v>137706.69387090323</v>
      </c>
      <c r="AJ283" s="176">
        <f t="shared" si="185"/>
        <v>1177742.8666899528</v>
      </c>
      <c r="AK283" s="113">
        <f t="shared" si="186"/>
        <v>1315449.560560856</v>
      </c>
      <c r="AL283" s="113">
        <f t="shared" si="159"/>
        <v>375332.44557797309</v>
      </c>
      <c r="AM283" s="114">
        <f t="shared" si="187"/>
        <v>43.5</v>
      </c>
      <c r="AN283" s="114">
        <f t="shared" si="188"/>
        <v>3.7443929922577153E-3</v>
      </c>
      <c r="AO283" s="114">
        <f t="shared" si="189"/>
        <v>1935.75</v>
      </c>
    </row>
    <row r="284" spans="1:41" hidden="1" outlineLevel="1" x14ac:dyDescent="0.3">
      <c r="A284" s="146">
        <f t="shared" si="160"/>
        <v>262</v>
      </c>
      <c r="B284" s="147">
        <f t="shared" si="153"/>
        <v>23</v>
      </c>
      <c r="C284" s="147">
        <f t="shared" si="152"/>
        <v>337</v>
      </c>
      <c r="D284" s="149">
        <f t="shared" si="161"/>
        <v>26138834.493649654</v>
      </c>
      <c r="E284" s="149">
        <f t="shared" si="162"/>
        <v>1210542.001892993</v>
      </c>
      <c r="F284" s="149">
        <f t="shared" si="154"/>
        <v>136566.48622265714</v>
      </c>
      <c r="G284" s="149">
        <f t="shared" si="155"/>
        <v>132014.27001523523</v>
      </c>
      <c r="H284" s="149">
        <f t="shared" si="163"/>
        <v>4552.2162074219086</v>
      </c>
      <c r="I284" s="149">
        <f t="shared" si="164"/>
        <v>1073975.5156703359</v>
      </c>
      <c r="J284" s="147">
        <f t="shared" si="165"/>
        <v>4.4999999999999998E-2</v>
      </c>
      <c r="K284" s="175">
        <f t="shared" si="156"/>
        <v>3.8296430163020645E-3</v>
      </c>
      <c r="L284" s="149">
        <f t="shared" si="166"/>
        <v>100487.23521143588</v>
      </c>
      <c r="M284" s="149">
        <f t="shared" si="167"/>
        <v>1306477.0208970071</v>
      </c>
      <c r="N284" s="149">
        <f t="shared" si="168"/>
        <v>1174462.7508817718</v>
      </c>
      <c r="P284" s="149">
        <f t="shared" si="169"/>
        <v>0</v>
      </c>
      <c r="Q284" s="149">
        <f t="shared" si="170"/>
        <v>0</v>
      </c>
      <c r="R284" s="176">
        <f t="shared" si="171"/>
        <v>0</v>
      </c>
      <c r="S284" s="113">
        <f t="shared" si="172"/>
        <v>0</v>
      </c>
      <c r="T284" s="113">
        <f t="shared" si="157"/>
        <v>0</v>
      </c>
      <c r="U284" s="114">
        <f t="shared" si="173"/>
        <v>43.666666666666664</v>
      </c>
      <c r="V284" s="114">
        <f t="shared" si="174"/>
        <v>0</v>
      </c>
      <c r="W284" s="114">
        <f t="shared" si="175"/>
        <v>1950.4444444444443</v>
      </c>
      <c r="X284" s="114"/>
      <c r="Y284" s="149">
        <f t="shared" si="176"/>
        <v>0</v>
      </c>
      <c r="Z284" s="149">
        <f t="shared" si="177"/>
        <v>0</v>
      </c>
      <c r="AA284" s="176">
        <f t="shared" si="178"/>
        <v>0</v>
      </c>
      <c r="AB284" s="113">
        <f t="shared" si="179"/>
        <v>0</v>
      </c>
      <c r="AC284" s="113">
        <f t="shared" si="158"/>
        <v>0</v>
      </c>
      <c r="AD284" s="114">
        <f t="shared" si="180"/>
        <v>43.666666666666664</v>
      </c>
      <c r="AE284" s="114">
        <f t="shared" si="181"/>
        <v>0</v>
      </c>
      <c r="AF284" s="114">
        <f t="shared" si="182"/>
        <v>1950.4444444444443</v>
      </c>
      <c r="AG284" s="114"/>
      <c r="AH284" s="176">
        <f t="shared" si="183"/>
        <v>26138834.493649628</v>
      </c>
      <c r="AI284" s="176">
        <f t="shared" si="184"/>
        <v>132014.27001523512</v>
      </c>
      <c r="AJ284" s="176">
        <f t="shared" si="185"/>
        <v>1174462.7508817718</v>
      </c>
      <c r="AK284" s="113">
        <f t="shared" si="186"/>
        <v>1306477.0208970068</v>
      </c>
      <c r="AL284" s="113">
        <f t="shared" si="159"/>
        <v>370985.44511816249</v>
      </c>
      <c r="AM284" s="114">
        <f t="shared" si="187"/>
        <v>43.666666666666664</v>
      </c>
      <c r="AN284" s="114">
        <f t="shared" si="188"/>
        <v>3.7010264294922951E-3</v>
      </c>
      <c r="AO284" s="114">
        <f t="shared" si="189"/>
        <v>1950.4444444444443</v>
      </c>
    </row>
    <row r="285" spans="1:41" hidden="1" outlineLevel="1" x14ac:dyDescent="0.3">
      <c r="A285" s="146">
        <f t="shared" si="160"/>
        <v>263</v>
      </c>
      <c r="B285" s="147">
        <f t="shared" si="153"/>
        <v>22</v>
      </c>
      <c r="C285" s="147">
        <f t="shared" si="152"/>
        <v>338</v>
      </c>
      <c r="D285" s="149">
        <f t="shared" si="161"/>
        <v>24967637.880664639</v>
      </c>
      <c r="E285" s="149">
        <f t="shared" si="162"/>
        <v>1205906.0581695032</v>
      </c>
      <c r="F285" s="149">
        <f t="shared" si="154"/>
        <v>130694.17246824827</v>
      </c>
      <c r="G285" s="149">
        <f t="shared" si="155"/>
        <v>126337.70005264001</v>
      </c>
      <c r="H285" s="149">
        <f t="shared" si="163"/>
        <v>4356.4724156082666</v>
      </c>
      <c r="I285" s="149">
        <f t="shared" si="164"/>
        <v>1075211.8857012549</v>
      </c>
      <c r="J285" s="147">
        <f t="shared" si="165"/>
        <v>4.4999999999999998E-2</v>
      </c>
      <c r="K285" s="175">
        <f t="shared" si="156"/>
        <v>3.8296430163020645E-3</v>
      </c>
      <c r="L285" s="149">
        <f t="shared" si="166"/>
        <v>95984.727283760134</v>
      </c>
      <c r="M285" s="149">
        <f t="shared" si="167"/>
        <v>1297534.3130376551</v>
      </c>
      <c r="N285" s="149">
        <f t="shared" si="168"/>
        <v>1171196.6129850151</v>
      </c>
      <c r="P285" s="149">
        <f t="shared" si="169"/>
        <v>0</v>
      </c>
      <c r="Q285" s="149">
        <f t="shared" si="170"/>
        <v>0</v>
      </c>
      <c r="R285" s="176">
        <f t="shared" si="171"/>
        <v>0</v>
      </c>
      <c r="S285" s="113">
        <f t="shared" si="172"/>
        <v>0</v>
      </c>
      <c r="T285" s="113">
        <f t="shared" si="157"/>
        <v>0</v>
      </c>
      <c r="U285" s="114">
        <f t="shared" si="173"/>
        <v>43.833333333333336</v>
      </c>
      <c r="V285" s="114">
        <f t="shared" si="174"/>
        <v>0</v>
      </c>
      <c r="W285" s="114">
        <f t="shared" si="175"/>
        <v>1965.1944444444446</v>
      </c>
      <c r="X285" s="114"/>
      <c r="Y285" s="149">
        <f t="shared" si="176"/>
        <v>0</v>
      </c>
      <c r="Z285" s="149">
        <f t="shared" si="177"/>
        <v>0</v>
      </c>
      <c r="AA285" s="176">
        <f t="shared" si="178"/>
        <v>0</v>
      </c>
      <c r="AB285" s="113">
        <f t="shared" si="179"/>
        <v>0</v>
      </c>
      <c r="AC285" s="113">
        <f t="shared" si="158"/>
        <v>0</v>
      </c>
      <c r="AD285" s="114">
        <f t="shared" si="180"/>
        <v>43.833333333333336</v>
      </c>
      <c r="AE285" s="114">
        <f t="shared" si="181"/>
        <v>0</v>
      </c>
      <c r="AF285" s="114">
        <f t="shared" si="182"/>
        <v>1965.1944444444446</v>
      </c>
      <c r="AG285" s="114"/>
      <c r="AH285" s="176">
        <f t="shared" si="183"/>
        <v>24967637.880664613</v>
      </c>
      <c r="AI285" s="176">
        <f t="shared" si="184"/>
        <v>126337.70005263988</v>
      </c>
      <c r="AJ285" s="176">
        <f t="shared" si="185"/>
        <v>1171196.6129850151</v>
      </c>
      <c r="AK285" s="113">
        <f t="shared" si="186"/>
        <v>1297534.3130376551</v>
      </c>
      <c r="AL285" s="113">
        <f t="shared" si="159"/>
        <v>366679.92568226316</v>
      </c>
      <c r="AM285" s="114">
        <f t="shared" si="187"/>
        <v>43.833333333333336</v>
      </c>
      <c r="AN285" s="114">
        <f t="shared" si="188"/>
        <v>3.6580736898777239E-3</v>
      </c>
      <c r="AO285" s="114">
        <f t="shared" si="189"/>
        <v>1965.1944444444446</v>
      </c>
    </row>
    <row r="286" spans="1:41" hidden="1" outlineLevel="1" x14ac:dyDescent="0.3">
      <c r="A286" s="146">
        <f t="shared" si="160"/>
        <v>264</v>
      </c>
      <c r="B286" s="147">
        <f t="shared" si="153"/>
        <v>21</v>
      </c>
      <c r="C286" s="147">
        <f t="shared" si="152"/>
        <v>339</v>
      </c>
      <c r="D286" s="149">
        <f t="shared" si="161"/>
        <v>23799693.47956498</v>
      </c>
      <c r="E286" s="149">
        <f t="shared" si="162"/>
        <v>1201287.868455518</v>
      </c>
      <c r="F286" s="149">
        <f t="shared" si="154"/>
        <v>124838.18940332319</v>
      </c>
      <c r="G286" s="149">
        <f t="shared" si="155"/>
        <v>120676.91642321243</v>
      </c>
      <c r="H286" s="149">
        <f t="shared" si="163"/>
        <v>4161.2729801107635</v>
      </c>
      <c r="I286" s="149">
        <f t="shared" si="164"/>
        <v>1076449.6790521948</v>
      </c>
      <c r="J286" s="147">
        <f t="shared" si="165"/>
        <v>4.4999999999999998E-2</v>
      </c>
      <c r="K286" s="175">
        <f t="shared" si="156"/>
        <v>3.8296430163020645E-3</v>
      </c>
      <c r="L286" s="149">
        <f t="shared" si="166"/>
        <v>91494.722047463365</v>
      </c>
      <c r="M286" s="149">
        <f t="shared" si="167"/>
        <v>1288621.3175228706</v>
      </c>
      <c r="N286" s="149">
        <f t="shared" si="168"/>
        <v>1167944.4010996581</v>
      </c>
      <c r="P286" s="149">
        <f t="shared" si="169"/>
        <v>0</v>
      </c>
      <c r="Q286" s="149">
        <f t="shared" si="170"/>
        <v>0</v>
      </c>
      <c r="R286" s="176">
        <f t="shared" si="171"/>
        <v>0</v>
      </c>
      <c r="S286" s="113">
        <f t="shared" si="172"/>
        <v>0</v>
      </c>
      <c r="T286" s="113">
        <f t="shared" si="157"/>
        <v>0</v>
      </c>
      <c r="U286" s="114">
        <f t="shared" si="173"/>
        <v>44</v>
      </c>
      <c r="V286" s="114">
        <f t="shared" si="174"/>
        <v>0</v>
      </c>
      <c r="W286" s="114">
        <f t="shared" si="175"/>
        <v>1980</v>
      </c>
      <c r="X286" s="114"/>
      <c r="Y286" s="149">
        <f t="shared" si="176"/>
        <v>0</v>
      </c>
      <c r="Z286" s="149">
        <f t="shared" si="177"/>
        <v>0</v>
      </c>
      <c r="AA286" s="176">
        <f t="shared" si="178"/>
        <v>0</v>
      </c>
      <c r="AB286" s="113">
        <f t="shared" si="179"/>
        <v>0</v>
      </c>
      <c r="AC286" s="113">
        <f t="shared" si="158"/>
        <v>0</v>
      </c>
      <c r="AD286" s="114">
        <f t="shared" si="180"/>
        <v>44</v>
      </c>
      <c r="AE286" s="114">
        <f t="shared" si="181"/>
        <v>0</v>
      </c>
      <c r="AF286" s="114">
        <f t="shared" si="182"/>
        <v>1980</v>
      </c>
      <c r="AG286" s="114"/>
      <c r="AH286" s="176">
        <f t="shared" si="183"/>
        <v>23799693.479564954</v>
      </c>
      <c r="AI286" s="176">
        <f t="shared" si="184"/>
        <v>120676.9164232123</v>
      </c>
      <c r="AJ286" s="176">
        <f t="shared" si="185"/>
        <v>1167944.4010996581</v>
      </c>
      <c r="AK286" s="113">
        <f t="shared" si="186"/>
        <v>1288621.3175228704</v>
      </c>
      <c r="AL286" s="113">
        <f t="shared" si="159"/>
        <v>362415.51546530542</v>
      </c>
      <c r="AM286" s="114">
        <f t="shared" si="187"/>
        <v>44</v>
      </c>
      <c r="AN286" s="114">
        <f t="shared" si="188"/>
        <v>3.6155310642118285E-3</v>
      </c>
      <c r="AO286" s="114">
        <f t="shared" si="189"/>
        <v>1980</v>
      </c>
    </row>
    <row r="287" spans="1:41" hidden="1" outlineLevel="1" x14ac:dyDescent="0.3">
      <c r="A287" s="146">
        <f t="shared" si="160"/>
        <v>265</v>
      </c>
      <c r="B287" s="147">
        <f t="shared" si="153"/>
        <v>20</v>
      </c>
      <c r="C287" s="147">
        <f t="shared" si="152"/>
        <v>340</v>
      </c>
      <c r="D287" s="149">
        <f t="shared" si="161"/>
        <v>22634987.416038666</v>
      </c>
      <c r="E287" s="149">
        <f t="shared" si="162"/>
        <v>1196687.364759519</v>
      </c>
      <c r="F287" s="149">
        <f t="shared" si="154"/>
        <v>118998.4673978249</v>
      </c>
      <c r="G287" s="149">
        <f t="shared" si="155"/>
        <v>115031.8518178974</v>
      </c>
      <c r="H287" s="149">
        <f t="shared" si="163"/>
        <v>3966.6155799275002</v>
      </c>
      <c r="I287" s="149">
        <f t="shared" si="164"/>
        <v>1077688.8973616941</v>
      </c>
      <c r="J287" s="147">
        <f t="shared" si="165"/>
        <v>4.4999999999999998E-2</v>
      </c>
      <c r="K287" s="175">
        <f t="shared" si="156"/>
        <v>3.8296430163020645E-3</v>
      </c>
      <c r="L287" s="149">
        <f t="shared" si="166"/>
        <v>87017.16616461832</v>
      </c>
      <c r="M287" s="149">
        <f t="shared" si="167"/>
        <v>1279737.9153442096</v>
      </c>
      <c r="N287" s="149">
        <f t="shared" si="168"/>
        <v>1164706.0635263124</v>
      </c>
      <c r="P287" s="149">
        <f t="shared" si="169"/>
        <v>0</v>
      </c>
      <c r="Q287" s="149">
        <f t="shared" si="170"/>
        <v>0</v>
      </c>
      <c r="R287" s="176">
        <f t="shared" si="171"/>
        <v>0</v>
      </c>
      <c r="S287" s="113">
        <f t="shared" si="172"/>
        <v>0</v>
      </c>
      <c r="T287" s="113">
        <f t="shared" si="157"/>
        <v>0</v>
      </c>
      <c r="U287" s="114">
        <f t="shared" si="173"/>
        <v>44.166666666666664</v>
      </c>
      <c r="V287" s="114">
        <f t="shared" si="174"/>
        <v>0</v>
      </c>
      <c r="W287" s="114">
        <f t="shared" si="175"/>
        <v>1994.8611111111109</v>
      </c>
      <c r="X287" s="114"/>
      <c r="Y287" s="149">
        <f t="shared" si="176"/>
        <v>0</v>
      </c>
      <c r="Z287" s="149">
        <f t="shared" si="177"/>
        <v>0</v>
      </c>
      <c r="AA287" s="176">
        <f t="shared" si="178"/>
        <v>0</v>
      </c>
      <c r="AB287" s="113">
        <f t="shared" si="179"/>
        <v>0</v>
      </c>
      <c r="AC287" s="113">
        <f t="shared" si="158"/>
        <v>0</v>
      </c>
      <c r="AD287" s="114">
        <f t="shared" si="180"/>
        <v>44.166666666666664</v>
      </c>
      <c r="AE287" s="114">
        <f t="shared" si="181"/>
        <v>0</v>
      </c>
      <c r="AF287" s="114">
        <f t="shared" si="182"/>
        <v>1994.8611111111109</v>
      </c>
      <c r="AG287" s="114"/>
      <c r="AH287" s="176">
        <f t="shared" si="183"/>
        <v>22634987.41603864</v>
      </c>
      <c r="AI287" s="176">
        <f t="shared" si="184"/>
        <v>115031.85181789729</v>
      </c>
      <c r="AJ287" s="176">
        <f t="shared" si="185"/>
        <v>1164706.0635263124</v>
      </c>
      <c r="AK287" s="113">
        <f t="shared" si="186"/>
        <v>1279737.9153442096</v>
      </c>
      <c r="AL287" s="113">
        <f t="shared" si="159"/>
        <v>358191.84591587289</v>
      </c>
      <c r="AM287" s="114">
        <f t="shared" si="187"/>
        <v>44.166666666666664</v>
      </c>
      <c r="AN287" s="114">
        <f t="shared" si="188"/>
        <v>3.573394875750546E-3</v>
      </c>
      <c r="AO287" s="114">
        <f t="shared" si="189"/>
        <v>1994.8611111111109</v>
      </c>
    </row>
    <row r="288" spans="1:41" hidden="1" outlineLevel="1" x14ac:dyDescent="0.3">
      <c r="A288" s="146">
        <f t="shared" si="160"/>
        <v>266</v>
      </c>
      <c r="B288" s="147">
        <f t="shared" si="153"/>
        <v>19</v>
      </c>
      <c r="C288" s="147">
        <f t="shared" si="152"/>
        <v>341</v>
      </c>
      <c r="D288" s="149">
        <f t="shared" si="161"/>
        <v>21473505.867273208</v>
      </c>
      <c r="E288" s="149">
        <f t="shared" si="162"/>
        <v>1192104.4793503708</v>
      </c>
      <c r="F288" s="149">
        <f t="shared" si="154"/>
        <v>113174.93708019333</v>
      </c>
      <c r="G288" s="149">
        <f t="shared" si="155"/>
        <v>109402.43917752022</v>
      </c>
      <c r="H288" s="149">
        <f t="shared" si="163"/>
        <v>3772.4979026731016</v>
      </c>
      <c r="I288" s="149">
        <f t="shared" si="164"/>
        <v>1078929.5422701775</v>
      </c>
      <c r="J288" s="147">
        <f t="shared" si="165"/>
        <v>4.4999999999999998E-2</v>
      </c>
      <c r="K288" s="175">
        <f t="shared" si="156"/>
        <v>3.8296430163020645E-3</v>
      </c>
      <c r="L288" s="149">
        <f t="shared" si="166"/>
        <v>82552.006495280628</v>
      </c>
      <c r="M288" s="149">
        <f t="shared" si="167"/>
        <v>1270883.9879429783</v>
      </c>
      <c r="N288" s="149">
        <f t="shared" si="168"/>
        <v>1161481.5487654582</v>
      </c>
      <c r="P288" s="149">
        <f t="shared" si="169"/>
        <v>0</v>
      </c>
      <c r="Q288" s="149">
        <f t="shared" si="170"/>
        <v>0</v>
      </c>
      <c r="R288" s="176">
        <f t="shared" si="171"/>
        <v>0</v>
      </c>
      <c r="S288" s="113">
        <f t="shared" si="172"/>
        <v>0</v>
      </c>
      <c r="T288" s="113">
        <f t="shared" si="157"/>
        <v>0</v>
      </c>
      <c r="U288" s="114">
        <f t="shared" si="173"/>
        <v>44.333333333333336</v>
      </c>
      <c r="V288" s="114">
        <f t="shared" si="174"/>
        <v>0</v>
      </c>
      <c r="W288" s="114">
        <f t="shared" si="175"/>
        <v>2009.7777777777781</v>
      </c>
      <c r="X288" s="114"/>
      <c r="Y288" s="149">
        <f t="shared" si="176"/>
        <v>0</v>
      </c>
      <c r="Z288" s="149">
        <f t="shared" si="177"/>
        <v>0</v>
      </c>
      <c r="AA288" s="176">
        <f t="shared" si="178"/>
        <v>0</v>
      </c>
      <c r="AB288" s="113">
        <f t="shared" si="179"/>
        <v>0</v>
      </c>
      <c r="AC288" s="113">
        <f t="shared" si="158"/>
        <v>0</v>
      </c>
      <c r="AD288" s="114">
        <f t="shared" si="180"/>
        <v>44.333333333333336</v>
      </c>
      <c r="AE288" s="114">
        <f t="shared" si="181"/>
        <v>0</v>
      </c>
      <c r="AF288" s="114">
        <f t="shared" si="182"/>
        <v>2009.7777777777781</v>
      </c>
      <c r="AG288" s="114"/>
      <c r="AH288" s="176">
        <f t="shared" si="183"/>
        <v>21473505.867273182</v>
      </c>
      <c r="AI288" s="176">
        <f t="shared" si="184"/>
        <v>109402.43917752009</v>
      </c>
      <c r="AJ288" s="176">
        <f t="shared" si="185"/>
        <v>1161481.5487654582</v>
      </c>
      <c r="AK288" s="113">
        <f t="shared" si="186"/>
        <v>1270883.9879429783</v>
      </c>
      <c r="AL288" s="113">
        <f t="shared" si="159"/>
        <v>354008.55170790711</v>
      </c>
      <c r="AM288" s="114">
        <f t="shared" si="187"/>
        <v>44.333333333333336</v>
      </c>
      <c r="AN288" s="114">
        <f t="shared" si="188"/>
        <v>3.5316614799266424E-3</v>
      </c>
      <c r="AO288" s="114">
        <f t="shared" si="189"/>
        <v>2009.7777777777781</v>
      </c>
    </row>
    <row r="289" spans="1:41" hidden="1" outlineLevel="1" x14ac:dyDescent="0.3">
      <c r="A289" s="146">
        <f t="shared" si="160"/>
        <v>267</v>
      </c>
      <c r="B289" s="147">
        <f t="shared" si="153"/>
        <v>18</v>
      </c>
      <c r="C289" s="147">
        <f t="shared" si="152"/>
        <v>342</v>
      </c>
      <c r="D289" s="149">
        <f t="shared" si="161"/>
        <v>20315235.061756525</v>
      </c>
      <c r="E289" s="149">
        <f t="shared" si="162"/>
        <v>1187539.1447563244</v>
      </c>
      <c r="F289" s="149">
        <f t="shared" si="154"/>
        <v>107367.52933636605</v>
      </c>
      <c r="G289" s="149">
        <f t="shared" si="155"/>
        <v>103788.61169182051</v>
      </c>
      <c r="H289" s="149">
        <f t="shared" si="163"/>
        <v>3578.9176445455378</v>
      </c>
      <c r="I289" s="149">
        <f t="shared" si="164"/>
        <v>1080171.6154199583</v>
      </c>
      <c r="J289" s="147">
        <f t="shared" si="165"/>
        <v>4.4999999999999998E-2</v>
      </c>
      <c r="K289" s="175">
        <f t="shared" si="156"/>
        <v>3.8296430163020645E-3</v>
      </c>
      <c r="L289" s="149">
        <f t="shared" si="166"/>
        <v>78099.190096723483</v>
      </c>
      <c r="M289" s="149">
        <f t="shared" si="167"/>
        <v>1262059.4172085021</v>
      </c>
      <c r="N289" s="149">
        <f t="shared" si="168"/>
        <v>1158270.8055166816</v>
      </c>
      <c r="P289" s="149">
        <f t="shared" si="169"/>
        <v>0</v>
      </c>
      <c r="Q289" s="149">
        <f t="shared" si="170"/>
        <v>0</v>
      </c>
      <c r="R289" s="176">
        <f t="shared" si="171"/>
        <v>0</v>
      </c>
      <c r="S289" s="113">
        <f t="shared" si="172"/>
        <v>0</v>
      </c>
      <c r="T289" s="113">
        <f t="shared" si="157"/>
        <v>0</v>
      </c>
      <c r="U289" s="114">
        <f t="shared" si="173"/>
        <v>44.5</v>
      </c>
      <c r="V289" s="114">
        <f t="shared" si="174"/>
        <v>0</v>
      </c>
      <c r="W289" s="114">
        <f t="shared" si="175"/>
        <v>2024.75</v>
      </c>
      <c r="X289" s="114"/>
      <c r="Y289" s="149">
        <f t="shared" si="176"/>
        <v>0</v>
      </c>
      <c r="Z289" s="149">
        <f t="shared" si="177"/>
        <v>0</v>
      </c>
      <c r="AA289" s="176">
        <f t="shared" si="178"/>
        <v>0</v>
      </c>
      <c r="AB289" s="113">
        <f t="shared" si="179"/>
        <v>0</v>
      </c>
      <c r="AC289" s="113">
        <f t="shared" si="158"/>
        <v>0</v>
      </c>
      <c r="AD289" s="114">
        <f t="shared" si="180"/>
        <v>44.5</v>
      </c>
      <c r="AE289" s="114">
        <f t="shared" si="181"/>
        <v>0</v>
      </c>
      <c r="AF289" s="114">
        <f t="shared" si="182"/>
        <v>2024.75</v>
      </c>
      <c r="AG289" s="114"/>
      <c r="AH289" s="176">
        <f t="shared" si="183"/>
        <v>20315235.061756499</v>
      </c>
      <c r="AI289" s="176">
        <f t="shared" si="184"/>
        <v>103788.61169182038</v>
      </c>
      <c r="AJ289" s="176">
        <f t="shared" si="185"/>
        <v>1158270.8055166816</v>
      </c>
      <c r="AK289" s="113">
        <f t="shared" si="186"/>
        <v>1262059.4172085021</v>
      </c>
      <c r="AL289" s="113">
        <f t="shared" si="159"/>
        <v>349865.27071275725</v>
      </c>
      <c r="AM289" s="114">
        <f t="shared" si="187"/>
        <v>44.5</v>
      </c>
      <c r="AN289" s="114">
        <f t="shared" si="188"/>
        <v>3.4903272640708729E-3</v>
      </c>
      <c r="AO289" s="114">
        <f t="shared" si="189"/>
        <v>2024.75</v>
      </c>
    </row>
    <row r="290" spans="1:41" hidden="1" outlineLevel="1" x14ac:dyDescent="0.3">
      <c r="A290" s="146">
        <f t="shared" si="160"/>
        <v>268</v>
      </c>
      <c r="B290" s="147">
        <f t="shared" si="153"/>
        <v>17</v>
      </c>
      <c r="C290" s="147">
        <f t="shared" si="152"/>
        <v>343</v>
      </c>
      <c r="D290" s="149">
        <f t="shared" si="161"/>
        <v>19160161.27907861</v>
      </c>
      <c r="E290" s="149">
        <f t="shared" si="162"/>
        <v>1182991.2937640229</v>
      </c>
      <c r="F290" s="149">
        <f t="shared" si="154"/>
        <v>101576.17530878262</v>
      </c>
      <c r="G290" s="149">
        <f t="shared" si="155"/>
        <v>98190.30279848988</v>
      </c>
      <c r="H290" s="149">
        <f t="shared" si="163"/>
        <v>3385.8725102927419</v>
      </c>
      <c r="I290" s="149">
        <f t="shared" si="164"/>
        <v>1081415.1184552403</v>
      </c>
      <c r="J290" s="147">
        <f t="shared" si="165"/>
        <v>4.4999999999999998E-2</v>
      </c>
      <c r="K290" s="175">
        <f t="shared" si="156"/>
        <v>3.8296430163020645E-3</v>
      </c>
      <c r="L290" s="149">
        <f t="shared" si="166"/>
        <v>73658.664222675143</v>
      </c>
      <c r="M290" s="149">
        <f t="shared" si="167"/>
        <v>1253264.0854764052</v>
      </c>
      <c r="N290" s="149">
        <f t="shared" si="168"/>
        <v>1155073.7826779154</v>
      </c>
      <c r="P290" s="149">
        <f t="shared" si="169"/>
        <v>0</v>
      </c>
      <c r="Q290" s="149">
        <f t="shared" si="170"/>
        <v>0</v>
      </c>
      <c r="R290" s="176">
        <f t="shared" si="171"/>
        <v>0</v>
      </c>
      <c r="S290" s="113">
        <f t="shared" si="172"/>
        <v>0</v>
      </c>
      <c r="T290" s="113">
        <f t="shared" si="157"/>
        <v>0</v>
      </c>
      <c r="U290" s="114">
        <f t="shared" si="173"/>
        <v>44.666666666666664</v>
      </c>
      <c r="V290" s="114">
        <f t="shared" si="174"/>
        <v>0</v>
      </c>
      <c r="W290" s="114">
        <f t="shared" si="175"/>
        <v>2039.7777777777776</v>
      </c>
      <c r="X290" s="114"/>
      <c r="Y290" s="149">
        <f t="shared" si="176"/>
        <v>0</v>
      </c>
      <c r="Z290" s="149">
        <f t="shared" si="177"/>
        <v>0</v>
      </c>
      <c r="AA290" s="176">
        <f t="shared" si="178"/>
        <v>0</v>
      </c>
      <c r="AB290" s="113">
        <f t="shared" si="179"/>
        <v>0</v>
      </c>
      <c r="AC290" s="113">
        <f t="shared" si="158"/>
        <v>0</v>
      </c>
      <c r="AD290" s="114">
        <f t="shared" si="180"/>
        <v>44.666666666666664</v>
      </c>
      <c r="AE290" s="114">
        <f t="shared" si="181"/>
        <v>0</v>
      </c>
      <c r="AF290" s="114">
        <f t="shared" si="182"/>
        <v>2039.7777777777776</v>
      </c>
      <c r="AG290" s="114"/>
      <c r="AH290" s="176">
        <f t="shared" si="183"/>
        <v>19160161.279078584</v>
      </c>
      <c r="AI290" s="176">
        <f t="shared" si="184"/>
        <v>98190.302798489749</v>
      </c>
      <c r="AJ290" s="176">
        <f t="shared" si="185"/>
        <v>1155073.7826779154</v>
      </c>
      <c r="AK290" s="113">
        <f t="shared" si="186"/>
        <v>1253264.0854764052</v>
      </c>
      <c r="AL290" s="113">
        <f t="shared" si="159"/>
        <v>345761.64397147141</v>
      </c>
      <c r="AM290" s="114">
        <f t="shared" si="187"/>
        <v>44.666666666666664</v>
      </c>
      <c r="AN290" s="114">
        <f t="shared" si="188"/>
        <v>3.4493886471355568E-3</v>
      </c>
      <c r="AO290" s="114">
        <f t="shared" si="189"/>
        <v>2039.7777777777776</v>
      </c>
    </row>
    <row r="291" spans="1:41" hidden="1" outlineLevel="1" x14ac:dyDescent="0.3">
      <c r="A291" s="146">
        <f t="shared" si="160"/>
        <v>269</v>
      </c>
      <c r="B291" s="147">
        <f t="shared" si="153"/>
        <v>16</v>
      </c>
      <c r="C291" s="147">
        <f t="shared" si="152"/>
        <v>344</v>
      </c>
      <c r="D291" s="149">
        <f t="shared" si="161"/>
        <v>18008270.84973393</v>
      </c>
      <c r="E291" s="149">
        <f t="shared" si="162"/>
        <v>1178460.8594175132</v>
      </c>
      <c r="F291" s="149">
        <f t="shared" si="154"/>
        <v>95800.806395393054</v>
      </c>
      <c r="G291" s="149">
        <f t="shared" si="155"/>
        <v>92607.446182213287</v>
      </c>
      <c r="H291" s="149">
        <f t="shared" si="163"/>
        <v>3193.360213179767</v>
      </c>
      <c r="I291" s="149">
        <f t="shared" si="164"/>
        <v>1082660.0530221201</v>
      </c>
      <c r="J291" s="147">
        <f t="shared" si="165"/>
        <v>4.4999999999999998E-2</v>
      </c>
      <c r="K291" s="175">
        <f t="shared" si="156"/>
        <v>3.8296430163020645E-3</v>
      </c>
      <c r="L291" s="149">
        <f t="shared" si="166"/>
        <v>69230.376322559241</v>
      </c>
      <c r="M291" s="149">
        <f t="shared" si="167"/>
        <v>1244497.8755268927</v>
      </c>
      <c r="N291" s="149">
        <f t="shared" si="168"/>
        <v>1151890.4293446795</v>
      </c>
      <c r="P291" s="149">
        <f t="shared" si="169"/>
        <v>0</v>
      </c>
      <c r="Q291" s="149">
        <f t="shared" si="170"/>
        <v>0</v>
      </c>
      <c r="R291" s="176">
        <f t="shared" si="171"/>
        <v>0</v>
      </c>
      <c r="S291" s="113">
        <f t="shared" si="172"/>
        <v>0</v>
      </c>
      <c r="T291" s="113">
        <f t="shared" si="157"/>
        <v>0</v>
      </c>
      <c r="U291" s="114">
        <f t="shared" si="173"/>
        <v>44.833333333333336</v>
      </c>
      <c r="V291" s="114">
        <f t="shared" si="174"/>
        <v>0</v>
      </c>
      <c r="W291" s="114">
        <f t="shared" si="175"/>
        <v>2054.8611111111113</v>
      </c>
      <c r="X291" s="114"/>
      <c r="Y291" s="149">
        <f t="shared" si="176"/>
        <v>0</v>
      </c>
      <c r="Z291" s="149">
        <f t="shared" si="177"/>
        <v>0</v>
      </c>
      <c r="AA291" s="176">
        <f t="shared" si="178"/>
        <v>0</v>
      </c>
      <c r="AB291" s="113">
        <f t="shared" si="179"/>
        <v>0</v>
      </c>
      <c r="AC291" s="113">
        <f t="shared" si="158"/>
        <v>0</v>
      </c>
      <c r="AD291" s="114">
        <f t="shared" si="180"/>
        <v>44.833333333333336</v>
      </c>
      <c r="AE291" s="114">
        <f t="shared" si="181"/>
        <v>0</v>
      </c>
      <c r="AF291" s="114">
        <f t="shared" si="182"/>
        <v>2054.8611111111113</v>
      </c>
      <c r="AG291" s="114"/>
      <c r="AH291" s="176">
        <f t="shared" si="183"/>
        <v>18008270.849733904</v>
      </c>
      <c r="AI291" s="176">
        <f t="shared" si="184"/>
        <v>92607.446182213156</v>
      </c>
      <c r="AJ291" s="176">
        <f t="shared" si="185"/>
        <v>1151890.4293446795</v>
      </c>
      <c r="AK291" s="113">
        <f t="shared" si="186"/>
        <v>1244497.8755268927</v>
      </c>
      <c r="AL291" s="113">
        <f t="shared" si="159"/>
        <v>341697.31566732447</v>
      </c>
      <c r="AM291" s="114">
        <f t="shared" si="187"/>
        <v>44.833333333333336</v>
      </c>
      <c r="AN291" s="114">
        <f t="shared" si="188"/>
        <v>3.4088420794205071E-3</v>
      </c>
      <c r="AO291" s="114">
        <f t="shared" si="189"/>
        <v>2054.8611111111113</v>
      </c>
    </row>
    <row r="292" spans="1:41" hidden="1" outlineLevel="1" x14ac:dyDescent="0.3">
      <c r="A292" s="146">
        <f t="shared" si="160"/>
        <v>270</v>
      </c>
      <c r="B292" s="147">
        <f t="shared" si="153"/>
        <v>15</v>
      </c>
      <c r="C292" s="147">
        <f t="shared" si="152"/>
        <v>345</v>
      </c>
      <c r="D292" s="149">
        <f t="shared" si="161"/>
        <v>16859550.154924601</v>
      </c>
      <c r="E292" s="149">
        <f t="shared" si="162"/>
        <v>1173947.7750172596</v>
      </c>
      <c r="F292" s="149">
        <f t="shared" si="154"/>
        <v>90041.354248669653</v>
      </c>
      <c r="G292" s="149">
        <f t="shared" si="155"/>
        <v>87039.975773714003</v>
      </c>
      <c r="H292" s="149">
        <f t="shared" si="163"/>
        <v>3001.3784749556507</v>
      </c>
      <c r="I292" s="149">
        <f t="shared" si="164"/>
        <v>1083906.4207685899</v>
      </c>
      <c r="J292" s="147">
        <f t="shared" si="165"/>
        <v>4.4999999999999998E-2</v>
      </c>
      <c r="K292" s="175">
        <f t="shared" si="156"/>
        <v>3.8296430163020645E-3</v>
      </c>
      <c r="L292" s="149">
        <f t="shared" si="166"/>
        <v>64814.274040738193</v>
      </c>
      <c r="M292" s="149">
        <f t="shared" si="167"/>
        <v>1235760.6705830421</v>
      </c>
      <c r="N292" s="149">
        <f t="shared" si="168"/>
        <v>1148720.6948093281</v>
      </c>
      <c r="P292" s="149">
        <f t="shared" si="169"/>
        <v>0</v>
      </c>
      <c r="Q292" s="149">
        <f t="shared" si="170"/>
        <v>0</v>
      </c>
      <c r="R292" s="176">
        <f t="shared" si="171"/>
        <v>0</v>
      </c>
      <c r="S292" s="113">
        <f t="shared" si="172"/>
        <v>0</v>
      </c>
      <c r="T292" s="113">
        <f t="shared" si="157"/>
        <v>0</v>
      </c>
      <c r="U292" s="114">
        <f t="shared" si="173"/>
        <v>45</v>
      </c>
      <c r="V292" s="114">
        <f t="shared" si="174"/>
        <v>0</v>
      </c>
      <c r="W292" s="114">
        <f t="shared" si="175"/>
        <v>2070</v>
      </c>
      <c r="X292" s="114"/>
      <c r="Y292" s="149">
        <f t="shared" si="176"/>
        <v>0</v>
      </c>
      <c r="Z292" s="149">
        <f t="shared" si="177"/>
        <v>0</v>
      </c>
      <c r="AA292" s="176">
        <f t="shared" si="178"/>
        <v>0</v>
      </c>
      <c r="AB292" s="113">
        <f t="shared" si="179"/>
        <v>0</v>
      </c>
      <c r="AC292" s="113">
        <f t="shared" si="158"/>
        <v>0</v>
      </c>
      <c r="AD292" s="114">
        <f t="shared" si="180"/>
        <v>45</v>
      </c>
      <c r="AE292" s="114">
        <f t="shared" si="181"/>
        <v>0</v>
      </c>
      <c r="AF292" s="114">
        <f t="shared" si="182"/>
        <v>2070</v>
      </c>
      <c r="AG292" s="114"/>
      <c r="AH292" s="176">
        <f t="shared" si="183"/>
        <v>16859550.154924575</v>
      </c>
      <c r="AI292" s="176">
        <f t="shared" si="184"/>
        <v>87039.975773713872</v>
      </c>
      <c r="AJ292" s="176">
        <f t="shared" si="185"/>
        <v>1148720.6948093281</v>
      </c>
      <c r="AK292" s="113">
        <f t="shared" si="186"/>
        <v>1235760.6705830419</v>
      </c>
      <c r="AL292" s="113">
        <f t="shared" si="159"/>
        <v>337671.93309858633</v>
      </c>
      <c r="AM292" s="114">
        <f t="shared" si="187"/>
        <v>45</v>
      </c>
      <c r="AN292" s="114">
        <f t="shared" si="188"/>
        <v>3.3686840423013628E-3</v>
      </c>
      <c r="AO292" s="114">
        <f t="shared" si="189"/>
        <v>2070</v>
      </c>
    </row>
    <row r="293" spans="1:41" hidden="1" outlineLevel="1" x14ac:dyDescent="0.3">
      <c r="A293" s="146">
        <f t="shared" si="160"/>
        <v>271</v>
      </c>
      <c r="B293" s="147">
        <f t="shared" si="153"/>
        <v>14</v>
      </c>
      <c r="C293" s="147">
        <f t="shared" si="152"/>
        <v>346</v>
      </c>
      <c r="D293" s="149">
        <f t="shared" si="161"/>
        <v>15713985.626364304</v>
      </c>
      <c r="E293" s="149">
        <f t="shared" si="162"/>
        <v>1169451.9741191615</v>
      </c>
      <c r="F293" s="149">
        <f t="shared" si="154"/>
        <v>84297.750774623011</v>
      </c>
      <c r="G293" s="149">
        <f t="shared" si="155"/>
        <v>81487.82574880225</v>
      </c>
      <c r="H293" s="149">
        <f t="shared" si="163"/>
        <v>2809.9250258207612</v>
      </c>
      <c r="I293" s="149">
        <f t="shared" si="164"/>
        <v>1085154.2233445384</v>
      </c>
      <c r="J293" s="147">
        <f t="shared" si="165"/>
        <v>4.4999999999999998E-2</v>
      </c>
      <c r="K293" s="175">
        <f t="shared" si="156"/>
        <v>3.8296430163020645E-3</v>
      </c>
      <c r="L293" s="149">
        <f t="shared" si="166"/>
        <v>60410.30521575929</v>
      </c>
      <c r="M293" s="149">
        <f t="shared" si="167"/>
        <v>1227052.3543090997</v>
      </c>
      <c r="N293" s="149">
        <f t="shared" si="168"/>
        <v>1145564.5285602976</v>
      </c>
      <c r="P293" s="149">
        <f t="shared" si="169"/>
        <v>0</v>
      </c>
      <c r="Q293" s="149">
        <f t="shared" si="170"/>
        <v>0</v>
      </c>
      <c r="R293" s="176">
        <f t="shared" si="171"/>
        <v>0</v>
      </c>
      <c r="S293" s="113">
        <f t="shared" si="172"/>
        <v>0</v>
      </c>
      <c r="T293" s="113">
        <f t="shared" si="157"/>
        <v>0</v>
      </c>
      <c r="U293" s="114">
        <f t="shared" si="173"/>
        <v>45.166666666666664</v>
      </c>
      <c r="V293" s="114">
        <f t="shared" si="174"/>
        <v>0</v>
      </c>
      <c r="W293" s="114">
        <f t="shared" si="175"/>
        <v>2085.1944444444443</v>
      </c>
      <c r="X293" s="114"/>
      <c r="Y293" s="149">
        <f t="shared" si="176"/>
        <v>0</v>
      </c>
      <c r="Z293" s="149">
        <f t="shared" si="177"/>
        <v>0</v>
      </c>
      <c r="AA293" s="176">
        <f t="shared" si="178"/>
        <v>0</v>
      </c>
      <c r="AB293" s="113">
        <f t="shared" si="179"/>
        <v>0</v>
      </c>
      <c r="AC293" s="113">
        <f t="shared" si="158"/>
        <v>0</v>
      </c>
      <c r="AD293" s="114">
        <f t="shared" si="180"/>
        <v>45.166666666666664</v>
      </c>
      <c r="AE293" s="114">
        <f t="shared" si="181"/>
        <v>0</v>
      </c>
      <c r="AF293" s="114">
        <f t="shared" si="182"/>
        <v>2085.1944444444443</v>
      </c>
      <c r="AG293" s="114"/>
      <c r="AH293" s="176">
        <f t="shared" si="183"/>
        <v>15713985.626364278</v>
      </c>
      <c r="AI293" s="176">
        <f t="shared" si="184"/>
        <v>81487.825748802119</v>
      </c>
      <c r="AJ293" s="176">
        <f t="shared" si="185"/>
        <v>1145564.5285602976</v>
      </c>
      <c r="AK293" s="113">
        <f t="shared" si="186"/>
        <v>1227052.3543090997</v>
      </c>
      <c r="AL293" s="113">
        <f t="shared" si="159"/>
        <v>333685.14665152365</v>
      </c>
      <c r="AM293" s="114">
        <f t="shared" si="187"/>
        <v>45.166666666666664</v>
      </c>
      <c r="AN293" s="114">
        <f t="shared" si="188"/>
        <v>3.3289110479602481E-3</v>
      </c>
      <c r="AO293" s="114">
        <f t="shared" si="189"/>
        <v>2085.1944444444443</v>
      </c>
    </row>
    <row r="294" spans="1:41" hidden="1" outlineLevel="1" x14ac:dyDescent="0.3">
      <c r="A294" s="146">
        <f t="shared" si="160"/>
        <v>272</v>
      </c>
      <c r="B294" s="147">
        <f t="shared" si="153"/>
        <v>13</v>
      </c>
      <c r="C294" s="147">
        <f t="shared" si="152"/>
        <v>347</v>
      </c>
      <c r="D294" s="149">
        <f t="shared" si="161"/>
        <v>14571563.746082947</v>
      </c>
      <c r="E294" s="149">
        <f t="shared" si="162"/>
        <v>1164973.3905335753</v>
      </c>
      <c r="F294" s="149">
        <f t="shared" si="154"/>
        <v>78569.928131821522</v>
      </c>
      <c r="G294" s="149">
        <f t="shared" si="155"/>
        <v>75950.930527427467</v>
      </c>
      <c r="H294" s="149">
        <f t="shared" si="163"/>
        <v>2618.9976043940551</v>
      </c>
      <c r="I294" s="149">
        <f t="shared" si="164"/>
        <v>1086403.4624017538</v>
      </c>
      <c r="J294" s="147">
        <f t="shared" si="165"/>
        <v>4.4999999999999998E-2</v>
      </c>
      <c r="K294" s="175">
        <f t="shared" si="156"/>
        <v>3.8296430163020645E-3</v>
      </c>
      <c r="L294" s="149">
        <f t="shared" si="166"/>
        <v>56018.417879603825</v>
      </c>
      <c r="M294" s="149">
        <f t="shared" si="167"/>
        <v>1218372.810808785</v>
      </c>
      <c r="N294" s="149">
        <f t="shared" si="168"/>
        <v>1142421.8802813576</v>
      </c>
      <c r="P294" s="149">
        <f t="shared" si="169"/>
        <v>0</v>
      </c>
      <c r="Q294" s="149">
        <f t="shared" si="170"/>
        <v>0</v>
      </c>
      <c r="R294" s="176">
        <f t="shared" si="171"/>
        <v>0</v>
      </c>
      <c r="S294" s="113">
        <f t="shared" si="172"/>
        <v>0</v>
      </c>
      <c r="T294" s="113">
        <f t="shared" si="157"/>
        <v>0</v>
      </c>
      <c r="U294" s="114">
        <f t="shared" si="173"/>
        <v>45.333333333333336</v>
      </c>
      <c r="V294" s="114">
        <f t="shared" si="174"/>
        <v>0</v>
      </c>
      <c r="W294" s="114">
        <f t="shared" si="175"/>
        <v>2100.4444444444448</v>
      </c>
      <c r="X294" s="114"/>
      <c r="Y294" s="149">
        <f t="shared" si="176"/>
        <v>0</v>
      </c>
      <c r="Z294" s="149">
        <f t="shared" si="177"/>
        <v>0</v>
      </c>
      <c r="AA294" s="176">
        <f t="shared" si="178"/>
        <v>0</v>
      </c>
      <c r="AB294" s="113">
        <f t="shared" si="179"/>
        <v>0</v>
      </c>
      <c r="AC294" s="113">
        <f t="shared" si="158"/>
        <v>0</v>
      </c>
      <c r="AD294" s="114">
        <f t="shared" si="180"/>
        <v>45.333333333333336</v>
      </c>
      <c r="AE294" s="114">
        <f t="shared" si="181"/>
        <v>0</v>
      </c>
      <c r="AF294" s="114">
        <f t="shared" si="182"/>
        <v>2100.4444444444448</v>
      </c>
      <c r="AG294" s="114"/>
      <c r="AH294" s="176">
        <f t="shared" si="183"/>
        <v>14571563.746082921</v>
      </c>
      <c r="AI294" s="176">
        <f t="shared" si="184"/>
        <v>75950.93052742735</v>
      </c>
      <c r="AJ294" s="176">
        <f t="shared" si="185"/>
        <v>1142421.8802813576</v>
      </c>
      <c r="AK294" s="113">
        <f t="shared" si="186"/>
        <v>1218372.8108087848</v>
      </c>
      <c r="AL294" s="113">
        <f t="shared" si="159"/>
        <v>329736.60977363313</v>
      </c>
      <c r="AM294" s="114">
        <f t="shared" si="187"/>
        <v>45.333333333333336</v>
      </c>
      <c r="AN294" s="114">
        <f t="shared" si="188"/>
        <v>3.2895196391187417E-3</v>
      </c>
      <c r="AO294" s="114">
        <f t="shared" si="189"/>
        <v>2100.4444444444448</v>
      </c>
    </row>
    <row r="295" spans="1:41" hidden="1" outlineLevel="1" x14ac:dyDescent="0.3">
      <c r="A295" s="146">
        <f t="shared" si="160"/>
        <v>273</v>
      </c>
      <c r="B295" s="147">
        <f t="shared" si="153"/>
        <v>12</v>
      </c>
      <c r="C295" s="147">
        <f t="shared" si="152"/>
        <v>348</v>
      </c>
      <c r="D295" s="149">
        <f t="shared" si="161"/>
        <v>13432271.046232082</v>
      </c>
      <c r="E295" s="149">
        <f t="shared" si="162"/>
        <v>1160511.9583243406</v>
      </c>
      <c r="F295" s="149">
        <f t="shared" si="154"/>
        <v>72857.818730414729</v>
      </c>
      <c r="G295" s="149">
        <f t="shared" si="155"/>
        <v>70429.224772734247</v>
      </c>
      <c r="H295" s="149">
        <f t="shared" si="163"/>
        <v>2428.5939576804813</v>
      </c>
      <c r="I295" s="149">
        <f t="shared" si="164"/>
        <v>1087654.1395939258</v>
      </c>
      <c r="J295" s="147">
        <f t="shared" si="165"/>
        <v>4.4999999999999998E-2</v>
      </c>
      <c r="K295" s="175">
        <f t="shared" si="156"/>
        <v>3.8296430163020645E-3</v>
      </c>
      <c r="L295" s="149">
        <f t="shared" si="166"/>
        <v>51638.560256938996</v>
      </c>
      <c r="M295" s="149">
        <f t="shared" si="167"/>
        <v>1209721.924623599</v>
      </c>
      <c r="N295" s="149">
        <f t="shared" si="168"/>
        <v>1139292.6998508647</v>
      </c>
      <c r="P295" s="149">
        <f t="shared" si="169"/>
        <v>0</v>
      </c>
      <c r="Q295" s="149">
        <f t="shared" si="170"/>
        <v>0</v>
      </c>
      <c r="R295" s="176">
        <f t="shared" si="171"/>
        <v>0</v>
      </c>
      <c r="S295" s="113">
        <f t="shared" si="172"/>
        <v>0</v>
      </c>
      <c r="T295" s="113">
        <f t="shared" si="157"/>
        <v>0</v>
      </c>
      <c r="U295" s="114">
        <f t="shared" si="173"/>
        <v>45.5</v>
      </c>
      <c r="V295" s="114">
        <f t="shared" si="174"/>
        <v>0</v>
      </c>
      <c r="W295" s="114">
        <f t="shared" si="175"/>
        <v>2115.75</v>
      </c>
      <c r="X295" s="114"/>
      <c r="Y295" s="149">
        <f t="shared" si="176"/>
        <v>0</v>
      </c>
      <c r="Z295" s="149">
        <f t="shared" si="177"/>
        <v>0</v>
      </c>
      <c r="AA295" s="176">
        <f t="shared" si="178"/>
        <v>0</v>
      </c>
      <c r="AB295" s="113">
        <f t="shared" si="179"/>
        <v>0</v>
      </c>
      <c r="AC295" s="113">
        <f t="shared" si="158"/>
        <v>0</v>
      </c>
      <c r="AD295" s="114">
        <f t="shared" si="180"/>
        <v>45.5</v>
      </c>
      <c r="AE295" s="114">
        <f t="shared" si="181"/>
        <v>0</v>
      </c>
      <c r="AF295" s="114">
        <f t="shared" si="182"/>
        <v>2115.75</v>
      </c>
      <c r="AG295" s="114"/>
      <c r="AH295" s="176">
        <f t="shared" si="183"/>
        <v>13432271.046232056</v>
      </c>
      <c r="AI295" s="176">
        <f t="shared" si="184"/>
        <v>70429.224772734116</v>
      </c>
      <c r="AJ295" s="176">
        <f t="shared" si="185"/>
        <v>1139292.6998508647</v>
      </c>
      <c r="AK295" s="113">
        <f t="shared" si="186"/>
        <v>1209721.9246235988</v>
      </c>
      <c r="AL295" s="113">
        <f t="shared" si="159"/>
        <v>325825.97894710902</v>
      </c>
      <c r="AM295" s="114">
        <f t="shared" si="187"/>
        <v>45.5</v>
      </c>
      <c r="AN295" s="114">
        <f t="shared" si="188"/>
        <v>3.250506388773184E-3</v>
      </c>
      <c r="AO295" s="114">
        <f t="shared" si="189"/>
        <v>2115.75</v>
      </c>
    </row>
    <row r="296" spans="1:41" hidden="1" outlineLevel="1" x14ac:dyDescent="0.3">
      <c r="A296" s="146">
        <f t="shared" si="160"/>
        <v>274</v>
      </c>
      <c r="B296" s="147">
        <f t="shared" si="153"/>
        <v>11</v>
      </c>
      <c r="C296" s="147">
        <f t="shared" si="152"/>
        <v>349</v>
      </c>
      <c r="D296" s="149">
        <f t="shared" si="161"/>
        <v>12296094.108891061</v>
      </c>
      <c r="E296" s="149">
        <f t="shared" si="162"/>
        <v>1156067.6118078087</v>
      </c>
      <c r="F296" s="149">
        <f t="shared" si="154"/>
        <v>67161.355231160414</v>
      </c>
      <c r="G296" s="149">
        <f t="shared" si="155"/>
        <v>64922.643390121731</v>
      </c>
      <c r="H296" s="149">
        <f t="shared" si="163"/>
        <v>2238.7118410386829</v>
      </c>
      <c r="I296" s="149">
        <f t="shared" si="164"/>
        <v>1088906.2565766484</v>
      </c>
      <c r="J296" s="147">
        <f t="shared" si="165"/>
        <v>4.4999999999999998E-2</v>
      </c>
      <c r="K296" s="175">
        <f t="shared" si="156"/>
        <v>3.8296430163020645E-3</v>
      </c>
      <c r="L296" s="149">
        <f t="shared" si="166"/>
        <v>47270.680764372737</v>
      </c>
      <c r="M296" s="149">
        <f t="shared" si="167"/>
        <v>1201099.5807311428</v>
      </c>
      <c r="N296" s="149">
        <f t="shared" si="168"/>
        <v>1136176.9373410211</v>
      </c>
      <c r="P296" s="149">
        <f t="shared" si="169"/>
        <v>0</v>
      </c>
      <c r="Q296" s="149">
        <f t="shared" si="170"/>
        <v>0</v>
      </c>
      <c r="R296" s="176">
        <f t="shared" si="171"/>
        <v>0</v>
      </c>
      <c r="S296" s="113">
        <f t="shared" si="172"/>
        <v>0</v>
      </c>
      <c r="T296" s="113">
        <f t="shared" si="157"/>
        <v>0</v>
      </c>
      <c r="U296" s="114">
        <f t="shared" si="173"/>
        <v>45.666666666666664</v>
      </c>
      <c r="V296" s="114">
        <f t="shared" si="174"/>
        <v>0</v>
      </c>
      <c r="W296" s="114">
        <f t="shared" si="175"/>
        <v>2131.1111111111109</v>
      </c>
      <c r="X296" s="114"/>
      <c r="Y296" s="149">
        <f t="shared" si="176"/>
        <v>0</v>
      </c>
      <c r="Z296" s="149">
        <f t="shared" si="177"/>
        <v>0</v>
      </c>
      <c r="AA296" s="176">
        <f t="shared" si="178"/>
        <v>0</v>
      </c>
      <c r="AB296" s="113">
        <f t="shared" si="179"/>
        <v>0</v>
      </c>
      <c r="AC296" s="113">
        <f t="shared" si="158"/>
        <v>0</v>
      </c>
      <c r="AD296" s="114">
        <f t="shared" si="180"/>
        <v>45.666666666666664</v>
      </c>
      <c r="AE296" s="114">
        <f t="shared" si="181"/>
        <v>0</v>
      </c>
      <c r="AF296" s="114">
        <f t="shared" si="182"/>
        <v>2131.1111111111109</v>
      </c>
      <c r="AG296" s="114"/>
      <c r="AH296" s="176">
        <f t="shared" si="183"/>
        <v>12296094.108891034</v>
      </c>
      <c r="AI296" s="176">
        <f t="shared" si="184"/>
        <v>64922.643390121608</v>
      </c>
      <c r="AJ296" s="176">
        <f t="shared" si="185"/>
        <v>1136176.9373410211</v>
      </c>
      <c r="AK296" s="113">
        <f t="shared" si="186"/>
        <v>1201099.5807311428</v>
      </c>
      <c r="AL296" s="113">
        <f t="shared" si="159"/>
        <v>321952.91366253706</v>
      </c>
      <c r="AM296" s="114">
        <f t="shared" si="187"/>
        <v>45.666666666666664</v>
      </c>
      <c r="AN296" s="114">
        <f t="shared" si="188"/>
        <v>3.2118678999322422E-3</v>
      </c>
      <c r="AO296" s="114">
        <f t="shared" si="189"/>
        <v>2131.1111111111109</v>
      </c>
    </row>
    <row r="297" spans="1:41" hidden="1" outlineLevel="1" x14ac:dyDescent="0.3">
      <c r="A297" s="146">
        <f t="shared" si="160"/>
        <v>275</v>
      </c>
      <c r="B297" s="147">
        <f t="shared" si="153"/>
        <v>10</v>
      </c>
      <c r="C297" s="147">
        <f t="shared" si="152"/>
        <v>350</v>
      </c>
      <c r="D297" s="149">
        <f t="shared" si="161"/>
        <v>11163019.565873928</v>
      </c>
      <c r="E297" s="149">
        <f t="shared" si="162"/>
        <v>1151640.2855518761</v>
      </c>
      <c r="F297" s="149">
        <f t="shared" si="154"/>
        <v>61480.470544455304</v>
      </c>
      <c r="G297" s="149">
        <f t="shared" si="155"/>
        <v>59431.121526306793</v>
      </c>
      <c r="H297" s="149">
        <f t="shared" si="163"/>
        <v>2049.3490181485104</v>
      </c>
      <c r="I297" s="149">
        <f t="shared" si="164"/>
        <v>1090159.8150074207</v>
      </c>
      <c r="J297" s="147">
        <f t="shared" si="165"/>
        <v>4.4999999999999998E-2</v>
      </c>
      <c r="K297" s="175">
        <f t="shared" si="156"/>
        <v>3.8296430163020645E-3</v>
      </c>
      <c r="L297" s="149">
        <f t="shared" si="166"/>
        <v>42914.728009711289</v>
      </c>
      <c r="M297" s="149">
        <f t="shared" si="167"/>
        <v>1192505.6645434387</v>
      </c>
      <c r="N297" s="149">
        <f t="shared" si="168"/>
        <v>1133074.543017132</v>
      </c>
      <c r="P297" s="149">
        <f t="shared" si="169"/>
        <v>0</v>
      </c>
      <c r="Q297" s="149">
        <f t="shared" si="170"/>
        <v>0</v>
      </c>
      <c r="R297" s="176">
        <f t="shared" si="171"/>
        <v>0</v>
      </c>
      <c r="S297" s="113">
        <f t="shared" si="172"/>
        <v>0</v>
      </c>
      <c r="T297" s="113">
        <f t="shared" si="157"/>
        <v>0</v>
      </c>
      <c r="U297" s="114">
        <f t="shared" si="173"/>
        <v>45.833333333333336</v>
      </c>
      <c r="V297" s="114">
        <f t="shared" si="174"/>
        <v>0</v>
      </c>
      <c r="W297" s="114">
        <f t="shared" si="175"/>
        <v>2146.5277777777778</v>
      </c>
      <c r="X297" s="114"/>
      <c r="Y297" s="149">
        <f t="shared" si="176"/>
        <v>0</v>
      </c>
      <c r="Z297" s="149">
        <f t="shared" si="177"/>
        <v>0</v>
      </c>
      <c r="AA297" s="176">
        <f t="shared" si="178"/>
        <v>0</v>
      </c>
      <c r="AB297" s="113">
        <f t="shared" si="179"/>
        <v>0</v>
      </c>
      <c r="AC297" s="113">
        <f t="shared" si="158"/>
        <v>0</v>
      </c>
      <c r="AD297" s="114">
        <f t="shared" si="180"/>
        <v>45.833333333333336</v>
      </c>
      <c r="AE297" s="114">
        <f t="shared" si="181"/>
        <v>0</v>
      </c>
      <c r="AF297" s="114">
        <f t="shared" si="182"/>
        <v>2146.5277777777778</v>
      </c>
      <c r="AG297" s="114"/>
      <c r="AH297" s="176">
        <f t="shared" si="183"/>
        <v>11163019.565873902</v>
      </c>
      <c r="AI297" s="176">
        <f t="shared" si="184"/>
        <v>59431.12152630667</v>
      </c>
      <c r="AJ297" s="176">
        <f t="shared" si="185"/>
        <v>1133074.543017132</v>
      </c>
      <c r="AK297" s="113">
        <f t="shared" si="186"/>
        <v>1192505.6645434387</v>
      </c>
      <c r="AL297" s="113">
        <f t="shared" si="159"/>
        <v>318117.07639281632</v>
      </c>
      <c r="AM297" s="114">
        <f t="shared" si="187"/>
        <v>45.833333333333336</v>
      </c>
      <c r="AN297" s="114">
        <f t="shared" si="188"/>
        <v>3.1736008053567491E-3</v>
      </c>
      <c r="AO297" s="114">
        <f t="shared" si="189"/>
        <v>2146.5277777777778</v>
      </c>
    </row>
    <row r="298" spans="1:41" hidden="1" outlineLevel="1" x14ac:dyDescent="0.3">
      <c r="A298" s="146">
        <f t="shared" si="160"/>
        <v>276</v>
      </c>
      <c r="B298" s="147">
        <f t="shared" si="153"/>
        <v>9</v>
      </c>
      <c r="C298" s="147">
        <f t="shared" si="152"/>
        <v>351</v>
      </c>
      <c r="D298" s="149">
        <f t="shared" si="161"/>
        <v>10033034.098537058</v>
      </c>
      <c r="E298" s="149">
        <f t="shared" si="162"/>
        <v>1147229.9143750202</v>
      </c>
      <c r="F298" s="149">
        <f t="shared" si="154"/>
        <v>55815.097829369646</v>
      </c>
      <c r="G298" s="149">
        <f t="shared" si="155"/>
        <v>53954.594568390654</v>
      </c>
      <c r="H298" s="149">
        <f t="shared" si="163"/>
        <v>1860.5032609789923</v>
      </c>
      <c r="I298" s="149">
        <f t="shared" si="164"/>
        <v>1091414.8165456506</v>
      </c>
      <c r="J298" s="147">
        <f t="shared" si="165"/>
        <v>4.4999999999999998E-2</v>
      </c>
      <c r="K298" s="175">
        <f t="shared" si="156"/>
        <v>3.8296430163020645E-3</v>
      </c>
      <c r="L298" s="149">
        <f t="shared" si="166"/>
        <v>38570.650791219741</v>
      </c>
      <c r="M298" s="149">
        <f t="shared" si="167"/>
        <v>1183940.0619052609</v>
      </c>
      <c r="N298" s="149">
        <f t="shared" si="168"/>
        <v>1129985.4673368703</v>
      </c>
      <c r="P298" s="149">
        <f t="shared" si="169"/>
        <v>0</v>
      </c>
      <c r="Q298" s="149">
        <f t="shared" si="170"/>
        <v>0</v>
      </c>
      <c r="R298" s="176">
        <f t="shared" si="171"/>
        <v>0</v>
      </c>
      <c r="S298" s="113">
        <f t="shared" si="172"/>
        <v>0</v>
      </c>
      <c r="T298" s="113">
        <f t="shared" si="157"/>
        <v>0</v>
      </c>
      <c r="U298" s="114">
        <f t="shared" si="173"/>
        <v>46</v>
      </c>
      <c r="V298" s="114">
        <f t="shared" si="174"/>
        <v>0</v>
      </c>
      <c r="W298" s="114">
        <f t="shared" si="175"/>
        <v>2162</v>
      </c>
      <c r="X298" s="114"/>
      <c r="Y298" s="149">
        <f t="shared" si="176"/>
        <v>0</v>
      </c>
      <c r="Z298" s="149">
        <f t="shared" si="177"/>
        <v>0</v>
      </c>
      <c r="AA298" s="176">
        <f t="shared" si="178"/>
        <v>0</v>
      </c>
      <c r="AB298" s="113">
        <f t="shared" si="179"/>
        <v>0</v>
      </c>
      <c r="AC298" s="113">
        <f t="shared" si="158"/>
        <v>0</v>
      </c>
      <c r="AD298" s="114">
        <f t="shared" si="180"/>
        <v>46</v>
      </c>
      <c r="AE298" s="114">
        <f t="shared" si="181"/>
        <v>0</v>
      </c>
      <c r="AF298" s="114">
        <f t="shared" si="182"/>
        <v>2162</v>
      </c>
      <c r="AG298" s="114"/>
      <c r="AH298" s="176">
        <f t="shared" si="183"/>
        <v>10033034.098537032</v>
      </c>
      <c r="AI298" s="176">
        <f t="shared" si="184"/>
        <v>53954.59456839053</v>
      </c>
      <c r="AJ298" s="176">
        <f t="shared" si="185"/>
        <v>1129985.4673368703</v>
      </c>
      <c r="AK298" s="113">
        <f t="shared" si="186"/>
        <v>1183940.0619052609</v>
      </c>
      <c r="AL298" s="113">
        <f t="shared" si="159"/>
        <v>314318.13256730675</v>
      </c>
      <c r="AM298" s="114">
        <f t="shared" si="187"/>
        <v>46</v>
      </c>
      <c r="AN298" s="114">
        <f t="shared" si="188"/>
        <v>3.1357017673017949E-3</v>
      </c>
      <c r="AO298" s="114">
        <f t="shared" si="189"/>
        <v>2162</v>
      </c>
    </row>
    <row r="299" spans="1:41" hidden="1" outlineLevel="1" x14ac:dyDescent="0.3">
      <c r="A299" s="146">
        <f t="shared" si="160"/>
        <v>277</v>
      </c>
      <c r="B299" s="147">
        <f t="shared" si="153"/>
        <v>8</v>
      </c>
      <c r="C299" s="147">
        <f t="shared" si="152"/>
        <v>352</v>
      </c>
      <c r="D299" s="149">
        <f t="shared" si="161"/>
        <v>8906124.4375875164</v>
      </c>
      <c r="E299" s="149">
        <f t="shared" si="162"/>
        <v>1142836.4333453411</v>
      </c>
      <c r="F299" s="149">
        <f t="shared" si="154"/>
        <v>50165.170492685291</v>
      </c>
      <c r="G299" s="149">
        <f t="shared" si="155"/>
        <v>48492.998142929115</v>
      </c>
      <c r="H299" s="149">
        <f t="shared" si="163"/>
        <v>1672.1723497561761</v>
      </c>
      <c r="I299" s="149">
        <f t="shared" si="164"/>
        <v>1092671.2628526557</v>
      </c>
      <c r="J299" s="147">
        <f t="shared" si="165"/>
        <v>4.4999999999999998E-2</v>
      </c>
      <c r="K299" s="175">
        <f t="shared" si="156"/>
        <v>3.8296430163020645E-3</v>
      </c>
      <c r="L299" s="149">
        <f t="shared" si="166"/>
        <v>34238.398096885292</v>
      </c>
      <c r="M299" s="149">
        <f t="shared" si="167"/>
        <v>1175402.6590924701</v>
      </c>
      <c r="N299" s="149">
        <f t="shared" si="168"/>
        <v>1126909.660949541</v>
      </c>
      <c r="P299" s="149">
        <f t="shared" si="169"/>
        <v>0</v>
      </c>
      <c r="Q299" s="149">
        <f t="shared" si="170"/>
        <v>0</v>
      </c>
      <c r="R299" s="176">
        <f t="shared" si="171"/>
        <v>0</v>
      </c>
      <c r="S299" s="113">
        <f t="shared" si="172"/>
        <v>0</v>
      </c>
      <c r="T299" s="113">
        <f t="shared" si="157"/>
        <v>0</v>
      </c>
      <c r="U299" s="114">
        <f t="shared" si="173"/>
        <v>46.166666666666664</v>
      </c>
      <c r="V299" s="114">
        <f t="shared" si="174"/>
        <v>0</v>
      </c>
      <c r="W299" s="114">
        <f t="shared" si="175"/>
        <v>2177.5277777777774</v>
      </c>
      <c r="X299" s="114"/>
      <c r="Y299" s="149">
        <f t="shared" si="176"/>
        <v>0</v>
      </c>
      <c r="Z299" s="149">
        <f t="shared" si="177"/>
        <v>0</v>
      </c>
      <c r="AA299" s="176">
        <f t="shared" si="178"/>
        <v>0</v>
      </c>
      <c r="AB299" s="113">
        <f t="shared" si="179"/>
        <v>0</v>
      </c>
      <c r="AC299" s="113">
        <f t="shared" si="158"/>
        <v>0</v>
      </c>
      <c r="AD299" s="114">
        <f t="shared" si="180"/>
        <v>46.166666666666664</v>
      </c>
      <c r="AE299" s="114">
        <f t="shared" si="181"/>
        <v>0</v>
      </c>
      <c r="AF299" s="114">
        <f t="shared" si="182"/>
        <v>2177.5277777777774</v>
      </c>
      <c r="AG299" s="114"/>
      <c r="AH299" s="176">
        <f t="shared" si="183"/>
        <v>8906124.4375874903</v>
      </c>
      <c r="AI299" s="176">
        <f t="shared" si="184"/>
        <v>48492.998142928991</v>
      </c>
      <c r="AJ299" s="176">
        <f t="shared" si="185"/>
        <v>1126909.660949541</v>
      </c>
      <c r="AK299" s="113">
        <f t="shared" si="186"/>
        <v>1175402.6590924701</v>
      </c>
      <c r="AL299" s="113">
        <f t="shared" si="159"/>
        <v>310555.75054619869</v>
      </c>
      <c r="AM299" s="114">
        <f t="shared" si="187"/>
        <v>46.166666666666664</v>
      </c>
      <c r="AN299" s="114">
        <f t="shared" si="188"/>
        <v>3.0981674772610295E-3</v>
      </c>
      <c r="AO299" s="114">
        <f t="shared" si="189"/>
        <v>2177.5277777777774</v>
      </c>
    </row>
    <row r="300" spans="1:41" hidden="1" outlineLevel="1" x14ac:dyDescent="0.3">
      <c r="A300" s="146">
        <f t="shared" si="160"/>
        <v>278</v>
      </c>
      <c r="B300" s="147">
        <f t="shared" si="153"/>
        <v>7</v>
      </c>
      <c r="C300" s="147">
        <f t="shared" si="152"/>
        <v>353</v>
      </c>
      <c r="D300" s="149">
        <f t="shared" si="161"/>
        <v>7782277.3628921667</v>
      </c>
      <c r="E300" s="149">
        <f t="shared" si="162"/>
        <v>1138459.7777796045</v>
      </c>
      <c r="F300" s="149">
        <f t="shared" si="154"/>
        <v>44530.622187937581</v>
      </c>
      <c r="G300" s="149">
        <f t="shared" si="155"/>
        <v>43046.268115006329</v>
      </c>
      <c r="H300" s="149">
        <f t="shared" si="163"/>
        <v>1484.3540729312517</v>
      </c>
      <c r="I300" s="149">
        <f t="shared" si="164"/>
        <v>1093929.1555916669</v>
      </c>
      <c r="J300" s="147">
        <f t="shared" si="165"/>
        <v>4.4999999999999998E-2</v>
      </c>
      <c r="K300" s="175">
        <f t="shared" si="156"/>
        <v>3.8296430163020645E-3</v>
      </c>
      <c r="L300" s="149">
        <f t="shared" si="166"/>
        <v>29917.919103683344</v>
      </c>
      <c r="M300" s="149">
        <f t="shared" si="167"/>
        <v>1166893.3428103568</v>
      </c>
      <c r="N300" s="149">
        <f t="shared" si="168"/>
        <v>1123847.0746953504</v>
      </c>
      <c r="P300" s="149">
        <f t="shared" si="169"/>
        <v>0</v>
      </c>
      <c r="Q300" s="149">
        <f t="shared" si="170"/>
        <v>0</v>
      </c>
      <c r="R300" s="176">
        <f t="shared" si="171"/>
        <v>0</v>
      </c>
      <c r="S300" s="113">
        <f t="shared" si="172"/>
        <v>0</v>
      </c>
      <c r="T300" s="113">
        <f t="shared" si="157"/>
        <v>0</v>
      </c>
      <c r="U300" s="114">
        <f t="shared" si="173"/>
        <v>46.333333333333336</v>
      </c>
      <c r="V300" s="114">
        <f t="shared" si="174"/>
        <v>0</v>
      </c>
      <c r="W300" s="114">
        <f t="shared" si="175"/>
        <v>2193.1111111111113</v>
      </c>
      <c r="X300" s="114"/>
      <c r="Y300" s="149">
        <f t="shared" si="176"/>
        <v>0</v>
      </c>
      <c r="Z300" s="149">
        <f t="shared" si="177"/>
        <v>0</v>
      </c>
      <c r="AA300" s="176">
        <f t="shared" si="178"/>
        <v>0</v>
      </c>
      <c r="AB300" s="113">
        <f t="shared" si="179"/>
        <v>0</v>
      </c>
      <c r="AC300" s="113">
        <f t="shared" si="158"/>
        <v>0</v>
      </c>
      <c r="AD300" s="114">
        <f t="shared" si="180"/>
        <v>46.333333333333336</v>
      </c>
      <c r="AE300" s="114">
        <f t="shared" si="181"/>
        <v>0</v>
      </c>
      <c r="AF300" s="114">
        <f t="shared" si="182"/>
        <v>2193.1111111111113</v>
      </c>
      <c r="AG300" s="114"/>
      <c r="AH300" s="176">
        <f t="shared" si="183"/>
        <v>7782277.3628921397</v>
      </c>
      <c r="AI300" s="176">
        <f t="shared" si="184"/>
        <v>43046.268115006205</v>
      </c>
      <c r="AJ300" s="176">
        <f t="shared" si="185"/>
        <v>1123847.0746953504</v>
      </c>
      <c r="AK300" s="113">
        <f t="shared" si="186"/>
        <v>1166893.3428103565</v>
      </c>
      <c r="AL300" s="113">
        <f t="shared" si="159"/>
        <v>306829.60159510444</v>
      </c>
      <c r="AM300" s="114">
        <f t="shared" si="187"/>
        <v>46.333333333333336</v>
      </c>
      <c r="AN300" s="114">
        <f t="shared" si="188"/>
        <v>3.0609946557131856E-3</v>
      </c>
      <c r="AO300" s="114">
        <f t="shared" si="189"/>
        <v>2193.1111111111113</v>
      </c>
    </row>
    <row r="301" spans="1:41" hidden="1" outlineLevel="1" x14ac:dyDescent="0.3">
      <c r="A301" s="146">
        <f t="shared" si="160"/>
        <v>279</v>
      </c>
      <c r="B301" s="147">
        <f t="shared" si="153"/>
        <v>6</v>
      </c>
      <c r="C301" s="147">
        <f t="shared" si="152"/>
        <v>354</v>
      </c>
      <c r="D301" s="149">
        <f t="shared" si="161"/>
        <v>6661479.7032874906</v>
      </c>
      <c r="E301" s="149">
        <f t="shared" si="162"/>
        <v>1134099.88324229</v>
      </c>
      <c r="F301" s="149">
        <f t="shared" si="154"/>
        <v>38911.386814460835</v>
      </c>
      <c r="G301" s="149">
        <f t="shared" si="155"/>
        <v>37614.340587312145</v>
      </c>
      <c r="H301" s="149">
        <f t="shared" si="163"/>
        <v>1297.0462271486904</v>
      </c>
      <c r="I301" s="149">
        <f t="shared" si="164"/>
        <v>1095188.4964278291</v>
      </c>
      <c r="J301" s="147">
        <f t="shared" si="165"/>
        <v>4.4999999999999998E-2</v>
      </c>
      <c r="K301" s="175">
        <f t="shared" si="156"/>
        <v>3.8296430163020645E-3</v>
      </c>
      <c r="L301" s="149">
        <f t="shared" si="166"/>
        <v>25609.163176846439</v>
      </c>
      <c r="M301" s="149">
        <f t="shared" si="167"/>
        <v>1158412.0001919877</v>
      </c>
      <c r="N301" s="149">
        <f t="shared" si="168"/>
        <v>1120797.6596046756</v>
      </c>
      <c r="P301" s="149">
        <f t="shared" si="169"/>
        <v>0</v>
      </c>
      <c r="Q301" s="149">
        <f t="shared" si="170"/>
        <v>0</v>
      </c>
      <c r="R301" s="176">
        <f t="shared" si="171"/>
        <v>0</v>
      </c>
      <c r="S301" s="113">
        <f t="shared" si="172"/>
        <v>0</v>
      </c>
      <c r="T301" s="113">
        <f t="shared" si="157"/>
        <v>0</v>
      </c>
      <c r="U301" s="114">
        <f t="shared" si="173"/>
        <v>46.5</v>
      </c>
      <c r="V301" s="114">
        <f t="shared" si="174"/>
        <v>0</v>
      </c>
      <c r="W301" s="114">
        <f t="shared" si="175"/>
        <v>2208.75</v>
      </c>
      <c r="X301" s="114"/>
      <c r="Y301" s="149">
        <f t="shared" si="176"/>
        <v>0</v>
      </c>
      <c r="Z301" s="149">
        <f t="shared" si="177"/>
        <v>0</v>
      </c>
      <c r="AA301" s="176">
        <f t="shared" si="178"/>
        <v>0</v>
      </c>
      <c r="AB301" s="113">
        <f t="shared" si="179"/>
        <v>0</v>
      </c>
      <c r="AC301" s="113">
        <f t="shared" si="158"/>
        <v>0</v>
      </c>
      <c r="AD301" s="114">
        <f t="shared" si="180"/>
        <v>46.5</v>
      </c>
      <c r="AE301" s="114">
        <f t="shared" si="181"/>
        <v>0</v>
      </c>
      <c r="AF301" s="114">
        <f t="shared" si="182"/>
        <v>2208.75</v>
      </c>
      <c r="AG301" s="114"/>
      <c r="AH301" s="176">
        <f t="shared" si="183"/>
        <v>6661479.7032874636</v>
      </c>
      <c r="AI301" s="176">
        <f t="shared" si="184"/>
        <v>37614.340587312014</v>
      </c>
      <c r="AJ301" s="176">
        <f t="shared" si="185"/>
        <v>1120797.6596046756</v>
      </c>
      <c r="AK301" s="113">
        <f t="shared" si="186"/>
        <v>1158412.0001919877</v>
      </c>
      <c r="AL301" s="113">
        <f t="shared" si="159"/>
        <v>303139.35985986935</v>
      </c>
      <c r="AM301" s="114">
        <f t="shared" si="187"/>
        <v>46.5</v>
      </c>
      <c r="AN301" s="114">
        <f t="shared" si="188"/>
        <v>3.0241800518707885E-3</v>
      </c>
      <c r="AO301" s="114">
        <f t="shared" si="189"/>
        <v>2208.75</v>
      </c>
    </row>
    <row r="302" spans="1:41" hidden="1" outlineLevel="1" x14ac:dyDescent="0.3">
      <c r="A302" s="146">
        <f t="shared" si="160"/>
        <v>280</v>
      </c>
      <c r="B302" s="147">
        <f t="shared" si="153"/>
        <v>5</v>
      </c>
      <c r="C302" s="147">
        <f t="shared" si="152"/>
        <v>355</v>
      </c>
      <c r="D302" s="149">
        <f t="shared" si="161"/>
        <v>5543718.3363901498</v>
      </c>
      <c r="E302" s="149">
        <f t="shared" si="162"/>
        <v>1129756.6855446422</v>
      </c>
      <c r="F302" s="149">
        <f t="shared" si="154"/>
        <v>33307.398516437454</v>
      </c>
      <c r="G302" s="149">
        <f t="shared" si="155"/>
        <v>32197.151899222874</v>
      </c>
      <c r="H302" s="149">
        <f t="shared" si="163"/>
        <v>1110.2466172145796</v>
      </c>
      <c r="I302" s="149">
        <f t="shared" si="164"/>
        <v>1096449.2870282046</v>
      </c>
      <c r="J302" s="147">
        <f t="shared" si="165"/>
        <v>4.4999999999999998E-2</v>
      </c>
      <c r="K302" s="175">
        <f t="shared" si="156"/>
        <v>3.8296430163020645E-3</v>
      </c>
      <c r="L302" s="149">
        <f t="shared" si="166"/>
        <v>21312.079869135945</v>
      </c>
      <c r="M302" s="149">
        <f t="shared" si="167"/>
        <v>1149958.5187965636</v>
      </c>
      <c r="N302" s="149">
        <f t="shared" si="168"/>
        <v>1117761.3668973406</v>
      </c>
      <c r="P302" s="149">
        <f t="shared" si="169"/>
        <v>0</v>
      </c>
      <c r="Q302" s="149">
        <f t="shared" si="170"/>
        <v>0</v>
      </c>
      <c r="R302" s="176">
        <f t="shared" si="171"/>
        <v>0</v>
      </c>
      <c r="S302" s="113">
        <f t="shared" si="172"/>
        <v>0</v>
      </c>
      <c r="T302" s="113">
        <f t="shared" si="157"/>
        <v>0</v>
      </c>
      <c r="U302" s="114">
        <f t="shared" si="173"/>
        <v>46.666666666666664</v>
      </c>
      <c r="V302" s="114">
        <f t="shared" si="174"/>
        <v>0</v>
      </c>
      <c r="W302" s="114">
        <f t="shared" si="175"/>
        <v>2224.4444444444443</v>
      </c>
      <c r="X302" s="114"/>
      <c r="Y302" s="149">
        <f t="shared" si="176"/>
        <v>0</v>
      </c>
      <c r="Z302" s="149">
        <f t="shared" si="177"/>
        <v>0</v>
      </c>
      <c r="AA302" s="176">
        <f t="shared" si="178"/>
        <v>0</v>
      </c>
      <c r="AB302" s="113">
        <f t="shared" si="179"/>
        <v>0</v>
      </c>
      <c r="AC302" s="113">
        <f t="shared" si="158"/>
        <v>0</v>
      </c>
      <c r="AD302" s="114">
        <f t="shared" si="180"/>
        <v>46.666666666666664</v>
      </c>
      <c r="AE302" s="114">
        <f t="shared" si="181"/>
        <v>0</v>
      </c>
      <c r="AF302" s="114">
        <f t="shared" si="182"/>
        <v>2224.4444444444443</v>
      </c>
      <c r="AG302" s="114"/>
      <c r="AH302" s="176">
        <f t="shared" si="183"/>
        <v>5543718.3363901228</v>
      </c>
      <c r="AI302" s="176">
        <f t="shared" si="184"/>
        <v>32197.151899222743</v>
      </c>
      <c r="AJ302" s="176">
        <f t="shared" si="185"/>
        <v>1117761.3668973406</v>
      </c>
      <c r="AK302" s="113">
        <f t="shared" si="186"/>
        <v>1149958.5187965634</v>
      </c>
      <c r="AL302" s="113">
        <f t="shared" si="159"/>
        <v>299484.70234159922</v>
      </c>
      <c r="AM302" s="114">
        <f t="shared" si="187"/>
        <v>46.666666666666664</v>
      </c>
      <c r="AN302" s="114">
        <f t="shared" si="188"/>
        <v>2.9877204434310225E-3</v>
      </c>
      <c r="AO302" s="114">
        <f t="shared" si="189"/>
        <v>2224.4444444444443</v>
      </c>
    </row>
    <row r="303" spans="1:41" hidden="1" outlineLevel="1" x14ac:dyDescent="0.3">
      <c r="A303" s="146">
        <f t="shared" si="160"/>
        <v>281</v>
      </c>
      <c r="B303" s="147">
        <f t="shared" si="153"/>
        <v>4</v>
      </c>
      <c r="C303" s="147">
        <f t="shared" si="152"/>
        <v>356</v>
      </c>
      <c r="D303" s="149">
        <f t="shared" si="161"/>
        <v>4428980.1884082584</v>
      </c>
      <c r="E303" s="149">
        <f t="shared" si="162"/>
        <v>1125430.1207437254</v>
      </c>
      <c r="F303" s="149">
        <f t="shared" si="154"/>
        <v>27718.591681950751</v>
      </c>
      <c r="G303" s="149">
        <f t="shared" si="155"/>
        <v>26794.638625885724</v>
      </c>
      <c r="H303" s="149">
        <f t="shared" si="163"/>
        <v>923.95305606502734</v>
      </c>
      <c r="I303" s="149">
        <f t="shared" si="164"/>
        <v>1097711.5290617747</v>
      </c>
      <c r="J303" s="147">
        <f t="shared" si="165"/>
        <v>4.4999999999999998E-2</v>
      </c>
      <c r="K303" s="175">
        <f t="shared" si="156"/>
        <v>3.8296430163020645E-3</v>
      </c>
      <c r="L303" s="149">
        <f t="shared" si="166"/>
        <v>17026.618920116551</v>
      </c>
      <c r="M303" s="149">
        <f t="shared" si="167"/>
        <v>1141532.786607777</v>
      </c>
      <c r="N303" s="149">
        <f t="shared" si="168"/>
        <v>1114738.1479818912</v>
      </c>
      <c r="P303" s="149">
        <f t="shared" si="169"/>
        <v>0</v>
      </c>
      <c r="Q303" s="149">
        <f t="shared" si="170"/>
        <v>0</v>
      </c>
      <c r="R303" s="176">
        <f t="shared" si="171"/>
        <v>0</v>
      </c>
      <c r="S303" s="113">
        <f t="shared" si="172"/>
        <v>0</v>
      </c>
      <c r="T303" s="113">
        <f t="shared" si="157"/>
        <v>0</v>
      </c>
      <c r="U303" s="114">
        <f t="shared" si="173"/>
        <v>46.833333333333336</v>
      </c>
      <c r="V303" s="114">
        <f t="shared" si="174"/>
        <v>0</v>
      </c>
      <c r="W303" s="114">
        <f t="shared" si="175"/>
        <v>2240.1944444444448</v>
      </c>
      <c r="X303" s="114"/>
      <c r="Y303" s="149">
        <f t="shared" si="176"/>
        <v>0</v>
      </c>
      <c r="Z303" s="149">
        <f t="shared" si="177"/>
        <v>0</v>
      </c>
      <c r="AA303" s="176">
        <f t="shared" si="178"/>
        <v>0</v>
      </c>
      <c r="AB303" s="113">
        <f t="shared" si="179"/>
        <v>0</v>
      </c>
      <c r="AC303" s="113">
        <f t="shared" si="158"/>
        <v>0</v>
      </c>
      <c r="AD303" s="114">
        <f t="shared" si="180"/>
        <v>46.833333333333336</v>
      </c>
      <c r="AE303" s="114">
        <f t="shared" si="181"/>
        <v>0</v>
      </c>
      <c r="AF303" s="114">
        <f t="shared" si="182"/>
        <v>2240.1944444444448</v>
      </c>
      <c r="AG303" s="114"/>
      <c r="AH303" s="176">
        <f t="shared" si="183"/>
        <v>4428980.1884082314</v>
      </c>
      <c r="AI303" s="176">
        <f t="shared" si="184"/>
        <v>26794.638625885596</v>
      </c>
      <c r="AJ303" s="176">
        <f t="shared" si="185"/>
        <v>1114738.1479818912</v>
      </c>
      <c r="AK303" s="113">
        <f t="shared" si="186"/>
        <v>1141532.7866077768</v>
      </c>
      <c r="AL303" s="113">
        <f t="shared" si="159"/>
        <v>295865.3088719045</v>
      </c>
      <c r="AM303" s="114">
        <f t="shared" si="187"/>
        <v>46.833333333333336</v>
      </c>
      <c r="AN303" s="114">
        <f t="shared" si="188"/>
        <v>2.9516126363287646E-3</v>
      </c>
      <c r="AO303" s="114">
        <f t="shared" si="189"/>
        <v>2240.1944444444448</v>
      </c>
    </row>
    <row r="304" spans="1:41" hidden="1" outlineLevel="1" x14ac:dyDescent="0.3">
      <c r="A304" s="146">
        <f t="shared" si="160"/>
        <v>282</v>
      </c>
      <c r="B304" s="147">
        <f t="shared" si="153"/>
        <v>3</v>
      </c>
      <c r="C304" s="147">
        <f t="shared" si="152"/>
        <v>357</v>
      </c>
      <c r="D304" s="149">
        <f t="shared" si="161"/>
        <v>3317252.2339533828</v>
      </c>
      <c r="E304" s="149">
        <f t="shared" si="162"/>
        <v>1121120.1251414833</v>
      </c>
      <c r="F304" s="149">
        <f t="shared" si="154"/>
        <v>22144.900942041291</v>
      </c>
      <c r="G304" s="149">
        <f t="shared" si="155"/>
        <v>21406.737577306583</v>
      </c>
      <c r="H304" s="149">
        <f t="shared" si="163"/>
        <v>738.16336473470801</v>
      </c>
      <c r="I304" s="149">
        <f t="shared" si="164"/>
        <v>1098975.224199442</v>
      </c>
      <c r="J304" s="147">
        <f t="shared" si="165"/>
        <v>4.4999999999999998E-2</v>
      </c>
      <c r="K304" s="175">
        <f t="shared" si="156"/>
        <v>3.8296430163020645E-3</v>
      </c>
      <c r="L304" s="149">
        <f t="shared" si="166"/>
        <v>12752.730255433498</v>
      </c>
      <c r="M304" s="149">
        <f t="shared" si="167"/>
        <v>1133134.6920321821</v>
      </c>
      <c r="N304" s="149">
        <f t="shared" si="168"/>
        <v>1111727.9544548756</v>
      </c>
      <c r="P304" s="149">
        <f t="shared" si="169"/>
        <v>0</v>
      </c>
      <c r="Q304" s="149">
        <f t="shared" si="170"/>
        <v>0</v>
      </c>
      <c r="R304" s="176">
        <f t="shared" si="171"/>
        <v>0</v>
      </c>
      <c r="S304" s="113">
        <f t="shared" si="172"/>
        <v>0</v>
      </c>
      <c r="T304" s="113">
        <f t="shared" si="157"/>
        <v>0</v>
      </c>
      <c r="U304" s="114">
        <f t="shared" si="173"/>
        <v>47</v>
      </c>
      <c r="V304" s="114">
        <f t="shared" si="174"/>
        <v>0</v>
      </c>
      <c r="W304" s="114">
        <f t="shared" si="175"/>
        <v>2256</v>
      </c>
      <c r="X304" s="114"/>
      <c r="Y304" s="149">
        <f t="shared" si="176"/>
        <v>0</v>
      </c>
      <c r="Z304" s="149">
        <f t="shared" si="177"/>
        <v>0</v>
      </c>
      <c r="AA304" s="176">
        <f t="shared" si="178"/>
        <v>0</v>
      </c>
      <c r="AB304" s="113">
        <f t="shared" si="179"/>
        <v>0</v>
      </c>
      <c r="AC304" s="113">
        <f t="shared" si="158"/>
        <v>0</v>
      </c>
      <c r="AD304" s="114">
        <f t="shared" si="180"/>
        <v>47</v>
      </c>
      <c r="AE304" s="114">
        <f t="shared" si="181"/>
        <v>0</v>
      </c>
      <c r="AF304" s="114">
        <f t="shared" si="182"/>
        <v>2256</v>
      </c>
      <c r="AG304" s="114"/>
      <c r="AH304" s="176">
        <f t="shared" si="183"/>
        <v>3317252.2339533558</v>
      </c>
      <c r="AI304" s="176">
        <f t="shared" si="184"/>
        <v>21406.737577306452</v>
      </c>
      <c r="AJ304" s="176">
        <f t="shared" si="185"/>
        <v>1111727.9544548756</v>
      </c>
      <c r="AK304" s="113">
        <f t="shared" si="186"/>
        <v>1133134.6920321819</v>
      </c>
      <c r="AL304" s="113">
        <f t="shared" si="159"/>
        <v>292280.8620883578</v>
      </c>
      <c r="AM304" s="114">
        <f t="shared" si="187"/>
        <v>47</v>
      </c>
      <c r="AN304" s="114">
        <f t="shared" si="188"/>
        <v>2.915853464491741E-3</v>
      </c>
      <c r="AO304" s="114">
        <f t="shared" si="189"/>
        <v>2256</v>
      </c>
    </row>
    <row r="305" spans="1:41" collapsed="1" x14ac:dyDescent="0.3">
      <c r="A305" s="146">
        <f t="shared" si="160"/>
        <v>283</v>
      </c>
      <c r="B305" s="147">
        <f t="shared" si="153"/>
        <v>2</v>
      </c>
      <c r="C305" s="147">
        <f t="shared" si="152"/>
        <v>358</v>
      </c>
      <c r="D305" s="149">
        <f t="shared" si="161"/>
        <v>2208521.4958532578</v>
      </c>
      <c r="E305" s="149">
        <f t="shared" si="162"/>
        <v>1116826.6352837994</v>
      </c>
      <c r="F305" s="149">
        <f t="shared" si="154"/>
        <v>16586.261169766913</v>
      </c>
      <c r="G305" s="149">
        <f t="shared" si="155"/>
        <v>16033.385797441351</v>
      </c>
      <c r="H305" s="149">
        <f t="shared" si="163"/>
        <v>552.87537232556133</v>
      </c>
      <c r="I305" s="149">
        <f t="shared" si="164"/>
        <v>1100240.3741140324</v>
      </c>
      <c r="J305" s="147">
        <f t="shared" si="165"/>
        <v>4.4999999999999998E-2</v>
      </c>
      <c r="K305" s="175">
        <f t="shared" si="156"/>
        <v>3.8296430163020645E-3</v>
      </c>
      <c r="L305" s="149">
        <f t="shared" si="166"/>
        <v>8490.3639860926196</v>
      </c>
      <c r="M305" s="149">
        <f t="shared" si="167"/>
        <v>1124764.1238975662</v>
      </c>
      <c r="N305" s="149">
        <f t="shared" si="168"/>
        <v>1108730.738100125</v>
      </c>
      <c r="P305" s="149">
        <f t="shared" si="169"/>
        <v>0</v>
      </c>
      <c r="Q305" s="149">
        <f t="shared" si="170"/>
        <v>0</v>
      </c>
      <c r="R305" s="176">
        <f t="shared" si="171"/>
        <v>0</v>
      </c>
      <c r="S305" s="113">
        <f t="shared" si="172"/>
        <v>0</v>
      </c>
      <c r="T305" s="113">
        <f t="shared" si="157"/>
        <v>0</v>
      </c>
      <c r="U305" s="114">
        <f t="shared" si="173"/>
        <v>47.166666666666664</v>
      </c>
      <c r="V305" s="114">
        <f t="shared" si="174"/>
        <v>0</v>
      </c>
      <c r="W305" s="114">
        <f t="shared" si="175"/>
        <v>2271.8611111111109</v>
      </c>
      <c r="X305" s="114"/>
      <c r="Y305" s="149">
        <f t="shared" si="176"/>
        <v>0</v>
      </c>
      <c r="Z305" s="149">
        <f t="shared" si="177"/>
        <v>0</v>
      </c>
      <c r="AA305" s="176">
        <f t="shared" si="178"/>
        <v>0</v>
      </c>
      <c r="AB305" s="113">
        <f t="shared" si="179"/>
        <v>0</v>
      </c>
      <c r="AC305" s="113">
        <f t="shared" si="158"/>
        <v>0</v>
      </c>
      <c r="AD305" s="114">
        <f t="shared" si="180"/>
        <v>47.166666666666664</v>
      </c>
      <c r="AE305" s="114">
        <f t="shared" si="181"/>
        <v>0</v>
      </c>
      <c r="AF305" s="114">
        <f t="shared" si="182"/>
        <v>2271.8611111111109</v>
      </c>
      <c r="AG305" s="114"/>
      <c r="AH305" s="176">
        <f t="shared" si="183"/>
        <v>2208521.4958532308</v>
      </c>
      <c r="AI305" s="176">
        <f t="shared" si="184"/>
        <v>16033.38579744122</v>
      </c>
      <c r="AJ305" s="176">
        <f t="shared" si="185"/>
        <v>1108730.738100125</v>
      </c>
      <c r="AK305" s="113">
        <f t="shared" si="186"/>
        <v>1124764.1238975662</v>
      </c>
      <c r="AL305" s="113">
        <f t="shared" si="159"/>
        <v>288731.04741016234</v>
      </c>
      <c r="AM305" s="114">
        <f t="shared" si="187"/>
        <v>47.166666666666664</v>
      </c>
      <c r="AN305" s="114">
        <f t="shared" si="188"/>
        <v>2.8804397895977932E-3</v>
      </c>
      <c r="AO305" s="114">
        <f t="shared" si="189"/>
        <v>2271.8611111111109</v>
      </c>
    </row>
    <row r="306" spans="1:41" x14ac:dyDescent="0.3">
      <c r="A306" s="146">
        <f t="shared" si="160"/>
        <v>284</v>
      </c>
      <c r="B306" s="147">
        <f t="shared" si="153"/>
        <v>1</v>
      </c>
      <c r="C306" s="147">
        <f t="shared" si="152"/>
        <v>359</v>
      </c>
      <c r="D306" s="149">
        <f t="shared" si="161"/>
        <v>1102775.0449652164</v>
      </c>
      <c r="E306" s="149">
        <f t="shared" si="162"/>
        <v>1112549.5879595648</v>
      </c>
      <c r="F306" s="149">
        <f t="shared" si="154"/>
        <v>11042.607479266289</v>
      </c>
      <c r="G306" s="149">
        <f t="shared" si="155"/>
        <v>10674.520563290747</v>
      </c>
      <c r="H306" s="149">
        <f t="shared" si="163"/>
        <v>368.08691597554207</v>
      </c>
      <c r="I306" s="149">
        <f t="shared" si="164"/>
        <v>1101506.9804802984</v>
      </c>
      <c r="J306" s="147">
        <f t="shared" si="165"/>
        <v>4.4999999999999998E-2</v>
      </c>
      <c r="K306" s="175">
        <f t="shared" si="156"/>
        <v>3.8296430163020645E-3</v>
      </c>
      <c r="L306" s="149">
        <f t="shared" si="166"/>
        <v>4239.4704077430688</v>
      </c>
      <c r="M306" s="149">
        <f t="shared" si="167"/>
        <v>1116420.9714513321</v>
      </c>
      <c r="N306" s="149">
        <f t="shared" si="168"/>
        <v>1105746.4508880414</v>
      </c>
      <c r="P306" s="149">
        <f t="shared" si="169"/>
        <v>0</v>
      </c>
      <c r="Q306" s="149">
        <f t="shared" si="170"/>
        <v>0</v>
      </c>
      <c r="R306" s="176">
        <f t="shared" si="171"/>
        <v>0</v>
      </c>
      <c r="S306" s="113">
        <f t="shared" si="172"/>
        <v>0</v>
      </c>
      <c r="T306" s="113">
        <f t="shared" si="157"/>
        <v>0</v>
      </c>
      <c r="U306" s="114">
        <f t="shared" si="173"/>
        <v>47.333333333333336</v>
      </c>
      <c r="V306" s="114">
        <f t="shared" si="174"/>
        <v>0</v>
      </c>
      <c r="W306" s="114">
        <f t="shared" si="175"/>
        <v>2287.7777777777778</v>
      </c>
      <c r="X306" s="114"/>
      <c r="Y306" s="149">
        <f t="shared" si="176"/>
        <v>0</v>
      </c>
      <c r="Z306" s="149">
        <f t="shared" si="177"/>
        <v>0</v>
      </c>
      <c r="AA306" s="176">
        <f t="shared" si="178"/>
        <v>0</v>
      </c>
      <c r="AB306" s="113">
        <f t="shared" si="179"/>
        <v>0</v>
      </c>
      <c r="AC306" s="113">
        <f t="shared" si="158"/>
        <v>0</v>
      </c>
      <c r="AD306" s="114">
        <f t="shared" si="180"/>
        <v>47.333333333333336</v>
      </c>
      <c r="AE306" s="114">
        <f t="shared" si="181"/>
        <v>0</v>
      </c>
      <c r="AF306" s="114">
        <f t="shared" si="182"/>
        <v>2287.7777777777778</v>
      </c>
      <c r="AG306" s="114"/>
      <c r="AH306" s="176">
        <f t="shared" si="183"/>
        <v>1102775.0449651894</v>
      </c>
      <c r="AI306" s="176">
        <f t="shared" si="184"/>
        <v>10674.520563290616</v>
      </c>
      <c r="AJ306" s="176">
        <f t="shared" si="185"/>
        <v>1105746.4508880414</v>
      </c>
      <c r="AK306" s="113">
        <f t="shared" si="186"/>
        <v>1116420.9714513321</v>
      </c>
      <c r="AL306" s="113">
        <f t="shared" si="159"/>
        <v>285215.5530140326</v>
      </c>
      <c r="AM306" s="114">
        <f t="shared" si="187"/>
        <v>47.333333333333336</v>
      </c>
      <c r="AN306" s="114">
        <f t="shared" si="188"/>
        <v>2.8453685008342569E-3</v>
      </c>
      <c r="AO306" s="114">
        <f t="shared" si="189"/>
        <v>2287.7777777777778</v>
      </c>
    </row>
    <row r="307" spans="1:41" x14ac:dyDescent="0.3">
      <c r="A307" s="146">
        <f t="shared" si="160"/>
        <v>285</v>
      </c>
      <c r="B307" s="147">
        <f t="shared" si="153"/>
        <v>0</v>
      </c>
      <c r="C307" s="147">
        <f t="shared" si="152"/>
        <v>360</v>
      </c>
      <c r="D307" s="149">
        <f t="shared" si="161"/>
        <v>2.3193898540541947E-10</v>
      </c>
      <c r="E307" s="149">
        <f t="shared" si="162"/>
        <v>1108288.9201900424</v>
      </c>
      <c r="F307" s="149">
        <f t="shared" si="154"/>
        <v>5513.8752248260826</v>
      </c>
      <c r="G307" s="149">
        <f t="shared" si="155"/>
        <v>5330.0793839985463</v>
      </c>
      <c r="H307" s="149">
        <f t="shared" si="163"/>
        <v>183.79584082753627</v>
      </c>
      <c r="I307" s="149">
        <f t="shared" si="164"/>
        <v>1102775.0449652162</v>
      </c>
      <c r="J307" s="147">
        <f t="shared" si="165"/>
        <v>4.4999999999999998E-2</v>
      </c>
      <c r="K307" s="175">
        <f t="shared" si="156"/>
        <v>3.8296430163020645E-3</v>
      </c>
      <c r="L307" s="149">
        <f t="shared" si="166"/>
        <v>8.9165824845015642E-13</v>
      </c>
      <c r="M307" s="149">
        <f t="shared" si="167"/>
        <v>1108105.1243492148</v>
      </c>
      <c r="N307" s="149">
        <f t="shared" si="168"/>
        <v>1102775.0449652162</v>
      </c>
      <c r="P307" s="149">
        <f t="shared" si="169"/>
        <v>0</v>
      </c>
      <c r="Q307" s="149">
        <f t="shared" si="170"/>
        <v>0</v>
      </c>
      <c r="R307" s="176">
        <f t="shared" si="171"/>
        <v>0</v>
      </c>
      <c r="S307" s="113">
        <f t="shared" si="172"/>
        <v>0</v>
      </c>
      <c r="T307" s="113">
        <f t="shared" si="157"/>
        <v>0</v>
      </c>
      <c r="U307" s="114">
        <f t="shared" si="173"/>
        <v>47.5</v>
      </c>
      <c r="V307" s="114">
        <f t="shared" si="174"/>
        <v>0</v>
      </c>
      <c r="W307" s="114">
        <f t="shared" si="175"/>
        <v>2303.75</v>
      </c>
      <c r="X307" s="114"/>
      <c r="Y307" s="149">
        <f t="shared" si="176"/>
        <v>0</v>
      </c>
      <c r="Z307" s="149">
        <f t="shared" si="177"/>
        <v>0</v>
      </c>
      <c r="AA307" s="176">
        <f t="shared" si="178"/>
        <v>0</v>
      </c>
      <c r="AB307" s="113">
        <f t="shared" si="179"/>
        <v>0</v>
      </c>
      <c r="AC307" s="113">
        <f t="shared" si="158"/>
        <v>0</v>
      </c>
      <c r="AD307" s="114">
        <f t="shared" si="180"/>
        <v>47.5</v>
      </c>
      <c r="AE307" s="114">
        <f t="shared" si="181"/>
        <v>0</v>
      </c>
      <c r="AF307" s="114">
        <f t="shared" si="182"/>
        <v>2303.75</v>
      </c>
      <c r="AG307" s="114"/>
      <c r="AH307" s="176">
        <f t="shared" si="183"/>
        <v>0</v>
      </c>
      <c r="AI307" s="176">
        <f t="shared" si="184"/>
        <v>5330.0793839984162</v>
      </c>
      <c r="AJ307" s="176">
        <f t="shared" si="185"/>
        <v>1102775.0449651894</v>
      </c>
      <c r="AK307" s="113">
        <f t="shared" si="186"/>
        <v>1108105.1243491878</v>
      </c>
      <c r="AL307" s="113">
        <f t="shared" si="159"/>
        <v>281734.06980781589</v>
      </c>
      <c r="AM307" s="114">
        <f t="shared" si="187"/>
        <v>47.5</v>
      </c>
      <c r="AN307" s="114">
        <f t="shared" si="188"/>
        <v>2.8106365146348044E-3</v>
      </c>
      <c r="AO307" s="114">
        <f t="shared" si="189"/>
        <v>2303.75</v>
      </c>
    </row>
    <row r="308" spans="1:41" x14ac:dyDescent="0.3">
      <c r="A308" s="146">
        <f t="shared" si="160"/>
        <v>286</v>
      </c>
      <c r="B308" s="147" t="str">
        <f t="shared" si="153"/>
        <v/>
      </c>
      <c r="C308" s="147" t="str">
        <f t="shared" si="152"/>
        <v/>
      </c>
      <c r="D308" s="149" t="str">
        <f t="shared" si="161"/>
        <v/>
      </c>
      <c r="E308" s="149" t="str">
        <f t="shared" si="162"/>
        <v/>
      </c>
      <c r="F308" s="149" t="str">
        <f t="shared" si="154"/>
        <v/>
      </c>
      <c r="G308" s="149" t="str">
        <f t="shared" si="155"/>
        <v/>
      </c>
      <c r="H308" s="149" t="str">
        <f t="shared" si="163"/>
        <v/>
      </c>
      <c r="I308" s="149" t="str">
        <f t="shared" si="164"/>
        <v/>
      </c>
      <c r="J308" s="147" t="str">
        <f t="shared" si="165"/>
        <v/>
      </c>
      <c r="K308" s="175" t="str">
        <f t="shared" si="156"/>
        <v/>
      </c>
      <c r="L308" s="149" t="str">
        <f t="shared" si="166"/>
        <v/>
      </c>
      <c r="M308" s="149" t="str">
        <f t="shared" si="167"/>
        <v/>
      </c>
      <c r="N308" s="149" t="str">
        <f t="shared" si="168"/>
        <v/>
      </c>
      <c r="P308" s="149" t="str">
        <f t="shared" si="169"/>
        <v/>
      </c>
      <c r="Q308" s="149" t="str">
        <f t="shared" si="170"/>
        <v/>
      </c>
      <c r="R308" s="176" t="str">
        <f t="shared" si="171"/>
        <v/>
      </c>
      <c r="S308" s="113" t="str">
        <f t="shared" si="172"/>
        <v/>
      </c>
      <c r="T308" s="113" t="str">
        <f t="shared" si="157"/>
        <v/>
      </c>
      <c r="U308" s="114" t="str">
        <f t="shared" si="173"/>
        <v/>
      </c>
      <c r="V308" s="114" t="str">
        <f t="shared" si="174"/>
        <v/>
      </c>
      <c r="W308" s="114" t="str">
        <f t="shared" si="175"/>
        <v/>
      </c>
      <c r="X308" s="114"/>
      <c r="Y308" s="149" t="str">
        <f t="shared" si="176"/>
        <v/>
      </c>
      <c r="Z308" s="149" t="str">
        <f t="shared" si="177"/>
        <v/>
      </c>
      <c r="AA308" s="176" t="str">
        <f t="shared" si="178"/>
        <v/>
      </c>
      <c r="AB308" s="113" t="str">
        <f t="shared" si="179"/>
        <v/>
      </c>
      <c r="AC308" s="113" t="str">
        <f t="shared" si="158"/>
        <v/>
      </c>
      <c r="AD308" s="114" t="str">
        <f t="shared" si="180"/>
        <v/>
      </c>
      <c r="AE308" s="114" t="str">
        <f t="shared" si="181"/>
        <v/>
      </c>
      <c r="AF308" s="114" t="str">
        <f t="shared" si="182"/>
        <v/>
      </c>
      <c r="AG308" s="114"/>
      <c r="AH308" s="176" t="str">
        <f t="shared" si="183"/>
        <v/>
      </c>
      <c r="AI308" s="176" t="str">
        <f t="shared" si="184"/>
        <v/>
      </c>
      <c r="AJ308" s="176" t="str">
        <f t="shared" si="185"/>
        <v/>
      </c>
      <c r="AK308" s="113" t="str">
        <f t="shared" si="186"/>
        <v/>
      </c>
      <c r="AL308" s="113" t="str">
        <f t="shared" si="159"/>
        <v/>
      </c>
      <c r="AM308" s="114" t="str">
        <f t="shared" si="187"/>
        <v/>
      </c>
      <c r="AN308" s="114" t="str">
        <f t="shared" si="188"/>
        <v/>
      </c>
      <c r="AO308" s="114" t="str">
        <f t="shared" si="189"/>
        <v/>
      </c>
    </row>
    <row r="309" spans="1:41" x14ac:dyDescent="0.3">
      <c r="A309" s="146">
        <f t="shared" si="160"/>
        <v>287</v>
      </c>
      <c r="B309" s="147" t="str">
        <f t="shared" si="153"/>
        <v/>
      </c>
      <c r="C309" s="147" t="str">
        <f t="shared" si="152"/>
        <v/>
      </c>
      <c r="D309" s="149" t="str">
        <f t="shared" si="161"/>
        <v/>
      </c>
      <c r="E309" s="149" t="str">
        <f t="shared" si="162"/>
        <v/>
      </c>
      <c r="F309" s="149" t="str">
        <f t="shared" si="154"/>
        <v/>
      </c>
      <c r="G309" s="149" t="str">
        <f t="shared" si="155"/>
        <v/>
      </c>
      <c r="H309" s="149" t="str">
        <f t="shared" si="163"/>
        <v/>
      </c>
      <c r="I309" s="149" t="str">
        <f t="shared" si="164"/>
        <v/>
      </c>
      <c r="J309" s="147" t="str">
        <f t="shared" si="165"/>
        <v/>
      </c>
      <c r="K309" s="175" t="str">
        <f t="shared" si="156"/>
        <v/>
      </c>
      <c r="L309" s="149" t="str">
        <f t="shared" si="166"/>
        <v/>
      </c>
      <c r="M309" s="149" t="str">
        <f t="shared" si="167"/>
        <v/>
      </c>
      <c r="N309" s="149" t="str">
        <f t="shared" si="168"/>
        <v/>
      </c>
      <c r="P309" s="149" t="str">
        <f t="shared" si="169"/>
        <v/>
      </c>
      <c r="Q309" s="149" t="str">
        <f t="shared" si="170"/>
        <v/>
      </c>
      <c r="R309" s="176" t="str">
        <f t="shared" si="171"/>
        <v/>
      </c>
      <c r="S309" s="113" t="str">
        <f t="shared" si="172"/>
        <v/>
      </c>
      <c r="T309" s="113" t="str">
        <f t="shared" si="157"/>
        <v/>
      </c>
      <c r="U309" s="114" t="str">
        <f t="shared" si="173"/>
        <v/>
      </c>
      <c r="V309" s="114" t="str">
        <f t="shared" si="174"/>
        <v/>
      </c>
      <c r="W309" s="114" t="str">
        <f t="shared" si="175"/>
        <v/>
      </c>
      <c r="X309" s="114"/>
      <c r="Y309" s="149" t="str">
        <f t="shared" si="176"/>
        <v/>
      </c>
      <c r="Z309" s="149" t="str">
        <f t="shared" si="177"/>
        <v/>
      </c>
      <c r="AA309" s="176" t="str">
        <f t="shared" si="178"/>
        <v/>
      </c>
      <c r="AB309" s="113" t="str">
        <f t="shared" si="179"/>
        <v/>
      </c>
      <c r="AC309" s="113" t="str">
        <f t="shared" si="158"/>
        <v/>
      </c>
      <c r="AD309" s="114" t="str">
        <f t="shared" si="180"/>
        <v/>
      </c>
      <c r="AE309" s="114" t="str">
        <f t="shared" si="181"/>
        <v/>
      </c>
      <c r="AF309" s="114" t="str">
        <f t="shared" si="182"/>
        <v/>
      </c>
      <c r="AG309" s="114"/>
      <c r="AH309" s="176" t="str">
        <f t="shared" si="183"/>
        <v/>
      </c>
      <c r="AI309" s="176" t="str">
        <f t="shared" si="184"/>
        <v/>
      </c>
      <c r="AJ309" s="176" t="str">
        <f t="shared" si="185"/>
        <v/>
      </c>
      <c r="AK309" s="113" t="str">
        <f t="shared" si="186"/>
        <v/>
      </c>
      <c r="AL309" s="113" t="str">
        <f t="shared" si="159"/>
        <v/>
      </c>
      <c r="AM309" s="114" t="str">
        <f t="shared" si="187"/>
        <v/>
      </c>
      <c r="AN309" s="114" t="str">
        <f t="shared" si="188"/>
        <v/>
      </c>
      <c r="AO309" s="114" t="str">
        <f t="shared" si="189"/>
        <v/>
      </c>
    </row>
    <row r="310" spans="1:41" x14ac:dyDescent="0.3">
      <c r="A310" s="146">
        <f t="shared" si="160"/>
        <v>288</v>
      </c>
      <c r="B310" s="147" t="str">
        <f t="shared" si="153"/>
        <v/>
      </c>
      <c r="C310" s="147" t="str">
        <f t="shared" si="152"/>
        <v/>
      </c>
      <c r="D310" s="149" t="str">
        <f t="shared" si="161"/>
        <v/>
      </c>
      <c r="E310" s="149" t="str">
        <f t="shared" si="162"/>
        <v/>
      </c>
      <c r="F310" s="149" t="str">
        <f t="shared" si="154"/>
        <v/>
      </c>
      <c r="G310" s="149" t="str">
        <f t="shared" si="155"/>
        <v/>
      </c>
      <c r="H310" s="149" t="str">
        <f t="shared" si="163"/>
        <v/>
      </c>
      <c r="I310" s="149" t="str">
        <f t="shared" si="164"/>
        <v/>
      </c>
      <c r="J310" s="147" t="str">
        <f t="shared" si="165"/>
        <v/>
      </c>
      <c r="K310" s="175" t="str">
        <f t="shared" si="156"/>
        <v/>
      </c>
      <c r="L310" s="149" t="str">
        <f t="shared" si="166"/>
        <v/>
      </c>
      <c r="M310" s="149" t="str">
        <f t="shared" si="167"/>
        <v/>
      </c>
      <c r="N310" s="149" t="str">
        <f t="shared" si="168"/>
        <v/>
      </c>
      <c r="P310" s="149" t="str">
        <f t="shared" si="169"/>
        <v/>
      </c>
      <c r="Q310" s="149" t="str">
        <f t="shared" si="170"/>
        <v/>
      </c>
      <c r="R310" s="176" t="str">
        <f t="shared" si="171"/>
        <v/>
      </c>
      <c r="S310" s="113" t="str">
        <f t="shared" si="172"/>
        <v/>
      </c>
      <c r="T310" s="113" t="str">
        <f t="shared" si="157"/>
        <v/>
      </c>
      <c r="U310" s="114" t="str">
        <f t="shared" si="173"/>
        <v/>
      </c>
      <c r="V310" s="114" t="str">
        <f t="shared" si="174"/>
        <v/>
      </c>
      <c r="W310" s="114" t="str">
        <f t="shared" si="175"/>
        <v/>
      </c>
      <c r="X310" s="114"/>
      <c r="Y310" s="149" t="str">
        <f t="shared" si="176"/>
        <v/>
      </c>
      <c r="Z310" s="149" t="str">
        <f t="shared" si="177"/>
        <v/>
      </c>
      <c r="AA310" s="176" t="str">
        <f t="shared" si="178"/>
        <v/>
      </c>
      <c r="AB310" s="113" t="str">
        <f t="shared" si="179"/>
        <v/>
      </c>
      <c r="AC310" s="113" t="str">
        <f t="shared" si="158"/>
        <v/>
      </c>
      <c r="AD310" s="114" t="str">
        <f t="shared" si="180"/>
        <v/>
      </c>
      <c r="AE310" s="114" t="str">
        <f t="shared" si="181"/>
        <v/>
      </c>
      <c r="AF310" s="114" t="str">
        <f t="shared" si="182"/>
        <v/>
      </c>
      <c r="AG310" s="114"/>
      <c r="AH310" s="176" t="str">
        <f t="shared" si="183"/>
        <v/>
      </c>
      <c r="AI310" s="176" t="str">
        <f t="shared" si="184"/>
        <v/>
      </c>
      <c r="AJ310" s="176" t="str">
        <f t="shared" si="185"/>
        <v/>
      </c>
      <c r="AK310" s="113" t="str">
        <f t="shared" si="186"/>
        <v/>
      </c>
      <c r="AL310" s="113" t="str">
        <f t="shared" si="159"/>
        <v/>
      </c>
      <c r="AM310" s="114" t="str">
        <f t="shared" si="187"/>
        <v/>
      </c>
      <c r="AN310" s="114" t="str">
        <f t="shared" si="188"/>
        <v/>
      </c>
      <c r="AO310" s="114" t="str">
        <f t="shared" si="189"/>
        <v/>
      </c>
    </row>
    <row r="311" spans="1:41" x14ac:dyDescent="0.3">
      <c r="A311" s="146">
        <f t="shared" si="160"/>
        <v>289</v>
      </c>
      <c r="B311" s="147" t="str">
        <f t="shared" si="153"/>
        <v/>
      </c>
      <c r="C311" s="147" t="str">
        <f t="shared" si="152"/>
        <v/>
      </c>
      <c r="D311" s="149" t="str">
        <f t="shared" si="161"/>
        <v/>
      </c>
      <c r="E311" s="149" t="str">
        <f t="shared" si="162"/>
        <v/>
      </c>
      <c r="F311" s="149" t="str">
        <f t="shared" si="154"/>
        <v/>
      </c>
      <c r="G311" s="149" t="str">
        <f t="shared" si="155"/>
        <v/>
      </c>
      <c r="H311" s="149" t="str">
        <f t="shared" si="163"/>
        <v/>
      </c>
      <c r="I311" s="149" t="str">
        <f t="shared" si="164"/>
        <v/>
      </c>
      <c r="J311" s="147" t="str">
        <f t="shared" si="165"/>
        <v/>
      </c>
      <c r="K311" s="175" t="str">
        <f t="shared" si="156"/>
        <v/>
      </c>
      <c r="L311" s="149" t="str">
        <f t="shared" si="166"/>
        <v/>
      </c>
      <c r="M311" s="149" t="str">
        <f t="shared" si="167"/>
        <v/>
      </c>
      <c r="N311" s="149" t="str">
        <f t="shared" si="168"/>
        <v/>
      </c>
      <c r="P311" s="149" t="str">
        <f t="shared" si="169"/>
        <v/>
      </c>
      <c r="Q311" s="149" t="str">
        <f t="shared" si="170"/>
        <v/>
      </c>
      <c r="R311" s="176" t="str">
        <f t="shared" si="171"/>
        <v/>
      </c>
      <c r="S311" s="113" t="str">
        <f t="shared" si="172"/>
        <v/>
      </c>
      <c r="T311" s="113" t="str">
        <f t="shared" si="157"/>
        <v/>
      </c>
      <c r="U311" s="114" t="str">
        <f t="shared" si="173"/>
        <v/>
      </c>
      <c r="V311" s="114" t="str">
        <f t="shared" si="174"/>
        <v/>
      </c>
      <c r="W311" s="114" t="str">
        <f t="shared" si="175"/>
        <v/>
      </c>
      <c r="X311" s="114"/>
      <c r="Y311" s="149" t="str">
        <f t="shared" si="176"/>
        <v/>
      </c>
      <c r="Z311" s="149" t="str">
        <f t="shared" si="177"/>
        <v/>
      </c>
      <c r="AA311" s="176" t="str">
        <f t="shared" si="178"/>
        <v/>
      </c>
      <c r="AB311" s="113" t="str">
        <f t="shared" si="179"/>
        <v/>
      </c>
      <c r="AC311" s="113" t="str">
        <f t="shared" si="158"/>
        <v/>
      </c>
      <c r="AD311" s="114" t="str">
        <f t="shared" si="180"/>
        <v/>
      </c>
      <c r="AE311" s="114" t="str">
        <f t="shared" si="181"/>
        <v/>
      </c>
      <c r="AF311" s="114" t="str">
        <f t="shared" si="182"/>
        <v/>
      </c>
      <c r="AG311" s="114"/>
      <c r="AH311" s="176" t="str">
        <f t="shared" si="183"/>
        <v/>
      </c>
      <c r="AI311" s="176" t="str">
        <f t="shared" si="184"/>
        <v/>
      </c>
      <c r="AJ311" s="176" t="str">
        <f t="shared" si="185"/>
        <v/>
      </c>
      <c r="AK311" s="113" t="str">
        <f t="shared" si="186"/>
        <v/>
      </c>
      <c r="AL311" s="113" t="str">
        <f t="shared" si="159"/>
        <v/>
      </c>
      <c r="AM311" s="114" t="str">
        <f t="shared" si="187"/>
        <v/>
      </c>
      <c r="AN311" s="114" t="str">
        <f t="shared" si="188"/>
        <v/>
      </c>
      <c r="AO311" s="114" t="str">
        <f t="shared" si="189"/>
        <v/>
      </c>
    </row>
    <row r="312" spans="1:41" x14ac:dyDescent="0.3">
      <c r="A312" s="146">
        <f t="shared" si="160"/>
        <v>290</v>
      </c>
      <c r="B312" s="147" t="str">
        <f t="shared" si="153"/>
        <v/>
      </c>
      <c r="C312" s="147" t="str">
        <f t="shared" si="152"/>
        <v/>
      </c>
      <c r="D312" s="149" t="str">
        <f t="shared" si="161"/>
        <v/>
      </c>
      <c r="E312" s="149" t="str">
        <f t="shared" si="162"/>
        <v/>
      </c>
      <c r="F312" s="149" t="str">
        <f t="shared" si="154"/>
        <v/>
      </c>
      <c r="G312" s="149" t="str">
        <f t="shared" si="155"/>
        <v/>
      </c>
      <c r="H312" s="149" t="str">
        <f t="shared" si="163"/>
        <v/>
      </c>
      <c r="I312" s="149" t="str">
        <f t="shared" si="164"/>
        <v/>
      </c>
      <c r="J312" s="147" t="str">
        <f t="shared" si="165"/>
        <v/>
      </c>
      <c r="K312" s="175" t="str">
        <f t="shared" si="156"/>
        <v/>
      </c>
      <c r="L312" s="149" t="str">
        <f t="shared" si="166"/>
        <v/>
      </c>
      <c r="M312" s="149" t="str">
        <f t="shared" si="167"/>
        <v/>
      </c>
      <c r="N312" s="149" t="str">
        <f t="shared" si="168"/>
        <v/>
      </c>
      <c r="P312" s="149" t="str">
        <f t="shared" si="169"/>
        <v/>
      </c>
      <c r="Q312" s="149" t="str">
        <f t="shared" si="170"/>
        <v/>
      </c>
      <c r="R312" s="176" t="str">
        <f t="shared" si="171"/>
        <v/>
      </c>
      <c r="S312" s="113" t="str">
        <f t="shared" si="172"/>
        <v/>
      </c>
      <c r="T312" s="113" t="str">
        <f t="shared" si="157"/>
        <v/>
      </c>
      <c r="U312" s="114" t="str">
        <f t="shared" si="173"/>
        <v/>
      </c>
      <c r="V312" s="114" t="str">
        <f t="shared" si="174"/>
        <v/>
      </c>
      <c r="W312" s="114" t="str">
        <f t="shared" si="175"/>
        <v/>
      </c>
      <c r="X312" s="114"/>
      <c r="Y312" s="149" t="str">
        <f t="shared" si="176"/>
        <v/>
      </c>
      <c r="Z312" s="149" t="str">
        <f t="shared" si="177"/>
        <v/>
      </c>
      <c r="AA312" s="176" t="str">
        <f t="shared" si="178"/>
        <v/>
      </c>
      <c r="AB312" s="113" t="str">
        <f t="shared" si="179"/>
        <v/>
      </c>
      <c r="AC312" s="113" t="str">
        <f t="shared" si="158"/>
        <v/>
      </c>
      <c r="AD312" s="114" t="str">
        <f t="shared" si="180"/>
        <v/>
      </c>
      <c r="AE312" s="114" t="str">
        <f t="shared" si="181"/>
        <v/>
      </c>
      <c r="AF312" s="114" t="str">
        <f t="shared" si="182"/>
        <v/>
      </c>
      <c r="AG312" s="114"/>
      <c r="AH312" s="176" t="str">
        <f t="shared" si="183"/>
        <v/>
      </c>
      <c r="AI312" s="176" t="str">
        <f t="shared" si="184"/>
        <v/>
      </c>
      <c r="AJ312" s="176" t="str">
        <f t="shared" si="185"/>
        <v/>
      </c>
      <c r="AK312" s="113" t="str">
        <f t="shared" si="186"/>
        <v/>
      </c>
      <c r="AL312" s="113" t="str">
        <f t="shared" si="159"/>
        <v/>
      </c>
      <c r="AM312" s="114" t="str">
        <f t="shared" si="187"/>
        <v/>
      </c>
      <c r="AN312" s="114" t="str">
        <f t="shared" si="188"/>
        <v/>
      </c>
      <c r="AO312" s="114" t="str">
        <f t="shared" si="189"/>
        <v/>
      </c>
    </row>
    <row r="313" spans="1:41" x14ac:dyDescent="0.3">
      <c r="A313" s="146">
        <f t="shared" si="160"/>
        <v>291</v>
      </c>
      <c r="B313" s="147" t="str">
        <f t="shared" si="153"/>
        <v/>
      </c>
      <c r="C313" s="147" t="str">
        <f t="shared" si="152"/>
        <v/>
      </c>
      <c r="D313" s="149" t="str">
        <f t="shared" si="161"/>
        <v/>
      </c>
      <c r="E313" s="149" t="str">
        <f t="shared" si="162"/>
        <v/>
      </c>
      <c r="F313" s="149" t="str">
        <f t="shared" si="154"/>
        <v/>
      </c>
      <c r="G313" s="149" t="str">
        <f t="shared" si="155"/>
        <v/>
      </c>
      <c r="H313" s="149" t="str">
        <f t="shared" si="163"/>
        <v/>
      </c>
      <c r="I313" s="149" t="str">
        <f t="shared" si="164"/>
        <v/>
      </c>
      <c r="J313" s="147" t="str">
        <f t="shared" si="165"/>
        <v/>
      </c>
      <c r="K313" s="175" t="str">
        <f t="shared" si="156"/>
        <v/>
      </c>
      <c r="L313" s="149" t="str">
        <f t="shared" si="166"/>
        <v/>
      </c>
      <c r="M313" s="149" t="str">
        <f t="shared" si="167"/>
        <v/>
      </c>
      <c r="N313" s="149" t="str">
        <f t="shared" si="168"/>
        <v/>
      </c>
      <c r="P313" s="149" t="str">
        <f t="shared" si="169"/>
        <v/>
      </c>
      <c r="Q313" s="149" t="str">
        <f t="shared" si="170"/>
        <v/>
      </c>
      <c r="R313" s="176" t="str">
        <f t="shared" si="171"/>
        <v/>
      </c>
      <c r="S313" s="113" t="str">
        <f t="shared" si="172"/>
        <v/>
      </c>
      <c r="T313" s="113" t="str">
        <f t="shared" si="157"/>
        <v/>
      </c>
      <c r="U313" s="114" t="str">
        <f t="shared" si="173"/>
        <v/>
      </c>
      <c r="V313" s="114" t="str">
        <f t="shared" si="174"/>
        <v/>
      </c>
      <c r="W313" s="114" t="str">
        <f t="shared" si="175"/>
        <v/>
      </c>
      <c r="X313" s="114"/>
      <c r="Y313" s="149" t="str">
        <f t="shared" si="176"/>
        <v/>
      </c>
      <c r="Z313" s="149" t="str">
        <f t="shared" si="177"/>
        <v/>
      </c>
      <c r="AA313" s="176" t="str">
        <f t="shared" si="178"/>
        <v/>
      </c>
      <c r="AB313" s="113" t="str">
        <f t="shared" si="179"/>
        <v/>
      </c>
      <c r="AC313" s="113" t="str">
        <f t="shared" si="158"/>
        <v/>
      </c>
      <c r="AD313" s="114" t="str">
        <f t="shared" si="180"/>
        <v/>
      </c>
      <c r="AE313" s="114" t="str">
        <f t="shared" si="181"/>
        <v/>
      </c>
      <c r="AF313" s="114" t="str">
        <f t="shared" si="182"/>
        <v/>
      </c>
      <c r="AG313" s="114"/>
      <c r="AH313" s="176" t="str">
        <f t="shared" si="183"/>
        <v/>
      </c>
      <c r="AI313" s="176" t="str">
        <f t="shared" si="184"/>
        <v/>
      </c>
      <c r="AJ313" s="176" t="str">
        <f t="shared" si="185"/>
        <v/>
      </c>
      <c r="AK313" s="113" t="str">
        <f t="shared" si="186"/>
        <v/>
      </c>
      <c r="AL313" s="113" t="str">
        <f t="shared" si="159"/>
        <v/>
      </c>
      <c r="AM313" s="114" t="str">
        <f t="shared" si="187"/>
        <v/>
      </c>
      <c r="AN313" s="114" t="str">
        <f t="shared" si="188"/>
        <v/>
      </c>
      <c r="AO313" s="114" t="str">
        <f t="shared" si="189"/>
        <v/>
      </c>
    </row>
    <row r="314" spans="1:41" x14ac:dyDescent="0.3">
      <c r="A314" s="146">
        <f t="shared" si="160"/>
        <v>292</v>
      </c>
      <c r="B314" s="147" t="str">
        <f t="shared" si="153"/>
        <v/>
      </c>
      <c r="C314" s="147" t="str">
        <f t="shared" si="152"/>
        <v/>
      </c>
      <c r="D314" s="149" t="str">
        <f t="shared" si="161"/>
        <v/>
      </c>
      <c r="E314" s="149" t="str">
        <f t="shared" si="162"/>
        <v/>
      </c>
      <c r="F314" s="149" t="str">
        <f t="shared" si="154"/>
        <v/>
      </c>
      <c r="G314" s="149" t="str">
        <f t="shared" si="155"/>
        <v/>
      </c>
      <c r="H314" s="149" t="str">
        <f t="shared" si="163"/>
        <v/>
      </c>
      <c r="I314" s="149" t="str">
        <f t="shared" si="164"/>
        <v/>
      </c>
      <c r="J314" s="147" t="str">
        <f t="shared" si="165"/>
        <v/>
      </c>
      <c r="K314" s="175" t="str">
        <f t="shared" si="156"/>
        <v/>
      </c>
      <c r="L314" s="149" t="str">
        <f t="shared" si="166"/>
        <v/>
      </c>
      <c r="M314" s="149" t="str">
        <f t="shared" si="167"/>
        <v/>
      </c>
      <c r="N314" s="149" t="str">
        <f t="shared" si="168"/>
        <v/>
      </c>
      <c r="P314" s="149" t="str">
        <f t="shared" si="169"/>
        <v/>
      </c>
      <c r="Q314" s="149" t="str">
        <f t="shared" si="170"/>
        <v/>
      </c>
      <c r="R314" s="176" t="str">
        <f t="shared" si="171"/>
        <v/>
      </c>
      <c r="S314" s="113" t="str">
        <f t="shared" si="172"/>
        <v/>
      </c>
      <c r="T314" s="113" t="str">
        <f t="shared" si="157"/>
        <v/>
      </c>
      <c r="U314" s="114" t="str">
        <f t="shared" si="173"/>
        <v/>
      </c>
      <c r="V314" s="114" t="str">
        <f t="shared" si="174"/>
        <v/>
      </c>
      <c r="W314" s="114" t="str">
        <f t="shared" si="175"/>
        <v/>
      </c>
      <c r="X314" s="114"/>
      <c r="Y314" s="149" t="str">
        <f t="shared" si="176"/>
        <v/>
      </c>
      <c r="Z314" s="149" t="str">
        <f t="shared" si="177"/>
        <v/>
      </c>
      <c r="AA314" s="176" t="str">
        <f t="shared" si="178"/>
        <v/>
      </c>
      <c r="AB314" s="113" t="str">
        <f t="shared" si="179"/>
        <v/>
      </c>
      <c r="AC314" s="113" t="str">
        <f t="shared" si="158"/>
        <v/>
      </c>
      <c r="AD314" s="114" t="str">
        <f t="shared" si="180"/>
        <v/>
      </c>
      <c r="AE314" s="114" t="str">
        <f t="shared" si="181"/>
        <v/>
      </c>
      <c r="AF314" s="114" t="str">
        <f t="shared" si="182"/>
        <v/>
      </c>
      <c r="AG314" s="114"/>
      <c r="AH314" s="176" t="str">
        <f t="shared" si="183"/>
        <v/>
      </c>
      <c r="AI314" s="176" t="str">
        <f t="shared" si="184"/>
        <v/>
      </c>
      <c r="AJ314" s="176" t="str">
        <f t="shared" si="185"/>
        <v/>
      </c>
      <c r="AK314" s="113" t="str">
        <f t="shared" si="186"/>
        <v/>
      </c>
      <c r="AL314" s="113" t="str">
        <f t="shared" si="159"/>
        <v/>
      </c>
      <c r="AM314" s="114" t="str">
        <f t="shared" si="187"/>
        <v/>
      </c>
      <c r="AN314" s="114" t="str">
        <f t="shared" si="188"/>
        <v/>
      </c>
      <c r="AO314" s="114" t="str">
        <f t="shared" si="189"/>
        <v/>
      </c>
    </row>
    <row r="315" spans="1:41" x14ac:dyDescent="0.3">
      <c r="A315" s="146">
        <f t="shared" si="160"/>
        <v>293</v>
      </c>
      <c r="B315" s="147" t="str">
        <f t="shared" si="153"/>
        <v/>
      </c>
      <c r="C315" s="147" t="str">
        <f t="shared" si="152"/>
        <v/>
      </c>
      <c r="D315" s="149" t="str">
        <f t="shared" si="161"/>
        <v/>
      </c>
      <c r="E315" s="149" t="str">
        <f t="shared" si="162"/>
        <v/>
      </c>
      <c r="F315" s="149" t="str">
        <f t="shared" si="154"/>
        <v/>
      </c>
      <c r="G315" s="149" t="str">
        <f t="shared" si="155"/>
        <v/>
      </c>
      <c r="H315" s="149" t="str">
        <f t="shared" si="163"/>
        <v/>
      </c>
      <c r="I315" s="149" t="str">
        <f t="shared" si="164"/>
        <v/>
      </c>
      <c r="J315" s="147" t="str">
        <f t="shared" si="165"/>
        <v/>
      </c>
      <c r="K315" s="175" t="str">
        <f t="shared" si="156"/>
        <v/>
      </c>
      <c r="L315" s="149" t="str">
        <f t="shared" si="166"/>
        <v/>
      </c>
      <c r="M315" s="149" t="str">
        <f t="shared" si="167"/>
        <v/>
      </c>
      <c r="N315" s="149" t="str">
        <f t="shared" si="168"/>
        <v/>
      </c>
      <c r="P315" s="149" t="str">
        <f t="shared" si="169"/>
        <v/>
      </c>
      <c r="Q315" s="149" t="str">
        <f t="shared" si="170"/>
        <v/>
      </c>
      <c r="R315" s="176" t="str">
        <f t="shared" si="171"/>
        <v/>
      </c>
      <c r="S315" s="113" t="str">
        <f t="shared" si="172"/>
        <v/>
      </c>
      <c r="T315" s="113" t="str">
        <f t="shared" si="157"/>
        <v/>
      </c>
      <c r="U315" s="114" t="str">
        <f t="shared" si="173"/>
        <v/>
      </c>
      <c r="V315" s="114" t="str">
        <f t="shared" si="174"/>
        <v/>
      </c>
      <c r="W315" s="114" t="str">
        <f t="shared" si="175"/>
        <v/>
      </c>
      <c r="X315" s="114"/>
      <c r="Y315" s="149" t="str">
        <f t="shared" si="176"/>
        <v/>
      </c>
      <c r="Z315" s="149" t="str">
        <f t="shared" si="177"/>
        <v/>
      </c>
      <c r="AA315" s="176" t="str">
        <f t="shared" si="178"/>
        <v/>
      </c>
      <c r="AB315" s="113" t="str">
        <f t="shared" si="179"/>
        <v/>
      </c>
      <c r="AC315" s="113" t="str">
        <f t="shared" si="158"/>
        <v/>
      </c>
      <c r="AD315" s="114" t="str">
        <f t="shared" si="180"/>
        <v/>
      </c>
      <c r="AE315" s="114" t="str">
        <f t="shared" si="181"/>
        <v/>
      </c>
      <c r="AF315" s="114" t="str">
        <f t="shared" si="182"/>
        <v/>
      </c>
      <c r="AG315" s="114"/>
      <c r="AH315" s="176" t="str">
        <f t="shared" si="183"/>
        <v/>
      </c>
      <c r="AI315" s="176" t="str">
        <f t="shared" si="184"/>
        <v/>
      </c>
      <c r="AJ315" s="176" t="str">
        <f t="shared" si="185"/>
        <v/>
      </c>
      <c r="AK315" s="113" t="str">
        <f t="shared" si="186"/>
        <v/>
      </c>
      <c r="AL315" s="113" t="str">
        <f t="shared" si="159"/>
        <v/>
      </c>
      <c r="AM315" s="114" t="str">
        <f t="shared" si="187"/>
        <v/>
      </c>
      <c r="AN315" s="114" t="str">
        <f t="shared" si="188"/>
        <v/>
      </c>
      <c r="AO315" s="114" t="str">
        <f t="shared" si="189"/>
        <v/>
      </c>
    </row>
    <row r="316" spans="1:41" x14ac:dyDescent="0.3">
      <c r="A316" s="146">
        <f t="shared" si="160"/>
        <v>294</v>
      </c>
      <c r="B316" s="147" t="str">
        <f t="shared" si="153"/>
        <v/>
      </c>
      <c r="C316" s="147" t="str">
        <f t="shared" si="152"/>
        <v/>
      </c>
      <c r="D316" s="149" t="str">
        <f t="shared" si="161"/>
        <v/>
      </c>
      <c r="E316" s="149" t="str">
        <f t="shared" si="162"/>
        <v/>
      </c>
      <c r="F316" s="149" t="str">
        <f t="shared" si="154"/>
        <v/>
      </c>
      <c r="G316" s="149" t="str">
        <f t="shared" si="155"/>
        <v/>
      </c>
      <c r="H316" s="149" t="str">
        <f t="shared" si="163"/>
        <v/>
      </c>
      <c r="I316" s="149" t="str">
        <f t="shared" si="164"/>
        <v/>
      </c>
      <c r="J316" s="147" t="str">
        <f t="shared" si="165"/>
        <v/>
      </c>
      <c r="K316" s="175" t="str">
        <f t="shared" si="156"/>
        <v/>
      </c>
      <c r="L316" s="149" t="str">
        <f t="shared" si="166"/>
        <v/>
      </c>
      <c r="M316" s="149" t="str">
        <f t="shared" si="167"/>
        <v/>
      </c>
      <c r="N316" s="149" t="str">
        <f t="shared" si="168"/>
        <v/>
      </c>
      <c r="P316" s="149" t="str">
        <f t="shared" si="169"/>
        <v/>
      </c>
      <c r="Q316" s="149" t="str">
        <f t="shared" si="170"/>
        <v/>
      </c>
      <c r="R316" s="176" t="str">
        <f t="shared" si="171"/>
        <v/>
      </c>
      <c r="S316" s="113" t="str">
        <f t="shared" si="172"/>
        <v/>
      </c>
      <c r="T316" s="113" t="str">
        <f t="shared" si="157"/>
        <v/>
      </c>
      <c r="U316" s="114" t="str">
        <f t="shared" si="173"/>
        <v/>
      </c>
      <c r="V316" s="114" t="str">
        <f t="shared" si="174"/>
        <v/>
      </c>
      <c r="W316" s="114" t="str">
        <f t="shared" si="175"/>
        <v/>
      </c>
      <c r="X316" s="114"/>
      <c r="Y316" s="149" t="str">
        <f t="shared" si="176"/>
        <v/>
      </c>
      <c r="Z316" s="149" t="str">
        <f t="shared" si="177"/>
        <v/>
      </c>
      <c r="AA316" s="176" t="str">
        <f t="shared" si="178"/>
        <v/>
      </c>
      <c r="AB316" s="113" t="str">
        <f t="shared" si="179"/>
        <v/>
      </c>
      <c r="AC316" s="113" t="str">
        <f t="shared" si="158"/>
        <v/>
      </c>
      <c r="AD316" s="114" t="str">
        <f t="shared" si="180"/>
        <v/>
      </c>
      <c r="AE316" s="114" t="str">
        <f t="shared" si="181"/>
        <v/>
      </c>
      <c r="AF316" s="114" t="str">
        <f t="shared" si="182"/>
        <v/>
      </c>
      <c r="AG316" s="114"/>
      <c r="AH316" s="176" t="str">
        <f t="shared" si="183"/>
        <v/>
      </c>
      <c r="AI316" s="176" t="str">
        <f t="shared" si="184"/>
        <v/>
      </c>
      <c r="AJ316" s="176" t="str">
        <f t="shared" si="185"/>
        <v/>
      </c>
      <c r="AK316" s="113" t="str">
        <f t="shared" si="186"/>
        <v/>
      </c>
      <c r="AL316" s="113" t="str">
        <f t="shared" si="159"/>
        <v/>
      </c>
      <c r="AM316" s="114" t="str">
        <f t="shared" si="187"/>
        <v/>
      </c>
      <c r="AN316" s="114" t="str">
        <f t="shared" si="188"/>
        <v/>
      </c>
      <c r="AO316" s="114" t="str">
        <f t="shared" si="189"/>
        <v/>
      </c>
    </row>
    <row r="317" spans="1:41" x14ac:dyDescent="0.3">
      <c r="A317" s="146">
        <f t="shared" si="160"/>
        <v>295</v>
      </c>
      <c r="B317" s="147" t="str">
        <f t="shared" si="153"/>
        <v/>
      </c>
      <c r="C317" s="147" t="str">
        <f t="shared" si="152"/>
        <v/>
      </c>
      <c r="D317" s="149" t="str">
        <f t="shared" si="161"/>
        <v/>
      </c>
      <c r="E317" s="149" t="str">
        <f t="shared" si="162"/>
        <v/>
      </c>
      <c r="F317" s="149" t="str">
        <f t="shared" si="154"/>
        <v/>
      </c>
      <c r="G317" s="149" t="str">
        <f t="shared" si="155"/>
        <v/>
      </c>
      <c r="H317" s="149" t="str">
        <f t="shared" si="163"/>
        <v/>
      </c>
      <c r="I317" s="149" t="str">
        <f t="shared" si="164"/>
        <v/>
      </c>
      <c r="J317" s="147" t="str">
        <f t="shared" si="165"/>
        <v/>
      </c>
      <c r="K317" s="175" t="str">
        <f t="shared" si="156"/>
        <v/>
      </c>
      <c r="L317" s="149" t="str">
        <f t="shared" si="166"/>
        <v/>
      </c>
      <c r="M317" s="149" t="str">
        <f t="shared" si="167"/>
        <v/>
      </c>
      <c r="N317" s="149" t="str">
        <f t="shared" si="168"/>
        <v/>
      </c>
      <c r="P317" s="149" t="str">
        <f t="shared" si="169"/>
        <v/>
      </c>
      <c r="Q317" s="149" t="str">
        <f t="shared" si="170"/>
        <v/>
      </c>
      <c r="R317" s="176" t="str">
        <f t="shared" si="171"/>
        <v/>
      </c>
      <c r="S317" s="113" t="str">
        <f t="shared" si="172"/>
        <v/>
      </c>
      <c r="T317" s="113" t="str">
        <f t="shared" si="157"/>
        <v/>
      </c>
      <c r="U317" s="114" t="str">
        <f t="shared" si="173"/>
        <v/>
      </c>
      <c r="V317" s="114" t="str">
        <f t="shared" si="174"/>
        <v/>
      </c>
      <c r="W317" s="114" t="str">
        <f t="shared" si="175"/>
        <v/>
      </c>
      <c r="X317" s="114"/>
      <c r="Y317" s="149" t="str">
        <f t="shared" si="176"/>
        <v/>
      </c>
      <c r="Z317" s="149" t="str">
        <f t="shared" si="177"/>
        <v/>
      </c>
      <c r="AA317" s="176" t="str">
        <f t="shared" si="178"/>
        <v/>
      </c>
      <c r="AB317" s="113" t="str">
        <f t="shared" si="179"/>
        <v/>
      </c>
      <c r="AC317" s="113" t="str">
        <f t="shared" si="158"/>
        <v/>
      </c>
      <c r="AD317" s="114" t="str">
        <f t="shared" si="180"/>
        <v/>
      </c>
      <c r="AE317" s="114" t="str">
        <f t="shared" si="181"/>
        <v/>
      </c>
      <c r="AF317" s="114" t="str">
        <f t="shared" si="182"/>
        <v/>
      </c>
      <c r="AG317" s="114"/>
      <c r="AH317" s="176" t="str">
        <f t="shared" si="183"/>
        <v/>
      </c>
      <c r="AI317" s="176" t="str">
        <f t="shared" si="184"/>
        <v/>
      </c>
      <c r="AJ317" s="176" t="str">
        <f t="shared" si="185"/>
        <v/>
      </c>
      <c r="AK317" s="113" t="str">
        <f t="shared" si="186"/>
        <v/>
      </c>
      <c r="AL317" s="113" t="str">
        <f t="shared" si="159"/>
        <v/>
      </c>
      <c r="AM317" s="114" t="str">
        <f t="shared" si="187"/>
        <v/>
      </c>
      <c r="AN317" s="114" t="str">
        <f t="shared" si="188"/>
        <v/>
      </c>
      <c r="AO317" s="114" t="str">
        <f t="shared" si="189"/>
        <v/>
      </c>
    </row>
    <row r="318" spans="1:41" x14ac:dyDescent="0.3">
      <c r="A318" s="146">
        <f t="shared" si="160"/>
        <v>296</v>
      </c>
      <c r="B318" s="147" t="str">
        <f t="shared" si="153"/>
        <v/>
      </c>
      <c r="C318" s="147" t="str">
        <f t="shared" si="152"/>
        <v/>
      </c>
      <c r="D318" s="149" t="str">
        <f t="shared" si="161"/>
        <v/>
      </c>
      <c r="E318" s="149" t="str">
        <f t="shared" si="162"/>
        <v/>
      </c>
      <c r="F318" s="149" t="str">
        <f t="shared" si="154"/>
        <v/>
      </c>
      <c r="G318" s="149" t="str">
        <f t="shared" si="155"/>
        <v/>
      </c>
      <c r="H318" s="149" t="str">
        <f t="shared" si="163"/>
        <v/>
      </c>
      <c r="I318" s="149" t="str">
        <f t="shared" si="164"/>
        <v/>
      </c>
      <c r="J318" s="147" t="str">
        <f t="shared" si="165"/>
        <v/>
      </c>
      <c r="K318" s="175" t="str">
        <f t="shared" si="156"/>
        <v/>
      </c>
      <c r="L318" s="149" t="str">
        <f t="shared" si="166"/>
        <v/>
      </c>
      <c r="M318" s="149" t="str">
        <f t="shared" si="167"/>
        <v/>
      </c>
      <c r="N318" s="149" t="str">
        <f t="shared" si="168"/>
        <v/>
      </c>
      <c r="P318" s="149" t="str">
        <f t="shared" si="169"/>
        <v/>
      </c>
      <c r="Q318" s="149" t="str">
        <f t="shared" si="170"/>
        <v/>
      </c>
      <c r="R318" s="176" t="str">
        <f t="shared" si="171"/>
        <v/>
      </c>
      <c r="S318" s="113" t="str">
        <f t="shared" si="172"/>
        <v/>
      </c>
      <c r="T318" s="113" t="str">
        <f t="shared" si="157"/>
        <v/>
      </c>
      <c r="U318" s="114" t="str">
        <f t="shared" si="173"/>
        <v/>
      </c>
      <c r="V318" s="114" t="str">
        <f t="shared" si="174"/>
        <v/>
      </c>
      <c r="W318" s="114" t="str">
        <f t="shared" si="175"/>
        <v/>
      </c>
      <c r="X318" s="114"/>
      <c r="Y318" s="149" t="str">
        <f t="shared" si="176"/>
        <v/>
      </c>
      <c r="Z318" s="149" t="str">
        <f t="shared" si="177"/>
        <v/>
      </c>
      <c r="AA318" s="176" t="str">
        <f t="shared" si="178"/>
        <v/>
      </c>
      <c r="AB318" s="113" t="str">
        <f t="shared" si="179"/>
        <v/>
      </c>
      <c r="AC318" s="113" t="str">
        <f t="shared" si="158"/>
        <v/>
      </c>
      <c r="AD318" s="114" t="str">
        <f t="shared" si="180"/>
        <v/>
      </c>
      <c r="AE318" s="114" t="str">
        <f t="shared" si="181"/>
        <v/>
      </c>
      <c r="AF318" s="114" t="str">
        <f t="shared" si="182"/>
        <v/>
      </c>
      <c r="AG318" s="114"/>
      <c r="AH318" s="176" t="str">
        <f t="shared" si="183"/>
        <v/>
      </c>
      <c r="AI318" s="176" t="str">
        <f t="shared" si="184"/>
        <v/>
      </c>
      <c r="AJ318" s="176" t="str">
        <f t="shared" si="185"/>
        <v/>
      </c>
      <c r="AK318" s="113" t="str">
        <f t="shared" si="186"/>
        <v/>
      </c>
      <c r="AL318" s="113" t="str">
        <f t="shared" si="159"/>
        <v/>
      </c>
      <c r="AM318" s="114" t="str">
        <f t="shared" si="187"/>
        <v/>
      </c>
      <c r="AN318" s="114" t="str">
        <f t="shared" si="188"/>
        <v/>
      </c>
      <c r="AO318" s="114" t="str">
        <f t="shared" si="189"/>
        <v/>
      </c>
    </row>
    <row r="319" spans="1:41" x14ac:dyDescent="0.3">
      <c r="A319" s="146">
        <f t="shared" si="160"/>
        <v>297</v>
      </c>
      <c r="B319" s="147" t="str">
        <f t="shared" si="153"/>
        <v/>
      </c>
      <c r="C319" s="147" t="str">
        <f t="shared" si="152"/>
        <v/>
      </c>
      <c r="D319" s="149" t="str">
        <f t="shared" si="161"/>
        <v/>
      </c>
      <c r="E319" s="149" t="str">
        <f t="shared" si="162"/>
        <v/>
      </c>
      <c r="F319" s="149" t="str">
        <f t="shared" si="154"/>
        <v/>
      </c>
      <c r="G319" s="149" t="str">
        <f t="shared" si="155"/>
        <v/>
      </c>
      <c r="H319" s="149" t="str">
        <f t="shared" si="163"/>
        <v/>
      </c>
      <c r="I319" s="149" t="str">
        <f t="shared" si="164"/>
        <v/>
      </c>
      <c r="J319" s="147" t="str">
        <f t="shared" si="165"/>
        <v/>
      </c>
      <c r="K319" s="175" t="str">
        <f t="shared" si="156"/>
        <v/>
      </c>
      <c r="L319" s="149" t="str">
        <f t="shared" si="166"/>
        <v/>
      </c>
      <c r="M319" s="149" t="str">
        <f t="shared" si="167"/>
        <v/>
      </c>
      <c r="N319" s="149" t="str">
        <f t="shared" si="168"/>
        <v/>
      </c>
      <c r="P319" s="149" t="str">
        <f t="shared" si="169"/>
        <v/>
      </c>
      <c r="Q319" s="149" t="str">
        <f t="shared" si="170"/>
        <v/>
      </c>
      <c r="R319" s="176" t="str">
        <f t="shared" si="171"/>
        <v/>
      </c>
      <c r="S319" s="113" t="str">
        <f t="shared" si="172"/>
        <v/>
      </c>
      <c r="T319" s="113" t="str">
        <f t="shared" si="157"/>
        <v/>
      </c>
      <c r="U319" s="114" t="str">
        <f t="shared" si="173"/>
        <v/>
      </c>
      <c r="V319" s="114" t="str">
        <f t="shared" si="174"/>
        <v/>
      </c>
      <c r="W319" s="114" t="str">
        <f t="shared" si="175"/>
        <v/>
      </c>
      <c r="X319" s="114"/>
      <c r="Y319" s="149" t="str">
        <f t="shared" si="176"/>
        <v/>
      </c>
      <c r="Z319" s="149" t="str">
        <f t="shared" si="177"/>
        <v/>
      </c>
      <c r="AA319" s="176" t="str">
        <f t="shared" si="178"/>
        <v/>
      </c>
      <c r="AB319" s="113" t="str">
        <f t="shared" si="179"/>
        <v/>
      </c>
      <c r="AC319" s="113" t="str">
        <f t="shared" si="158"/>
        <v/>
      </c>
      <c r="AD319" s="114" t="str">
        <f t="shared" si="180"/>
        <v/>
      </c>
      <c r="AE319" s="114" t="str">
        <f t="shared" si="181"/>
        <v/>
      </c>
      <c r="AF319" s="114" t="str">
        <f t="shared" si="182"/>
        <v/>
      </c>
      <c r="AG319" s="114"/>
      <c r="AH319" s="176" t="str">
        <f t="shared" si="183"/>
        <v/>
      </c>
      <c r="AI319" s="176" t="str">
        <f t="shared" si="184"/>
        <v/>
      </c>
      <c r="AJ319" s="176" t="str">
        <f t="shared" si="185"/>
        <v/>
      </c>
      <c r="AK319" s="113" t="str">
        <f t="shared" si="186"/>
        <v/>
      </c>
      <c r="AL319" s="113" t="str">
        <f t="shared" si="159"/>
        <v/>
      </c>
      <c r="AM319" s="114" t="str">
        <f t="shared" si="187"/>
        <v/>
      </c>
      <c r="AN319" s="114" t="str">
        <f t="shared" si="188"/>
        <v/>
      </c>
      <c r="AO319" s="114" t="str">
        <f t="shared" si="189"/>
        <v/>
      </c>
    </row>
    <row r="320" spans="1:41" x14ac:dyDescent="0.3">
      <c r="A320" s="146">
        <f t="shared" si="160"/>
        <v>298</v>
      </c>
      <c r="B320" s="147" t="str">
        <f t="shared" si="153"/>
        <v/>
      </c>
      <c r="C320" s="147" t="str">
        <f t="shared" si="152"/>
        <v/>
      </c>
      <c r="D320" s="149" t="str">
        <f t="shared" si="161"/>
        <v/>
      </c>
      <c r="E320" s="149" t="str">
        <f t="shared" si="162"/>
        <v/>
      </c>
      <c r="F320" s="149" t="str">
        <f t="shared" si="154"/>
        <v/>
      </c>
      <c r="G320" s="149" t="str">
        <f t="shared" si="155"/>
        <v/>
      </c>
      <c r="H320" s="149" t="str">
        <f t="shared" si="163"/>
        <v/>
      </c>
      <c r="I320" s="149" t="str">
        <f t="shared" si="164"/>
        <v/>
      </c>
      <c r="J320" s="147" t="str">
        <f t="shared" si="165"/>
        <v/>
      </c>
      <c r="K320" s="175" t="str">
        <f t="shared" si="156"/>
        <v/>
      </c>
      <c r="L320" s="149" t="str">
        <f t="shared" si="166"/>
        <v/>
      </c>
      <c r="M320" s="149" t="str">
        <f t="shared" si="167"/>
        <v/>
      </c>
      <c r="N320" s="149" t="str">
        <f t="shared" si="168"/>
        <v/>
      </c>
      <c r="P320" s="149" t="str">
        <f t="shared" si="169"/>
        <v/>
      </c>
      <c r="Q320" s="149" t="str">
        <f t="shared" si="170"/>
        <v/>
      </c>
      <c r="R320" s="176" t="str">
        <f t="shared" si="171"/>
        <v/>
      </c>
      <c r="S320" s="113" t="str">
        <f t="shared" si="172"/>
        <v/>
      </c>
      <c r="T320" s="113" t="str">
        <f t="shared" si="157"/>
        <v/>
      </c>
      <c r="U320" s="114" t="str">
        <f t="shared" si="173"/>
        <v/>
      </c>
      <c r="V320" s="114" t="str">
        <f t="shared" si="174"/>
        <v/>
      </c>
      <c r="W320" s="114" t="str">
        <f t="shared" si="175"/>
        <v/>
      </c>
      <c r="X320" s="114"/>
      <c r="Y320" s="149" t="str">
        <f t="shared" si="176"/>
        <v/>
      </c>
      <c r="Z320" s="149" t="str">
        <f t="shared" si="177"/>
        <v/>
      </c>
      <c r="AA320" s="176" t="str">
        <f t="shared" si="178"/>
        <v/>
      </c>
      <c r="AB320" s="113" t="str">
        <f t="shared" si="179"/>
        <v/>
      </c>
      <c r="AC320" s="113" t="str">
        <f t="shared" si="158"/>
        <v/>
      </c>
      <c r="AD320" s="114" t="str">
        <f t="shared" si="180"/>
        <v/>
      </c>
      <c r="AE320" s="114" t="str">
        <f t="shared" si="181"/>
        <v/>
      </c>
      <c r="AF320" s="114" t="str">
        <f t="shared" si="182"/>
        <v/>
      </c>
      <c r="AG320" s="114"/>
      <c r="AH320" s="176" t="str">
        <f t="shared" si="183"/>
        <v/>
      </c>
      <c r="AI320" s="176" t="str">
        <f t="shared" si="184"/>
        <v/>
      </c>
      <c r="AJ320" s="176" t="str">
        <f t="shared" si="185"/>
        <v/>
      </c>
      <c r="AK320" s="113" t="str">
        <f t="shared" si="186"/>
        <v/>
      </c>
      <c r="AL320" s="113" t="str">
        <f t="shared" si="159"/>
        <v/>
      </c>
      <c r="AM320" s="114" t="str">
        <f t="shared" si="187"/>
        <v/>
      </c>
      <c r="AN320" s="114" t="str">
        <f t="shared" si="188"/>
        <v/>
      </c>
      <c r="AO320" s="114" t="str">
        <f t="shared" si="189"/>
        <v/>
      </c>
    </row>
    <row r="321" spans="1:41" x14ac:dyDescent="0.3">
      <c r="A321" s="146">
        <f t="shared" si="160"/>
        <v>299</v>
      </c>
      <c r="B321" s="147" t="str">
        <f t="shared" si="153"/>
        <v/>
      </c>
      <c r="C321" s="147" t="str">
        <f t="shared" si="152"/>
        <v/>
      </c>
      <c r="D321" s="149" t="str">
        <f t="shared" si="161"/>
        <v/>
      </c>
      <c r="E321" s="149" t="str">
        <f t="shared" si="162"/>
        <v/>
      </c>
      <c r="F321" s="149" t="str">
        <f t="shared" si="154"/>
        <v/>
      </c>
      <c r="G321" s="149" t="str">
        <f t="shared" si="155"/>
        <v/>
      </c>
      <c r="H321" s="149" t="str">
        <f t="shared" si="163"/>
        <v/>
      </c>
      <c r="I321" s="149" t="str">
        <f t="shared" si="164"/>
        <v/>
      </c>
      <c r="J321" s="147" t="str">
        <f t="shared" si="165"/>
        <v/>
      </c>
      <c r="K321" s="175" t="str">
        <f t="shared" si="156"/>
        <v/>
      </c>
      <c r="L321" s="149" t="str">
        <f t="shared" si="166"/>
        <v/>
      </c>
      <c r="M321" s="149" t="str">
        <f t="shared" si="167"/>
        <v/>
      </c>
      <c r="N321" s="149" t="str">
        <f t="shared" si="168"/>
        <v/>
      </c>
      <c r="P321" s="149" t="str">
        <f t="shared" si="169"/>
        <v/>
      </c>
      <c r="Q321" s="149" t="str">
        <f t="shared" si="170"/>
        <v/>
      </c>
      <c r="R321" s="176" t="str">
        <f t="shared" si="171"/>
        <v/>
      </c>
      <c r="S321" s="113" t="str">
        <f t="shared" si="172"/>
        <v/>
      </c>
      <c r="T321" s="113" t="str">
        <f t="shared" si="157"/>
        <v/>
      </c>
      <c r="U321" s="114" t="str">
        <f t="shared" si="173"/>
        <v/>
      </c>
      <c r="V321" s="114" t="str">
        <f t="shared" si="174"/>
        <v/>
      </c>
      <c r="W321" s="114" t="str">
        <f t="shared" si="175"/>
        <v/>
      </c>
      <c r="X321" s="114"/>
      <c r="Y321" s="149" t="str">
        <f t="shared" si="176"/>
        <v/>
      </c>
      <c r="Z321" s="149" t="str">
        <f t="shared" si="177"/>
        <v/>
      </c>
      <c r="AA321" s="176" t="str">
        <f t="shared" si="178"/>
        <v/>
      </c>
      <c r="AB321" s="113" t="str">
        <f t="shared" si="179"/>
        <v/>
      </c>
      <c r="AC321" s="113" t="str">
        <f t="shared" si="158"/>
        <v/>
      </c>
      <c r="AD321" s="114" t="str">
        <f t="shared" si="180"/>
        <v/>
      </c>
      <c r="AE321" s="114" t="str">
        <f t="shared" si="181"/>
        <v/>
      </c>
      <c r="AF321" s="114" t="str">
        <f t="shared" si="182"/>
        <v/>
      </c>
      <c r="AG321" s="114"/>
      <c r="AH321" s="176" t="str">
        <f t="shared" si="183"/>
        <v/>
      </c>
      <c r="AI321" s="176" t="str">
        <f t="shared" si="184"/>
        <v/>
      </c>
      <c r="AJ321" s="176" t="str">
        <f t="shared" si="185"/>
        <v/>
      </c>
      <c r="AK321" s="113" t="str">
        <f t="shared" si="186"/>
        <v/>
      </c>
      <c r="AL321" s="113" t="str">
        <f t="shared" si="159"/>
        <v/>
      </c>
      <c r="AM321" s="114" t="str">
        <f t="shared" si="187"/>
        <v/>
      </c>
      <c r="AN321" s="114" t="str">
        <f t="shared" si="188"/>
        <v/>
      </c>
      <c r="AO321" s="114" t="str">
        <f t="shared" si="189"/>
        <v/>
      </c>
    </row>
    <row r="322" spans="1:41" x14ac:dyDescent="0.3">
      <c r="A322" s="146">
        <f t="shared" si="160"/>
        <v>300</v>
      </c>
      <c r="B322" s="147" t="str">
        <f t="shared" si="153"/>
        <v/>
      </c>
      <c r="C322" s="147" t="str">
        <f t="shared" si="152"/>
        <v/>
      </c>
      <c r="D322" s="149" t="str">
        <f t="shared" si="161"/>
        <v/>
      </c>
      <c r="E322" s="149" t="str">
        <f t="shared" si="162"/>
        <v/>
      </c>
      <c r="F322" s="149" t="str">
        <f t="shared" si="154"/>
        <v/>
      </c>
      <c r="G322" s="149" t="str">
        <f t="shared" si="155"/>
        <v/>
      </c>
      <c r="H322" s="149" t="str">
        <f t="shared" si="163"/>
        <v/>
      </c>
      <c r="I322" s="149" t="str">
        <f t="shared" si="164"/>
        <v/>
      </c>
      <c r="J322" s="147" t="str">
        <f t="shared" si="165"/>
        <v/>
      </c>
      <c r="K322" s="175" t="str">
        <f t="shared" si="156"/>
        <v/>
      </c>
      <c r="L322" s="149" t="str">
        <f t="shared" si="166"/>
        <v/>
      </c>
      <c r="M322" s="149" t="str">
        <f t="shared" si="167"/>
        <v/>
      </c>
      <c r="N322" s="149" t="str">
        <f t="shared" si="168"/>
        <v/>
      </c>
      <c r="P322" s="149" t="str">
        <f t="shared" si="169"/>
        <v/>
      </c>
      <c r="Q322" s="149" t="str">
        <f t="shared" si="170"/>
        <v/>
      </c>
      <c r="R322" s="176" t="str">
        <f t="shared" si="171"/>
        <v/>
      </c>
      <c r="S322" s="113" t="str">
        <f t="shared" si="172"/>
        <v/>
      </c>
      <c r="T322" s="113" t="str">
        <f t="shared" si="157"/>
        <v/>
      </c>
      <c r="U322" s="114" t="str">
        <f t="shared" si="173"/>
        <v/>
      </c>
      <c r="V322" s="114" t="str">
        <f t="shared" si="174"/>
        <v/>
      </c>
      <c r="W322" s="114" t="str">
        <f t="shared" si="175"/>
        <v/>
      </c>
      <c r="X322" s="114"/>
      <c r="Y322" s="149" t="str">
        <f t="shared" si="176"/>
        <v/>
      </c>
      <c r="Z322" s="149" t="str">
        <f t="shared" si="177"/>
        <v/>
      </c>
      <c r="AA322" s="176" t="str">
        <f t="shared" si="178"/>
        <v/>
      </c>
      <c r="AB322" s="113" t="str">
        <f t="shared" si="179"/>
        <v/>
      </c>
      <c r="AC322" s="113" t="str">
        <f t="shared" si="158"/>
        <v/>
      </c>
      <c r="AD322" s="114" t="str">
        <f t="shared" si="180"/>
        <v/>
      </c>
      <c r="AE322" s="114" t="str">
        <f t="shared" si="181"/>
        <v/>
      </c>
      <c r="AF322" s="114" t="str">
        <f t="shared" si="182"/>
        <v/>
      </c>
      <c r="AG322" s="114"/>
      <c r="AH322" s="176" t="str">
        <f t="shared" si="183"/>
        <v/>
      </c>
      <c r="AI322" s="176" t="str">
        <f t="shared" si="184"/>
        <v/>
      </c>
      <c r="AJ322" s="176" t="str">
        <f t="shared" si="185"/>
        <v/>
      </c>
      <c r="AK322" s="113" t="str">
        <f t="shared" si="186"/>
        <v/>
      </c>
      <c r="AL322" s="113" t="str">
        <f t="shared" si="159"/>
        <v/>
      </c>
      <c r="AM322" s="114" t="str">
        <f t="shared" si="187"/>
        <v/>
      </c>
      <c r="AN322" s="114" t="str">
        <f t="shared" si="188"/>
        <v/>
      </c>
      <c r="AO322" s="114" t="str">
        <f t="shared" si="189"/>
        <v/>
      </c>
    </row>
    <row r="323" spans="1:41" x14ac:dyDescent="0.3">
      <c r="A323" s="146">
        <f t="shared" si="160"/>
        <v>301</v>
      </c>
      <c r="B323" s="147" t="str">
        <f t="shared" si="153"/>
        <v/>
      </c>
      <c r="C323" s="147" t="str">
        <f t="shared" si="152"/>
        <v/>
      </c>
      <c r="D323" s="149" t="str">
        <f t="shared" si="161"/>
        <v/>
      </c>
      <c r="E323" s="149" t="str">
        <f t="shared" si="162"/>
        <v/>
      </c>
      <c r="F323" s="149" t="str">
        <f t="shared" si="154"/>
        <v/>
      </c>
      <c r="G323" s="149" t="str">
        <f t="shared" si="155"/>
        <v/>
      </c>
      <c r="H323" s="149" t="str">
        <f t="shared" si="163"/>
        <v/>
      </c>
      <c r="I323" s="149" t="str">
        <f t="shared" si="164"/>
        <v/>
      </c>
      <c r="J323" s="147" t="str">
        <f t="shared" si="165"/>
        <v/>
      </c>
      <c r="K323" s="175" t="str">
        <f t="shared" si="156"/>
        <v/>
      </c>
      <c r="L323" s="149" t="str">
        <f t="shared" si="166"/>
        <v/>
      </c>
      <c r="M323" s="149" t="str">
        <f t="shared" si="167"/>
        <v/>
      </c>
      <c r="N323" s="149" t="str">
        <f t="shared" si="168"/>
        <v/>
      </c>
      <c r="P323" s="149" t="str">
        <f t="shared" si="169"/>
        <v/>
      </c>
      <c r="Q323" s="149" t="str">
        <f t="shared" si="170"/>
        <v/>
      </c>
      <c r="R323" s="176" t="str">
        <f t="shared" si="171"/>
        <v/>
      </c>
      <c r="S323" s="113" t="str">
        <f t="shared" si="172"/>
        <v/>
      </c>
      <c r="T323" s="113" t="str">
        <f t="shared" si="157"/>
        <v/>
      </c>
      <c r="U323" s="114" t="str">
        <f t="shared" si="173"/>
        <v/>
      </c>
      <c r="V323" s="114" t="str">
        <f t="shared" si="174"/>
        <v/>
      </c>
      <c r="W323" s="114" t="str">
        <f t="shared" si="175"/>
        <v/>
      </c>
      <c r="X323" s="114"/>
      <c r="Y323" s="149" t="str">
        <f t="shared" si="176"/>
        <v/>
      </c>
      <c r="Z323" s="149" t="str">
        <f t="shared" si="177"/>
        <v/>
      </c>
      <c r="AA323" s="176" t="str">
        <f t="shared" si="178"/>
        <v/>
      </c>
      <c r="AB323" s="113" t="str">
        <f t="shared" si="179"/>
        <v/>
      </c>
      <c r="AC323" s="113" t="str">
        <f t="shared" si="158"/>
        <v/>
      </c>
      <c r="AD323" s="114" t="str">
        <f t="shared" si="180"/>
        <v/>
      </c>
      <c r="AE323" s="114" t="str">
        <f t="shared" si="181"/>
        <v/>
      </c>
      <c r="AF323" s="114" t="str">
        <f t="shared" si="182"/>
        <v/>
      </c>
      <c r="AG323" s="114"/>
      <c r="AH323" s="176" t="str">
        <f t="shared" si="183"/>
        <v/>
      </c>
      <c r="AI323" s="176" t="str">
        <f t="shared" si="184"/>
        <v/>
      </c>
      <c r="AJ323" s="176" t="str">
        <f t="shared" si="185"/>
        <v/>
      </c>
      <c r="AK323" s="113" t="str">
        <f t="shared" si="186"/>
        <v/>
      </c>
      <c r="AL323" s="113" t="str">
        <f t="shared" si="159"/>
        <v/>
      </c>
      <c r="AM323" s="114" t="str">
        <f t="shared" si="187"/>
        <v/>
      </c>
      <c r="AN323" s="114" t="str">
        <f t="shared" si="188"/>
        <v/>
      </c>
      <c r="AO323" s="114" t="str">
        <f t="shared" si="189"/>
        <v/>
      </c>
    </row>
    <row r="324" spans="1:41" x14ac:dyDescent="0.3">
      <c r="A324" s="146">
        <f t="shared" si="160"/>
        <v>302</v>
      </c>
      <c r="B324" s="147" t="str">
        <f t="shared" si="153"/>
        <v/>
      </c>
      <c r="C324" s="147" t="str">
        <f t="shared" si="152"/>
        <v/>
      </c>
      <c r="D324" s="149" t="str">
        <f t="shared" si="161"/>
        <v/>
      </c>
      <c r="E324" s="149" t="str">
        <f t="shared" si="162"/>
        <v/>
      </c>
      <c r="F324" s="149" t="str">
        <f t="shared" si="154"/>
        <v/>
      </c>
      <c r="G324" s="149" t="str">
        <f t="shared" si="155"/>
        <v/>
      </c>
      <c r="H324" s="149" t="str">
        <f t="shared" si="163"/>
        <v/>
      </c>
      <c r="I324" s="149" t="str">
        <f t="shared" si="164"/>
        <v/>
      </c>
      <c r="J324" s="147" t="str">
        <f t="shared" si="165"/>
        <v/>
      </c>
      <c r="K324" s="175" t="str">
        <f t="shared" si="156"/>
        <v/>
      </c>
      <c r="L324" s="149" t="str">
        <f t="shared" si="166"/>
        <v/>
      </c>
      <c r="M324" s="149" t="str">
        <f t="shared" si="167"/>
        <v/>
      </c>
      <c r="N324" s="149" t="str">
        <f t="shared" si="168"/>
        <v/>
      </c>
      <c r="P324" s="149" t="str">
        <f t="shared" si="169"/>
        <v/>
      </c>
      <c r="Q324" s="149" t="str">
        <f t="shared" si="170"/>
        <v/>
      </c>
      <c r="R324" s="176" t="str">
        <f t="shared" si="171"/>
        <v/>
      </c>
      <c r="S324" s="113" t="str">
        <f t="shared" si="172"/>
        <v/>
      </c>
      <c r="T324" s="113" t="str">
        <f t="shared" si="157"/>
        <v/>
      </c>
      <c r="U324" s="114" t="str">
        <f t="shared" si="173"/>
        <v/>
      </c>
      <c r="V324" s="114" t="str">
        <f t="shared" si="174"/>
        <v/>
      </c>
      <c r="W324" s="114" t="str">
        <f t="shared" si="175"/>
        <v/>
      </c>
      <c r="X324" s="114"/>
      <c r="Y324" s="149" t="str">
        <f t="shared" si="176"/>
        <v/>
      </c>
      <c r="Z324" s="149" t="str">
        <f t="shared" si="177"/>
        <v/>
      </c>
      <c r="AA324" s="176" t="str">
        <f t="shared" si="178"/>
        <v/>
      </c>
      <c r="AB324" s="113" t="str">
        <f t="shared" si="179"/>
        <v/>
      </c>
      <c r="AC324" s="113" t="str">
        <f t="shared" si="158"/>
        <v/>
      </c>
      <c r="AD324" s="114" t="str">
        <f t="shared" si="180"/>
        <v/>
      </c>
      <c r="AE324" s="114" t="str">
        <f t="shared" si="181"/>
        <v/>
      </c>
      <c r="AF324" s="114" t="str">
        <f t="shared" si="182"/>
        <v/>
      </c>
      <c r="AG324" s="114"/>
      <c r="AH324" s="176" t="str">
        <f t="shared" si="183"/>
        <v/>
      </c>
      <c r="AI324" s="176" t="str">
        <f t="shared" si="184"/>
        <v/>
      </c>
      <c r="AJ324" s="176" t="str">
        <f t="shared" si="185"/>
        <v/>
      </c>
      <c r="AK324" s="113" t="str">
        <f t="shared" si="186"/>
        <v/>
      </c>
      <c r="AL324" s="113" t="str">
        <f t="shared" si="159"/>
        <v/>
      </c>
      <c r="AM324" s="114" t="str">
        <f t="shared" si="187"/>
        <v/>
      </c>
      <c r="AN324" s="114" t="str">
        <f t="shared" si="188"/>
        <v/>
      </c>
      <c r="AO324" s="114" t="str">
        <f t="shared" si="189"/>
        <v/>
      </c>
    </row>
    <row r="325" spans="1:41" x14ac:dyDescent="0.3">
      <c r="A325" s="146">
        <f t="shared" si="160"/>
        <v>303</v>
      </c>
      <c r="B325" s="147" t="str">
        <f t="shared" si="153"/>
        <v/>
      </c>
      <c r="C325" s="147" t="str">
        <f t="shared" si="152"/>
        <v/>
      </c>
      <c r="D325" s="149" t="str">
        <f t="shared" si="161"/>
        <v/>
      </c>
      <c r="E325" s="149" t="str">
        <f t="shared" si="162"/>
        <v/>
      </c>
      <c r="F325" s="149" t="str">
        <f t="shared" si="154"/>
        <v/>
      </c>
      <c r="G325" s="149" t="str">
        <f t="shared" si="155"/>
        <v/>
      </c>
      <c r="H325" s="149" t="str">
        <f t="shared" si="163"/>
        <v/>
      </c>
      <c r="I325" s="149" t="str">
        <f t="shared" si="164"/>
        <v/>
      </c>
      <c r="J325" s="147" t="str">
        <f t="shared" si="165"/>
        <v/>
      </c>
      <c r="K325" s="175" t="str">
        <f t="shared" si="156"/>
        <v/>
      </c>
      <c r="L325" s="149" t="str">
        <f t="shared" si="166"/>
        <v/>
      </c>
      <c r="M325" s="149" t="str">
        <f t="shared" si="167"/>
        <v/>
      </c>
      <c r="N325" s="149" t="str">
        <f t="shared" si="168"/>
        <v/>
      </c>
      <c r="P325" s="149" t="str">
        <f t="shared" si="169"/>
        <v/>
      </c>
      <c r="Q325" s="149" t="str">
        <f t="shared" si="170"/>
        <v/>
      </c>
      <c r="R325" s="176" t="str">
        <f t="shared" si="171"/>
        <v/>
      </c>
      <c r="S325" s="113" t="str">
        <f t="shared" si="172"/>
        <v/>
      </c>
      <c r="T325" s="113" t="str">
        <f t="shared" si="157"/>
        <v/>
      </c>
      <c r="U325" s="114" t="str">
        <f t="shared" si="173"/>
        <v/>
      </c>
      <c r="V325" s="114" t="str">
        <f t="shared" si="174"/>
        <v/>
      </c>
      <c r="W325" s="114" t="str">
        <f t="shared" si="175"/>
        <v/>
      </c>
      <c r="X325" s="114"/>
      <c r="Y325" s="149" t="str">
        <f t="shared" si="176"/>
        <v/>
      </c>
      <c r="Z325" s="149" t="str">
        <f t="shared" si="177"/>
        <v/>
      </c>
      <c r="AA325" s="176" t="str">
        <f t="shared" si="178"/>
        <v/>
      </c>
      <c r="AB325" s="113" t="str">
        <f t="shared" si="179"/>
        <v/>
      </c>
      <c r="AC325" s="113" t="str">
        <f t="shared" si="158"/>
        <v/>
      </c>
      <c r="AD325" s="114" t="str">
        <f t="shared" si="180"/>
        <v/>
      </c>
      <c r="AE325" s="114" t="str">
        <f t="shared" si="181"/>
        <v/>
      </c>
      <c r="AF325" s="114" t="str">
        <f t="shared" si="182"/>
        <v/>
      </c>
      <c r="AG325" s="114"/>
      <c r="AH325" s="176" t="str">
        <f t="shared" si="183"/>
        <v/>
      </c>
      <c r="AI325" s="176" t="str">
        <f t="shared" si="184"/>
        <v/>
      </c>
      <c r="AJ325" s="176" t="str">
        <f t="shared" si="185"/>
        <v/>
      </c>
      <c r="AK325" s="113" t="str">
        <f t="shared" si="186"/>
        <v/>
      </c>
      <c r="AL325" s="113" t="str">
        <f t="shared" si="159"/>
        <v/>
      </c>
      <c r="AM325" s="114" t="str">
        <f t="shared" si="187"/>
        <v/>
      </c>
      <c r="AN325" s="114" t="str">
        <f t="shared" si="188"/>
        <v/>
      </c>
      <c r="AO325" s="114" t="str">
        <f t="shared" si="189"/>
        <v/>
      </c>
    </row>
    <row r="326" spans="1:41" x14ac:dyDescent="0.3">
      <c r="A326" s="146">
        <f t="shared" si="160"/>
        <v>304</v>
      </c>
      <c r="B326" s="147" t="str">
        <f t="shared" si="153"/>
        <v/>
      </c>
      <c r="C326" s="147" t="str">
        <f t="shared" si="152"/>
        <v/>
      </c>
      <c r="D326" s="149" t="str">
        <f t="shared" si="161"/>
        <v/>
      </c>
      <c r="E326" s="149" t="str">
        <f t="shared" si="162"/>
        <v/>
      </c>
      <c r="F326" s="149" t="str">
        <f t="shared" si="154"/>
        <v/>
      </c>
      <c r="G326" s="149" t="str">
        <f t="shared" si="155"/>
        <v/>
      </c>
      <c r="H326" s="149" t="str">
        <f t="shared" si="163"/>
        <v/>
      </c>
      <c r="I326" s="149" t="str">
        <f t="shared" si="164"/>
        <v/>
      </c>
      <c r="J326" s="147" t="str">
        <f t="shared" si="165"/>
        <v/>
      </c>
      <c r="K326" s="175" t="str">
        <f t="shared" si="156"/>
        <v/>
      </c>
      <c r="L326" s="149" t="str">
        <f t="shared" si="166"/>
        <v/>
      </c>
      <c r="M326" s="149" t="str">
        <f t="shared" si="167"/>
        <v/>
      </c>
      <c r="N326" s="149" t="str">
        <f t="shared" si="168"/>
        <v/>
      </c>
      <c r="P326" s="149" t="str">
        <f t="shared" si="169"/>
        <v/>
      </c>
      <c r="Q326" s="149" t="str">
        <f t="shared" si="170"/>
        <v/>
      </c>
      <c r="R326" s="176" t="str">
        <f t="shared" si="171"/>
        <v/>
      </c>
      <c r="S326" s="113" t="str">
        <f t="shared" si="172"/>
        <v/>
      </c>
      <c r="T326" s="113" t="str">
        <f t="shared" si="157"/>
        <v/>
      </c>
      <c r="U326" s="114" t="str">
        <f t="shared" si="173"/>
        <v/>
      </c>
      <c r="V326" s="114" t="str">
        <f t="shared" si="174"/>
        <v/>
      </c>
      <c r="W326" s="114" t="str">
        <f t="shared" si="175"/>
        <v/>
      </c>
      <c r="X326" s="114"/>
      <c r="Y326" s="149" t="str">
        <f t="shared" si="176"/>
        <v/>
      </c>
      <c r="Z326" s="149" t="str">
        <f t="shared" si="177"/>
        <v/>
      </c>
      <c r="AA326" s="176" t="str">
        <f t="shared" si="178"/>
        <v/>
      </c>
      <c r="AB326" s="113" t="str">
        <f t="shared" si="179"/>
        <v/>
      </c>
      <c r="AC326" s="113" t="str">
        <f t="shared" si="158"/>
        <v/>
      </c>
      <c r="AD326" s="114" t="str">
        <f t="shared" si="180"/>
        <v/>
      </c>
      <c r="AE326" s="114" t="str">
        <f t="shared" si="181"/>
        <v/>
      </c>
      <c r="AF326" s="114" t="str">
        <f t="shared" si="182"/>
        <v/>
      </c>
      <c r="AG326" s="114"/>
      <c r="AH326" s="176" t="str">
        <f t="shared" si="183"/>
        <v/>
      </c>
      <c r="AI326" s="176" t="str">
        <f t="shared" si="184"/>
        <v/>
      </c>
      <c r="AJ326" s="176" t="str">
        <f t="shared" si="185"/>
        <v/>
      </c>
      <c r="AK326" s="113" t="str">
        <f t="shared" si="186"/>
        <v/>
      </c>
      <c r="AL326" s="113" t="str">
        <f t="shared" si="159"/>
        <v/>
      </c>
      <c r="AM326" s="114" t="str">
        <f t="shared" si="187"/>
        <v/>
      </c>
      <c r="AN326" s="114" t="str">
        <f t="shared" si="188"/>
        <v/>
      </c>
      <c r="AO326" s="114" t="str">
        <f t="shared" si="189"/>
        <v/>
      </c>
    </row>
    <row r="327" spans="1:41" x14ac:dyDescent="0.3">
      <c r="A327" s="146">
        <f t="shared" si="160"/>
        <v>305</v>
      </c>
      <c r="B327" s="147" t="str">
        <f t="shared" si="153"/>
        <v/>
      </c>
      <c r="C327" s="147" t="str">
        <f t="shared" si="152"/>
        <v/>
      </c>
      <c r="D327" s="149" t="str">
        <f t="shared" si="161"/>
        <v/>
      </c>
      <c r="E327" s="149" t="str">
        <f t="shared" si="162"/>
        <v/>
      </c>
      <c r="F327" s="149" t="str">
        <f t="shared" si="154"/>
        <v/>
      </c>
      <c r="G327" s="149" t="str">
        <f t="shared" si="155"/>
        <v/>
      </c>
      <c r="H327" s="149" t="str">
        <f t="shared" si="163"/>
        <v/>
      </c>
      <c r="I327" s="149" t="str">
        <f t="shared" si="164"/>
        <v/>
      </c>
      <c r="J327" s="147" t="str">
        <f t="shared" si="165"/>
        <v/>
      </c>
      <c r="K327" s="175" t="str">
        <f t="shared" si="156"/>
        <v/>
      </c>
      <c r="L327" s="149" t="str">
        <f t="shared" si="166"/>
        <v/>
      </c>
      <c r="M327" s="149" t="str">
        <f t="shared" si="167"/>
        <v/>
      </c>
      <c r="N327" s="149" t="str">
        <f t="shared" si="168"/>
        <v/>
      </c>
      <c r="P327" s="149" t="str">
        <f t="shared" si="169"/>
        <v/>
      </c>
      <c r="Q327" s="149" t="str">
        <f t="shared" si="170"/>
        <v/>
      </c>
      <c r="R327" s="176" t="str">
        <f t="shared" si="171"/>
        <v/>
      </c>
      <c r="S327" s="113" t="str">
        <f t="shared" si="172"/>
        <v/>
      </c>
      <c r="T327" s="113" t="str">
        <f t="shared" si="157"/>
        <v/>
      </c>
      <c r="U327" s="114" t="str">
        <f t="shared" si="173"/>
        <v/>
      </c>
      <c r="V327" s="114" t="str">
        <f t="shared" si="174"/>
        <v/>
      </c>
      <c r="W327" s="114" t="str">
        <f t="shared" si="175"/>
        <v/>
      </c>
      <c r="X327" s="114"/>
      <c r="Y327" s="149" t="str">
        <f t="shared" si="176"/>
        <v/>
      </c>
      <c r="Z327" s="149" t="str">
        <f t="shared" si="177"/>
        <v/>
      </c>
      <c r="AA327" s="176" t="str">
        <f t="shared" si="178"/>
        <v/>
      </c>
      <c r="AB327" s="113" t="str">
        <f t="shared" si="179"/>
        <v/>
      </c>
      <c r="AC327" s="113" t="str">
        <f t="shared" si="158"/>
        <v/>
      </c>
      <c r="AD327" s="114" t="str">
        <f t="shared" si="180"/>
        <v/>
      </c>
      <c r="AE327" s="114" t="str">
        <f t="shared" si="181"/>
        <v/>
      </c>
      <c r="AF327" s="114" t="str">
        <f t="shared" si="182"/>
        <v/>
      </c>
      <c r="AG327" s="114"/>
      <c r="AH327" s="176" t="str">
        <f t="shared" si="183"/>
        <v/>
      </c>
      <c r="AI327" s="176" t="str">
        <f t="shared" si="184"/>
        <v/>
      </c>
      <c r="AJ327" s="176" t="str">
        <f t="shared" si="185"/>
        <v/>
      </c>
      <c r="AK327" s="113" t="str">
        <f t="shared" si="186"/>
        <v/>
      </c>
      <c r="AL327" s="113" t="str">
        <f t="shared" si="159"/>
        <v/>
      </c>
      <c r="AM327" s="114" t="str">
        <f t="shared" si="187"/>
        <v/>
      </c>
      <c r="AN327" s="114" t="str">
        <f t="shared" si="188"/>
        <v/>
      </c>
      <c r="AO327" s="114" t="str">
        <f t="shared" si="189"/>
        <v/>
      </c>
    </row>
    <row r="328" spans="1:41" x14ac:dyDescent="0.3">
      <c r="A328" s="146">
        <f t="shared" si="160"/>
        <v>306</v>
      </c>
      <c r="B328" s="147" t="str">
        <f t="shared" si="153"/>
        <v/>
      </c>
      <c r="C328" s="147" t="str">
        <f t="shared" si="152"/>
        <v/>
      </c>
      <c r="D328" s="149" t="str">
        <f t="shared" si="161"/>
        <v/>
      </c>
      <c r="E328" s="149" t="str">
        <f t="shared" si="162"/>
        <v/>
      </c>
      <c r="F328" s="149" t="str">
        <f t="shared" si="154"/>
        <v/>
      </c>
      <c r="G328" s="149" t="str">
        <f t="shared" si="155"/>
        <v/>
      </c>
      <c r="H328" s="149" t="str">
        <f t="shared" si="163"/>
        <v/>
      </c>
      <c r="I328" s="149" t="str">
        <f t="shared" si="164"/>
        <v/>
      </c>
      <c r="J328" s="147" t="str">
        <f t="shared" si="165"/>
        <v/>
      </c>
      <c r="K328" s="175" t="str">
        <f t="shared" si="156"/>
        <v/>
      </c>
      <c r="L328" s="149" t="str">
        <f t="shared" si="166"/>
        <v/>
      </c>
      <c r="M328" s="149" t="str">
        <f t="shared" si="167"/>
        <v/>
      </c>
      <c r="N328" s="149" t="str">
        <f t="shared" si="168"/>
        <v/>
      </c>
      <c r="P328" s="149" t="str">
        <f t="shared" si="169"/>
        <v/>
      </c>
      <c r="Q328" s="149" t="str">
        <f t="shared" si="170"/>
        <v/>
      </c>
      <c r="R328" s="176" t="str">
        <f t="shared" si="171"/>
        <v/>
      </c>
      <c r="S328" s="113" t="str">
        <f t="shared" si="172"/>
        <v/>
      </c>
      <c r="T328" s="113" t="str">
        <f t="shared" si="157"/>
        <v/>
      </c>
      <c r="U328" s="114" t="str">
        <f t="shared" si="173"/>
        <v/>
      </c>
      <c r="V328" s="114" t="str">
        <f t="shared" si="174"/>
        <v/>
      </c>
      <c r="W328" s="114" t="str">
        <f t="shared" si="175"/>
        <v/>
      </c>
      <c r="X328" s="114"/>
      <c r="Y328" s="149" t="str">
        <f t="shared" si="176"/>
        <v/>
      </c>
      <c r="Z328" s="149" t="str">
        <f t="shared" si="177"/>
        <v/>
      </c>
      <c r="AA328" s="176" t="str">
        <f t="shared" si="178"/>
        <v/>
      </c>
      <c r="AB328" s="113" t="str">
        <f t="shared" si="179"/>
        <v/>
      </c>
      <c r="AC328" s="113" t="str">
        <f t="shared" si="158"/>
        <v/>
      </c>
      <c r="AD328" s="114" t="str">
        <f t="shared" si="180"/>
        <v/>
      </c>
      <c r="AE328" s="114" t="str">
        <f t="shared" si="181"/>
        <v/>
      </c>
      <c r="AF328" s="114" t="str">
        <f t="shared" si="182"/>
        <v/>
      </c>
      <c r="AG328" s="114"/>
      <c r="AH328" s="176" t="str">
        <f t="shared" si="183"/>
        <v/>
      </c>
      <c r="AI328" s="176" t="str">
        <f t="shared" si="184"/>
        <v/>
      </c>
      <c r="AJ328" s="176" t="str">
        <f t="shared" si="185"/>
        <v/>
      </c>
      <c r="AK328" s="113" t="str">
        <f t="shared" si="186"/>
        <v/>
      </c>
      <c r="AL328" s="113" t="str">
        <f t="shared" si="159"/>
        <v/>
      </c>
      <c r="AM328" s="114" t="str">
        <f t="shared" si="187"/>
        <v/>
      </c>
      <c r="AN328" s="114" t="str">
        <f t="shared" si="188"/>
        <v/>
      </c>
      <c r="AO328" s="114" t="str">
        <f t="shared" si="189"/>
        <v/>
      </c>
    </row>
    <row r="329" spans="1:41" x14ac:dyDescent="0.3">
      <c r="A329" s="146">
        <f t="shared" si="160"/>
        <v>307</v>
      </c>
      <c r="B329" s="147" t="str">
        <f t="shared" si="153"/>
        <v/>
      </c>
      <c r="C329" s="147" t="str">
        <f t="shared" si="152"/>
        <v/>
      </c>
      <c r="D329" s="149" t="str">
        <f t="shared" si="161"/>
        <v/>
      </c>
      <c r="E329" s="149" t="str">
        <f t="shared" si="162"/>
        <v/>
      </c>
      <c r="F329" s="149" t="str">
        <f t="shared" si="154"/>
        <v/>
      </c>
      <c r="G329" s="149" t="str">
        <f t="shared" si="155"/>
        <v/>
      </c>
      <c r="H329" s="149" t="str">
        <f t="shared" si="163"/>
        <v/>
      </c>
      <c r="I329" s="149" t="str">
        <f t="shared" si="164"/>
        <v/>
      </c>
      <c r="J329" s="147" t="str">
        <f t="shared" si="165"/>
        <v/>
      </c>
      <c r="K329" s="175" t="str">
        <f t="shared" si="156"/>
        <v/>
      </c>
      <c r="L329" s="149" t="str">
        <f t="shared" si="166"/>
        <v/>
      </c>
      <c r="M329" s="149" t="str">
        <f t="shared" si="167"/>
        <v/>
      </c>
      <c r="N329" s="149" t="str">
        <f t="shared" si="168"/>
        <v/>
      </c>
      <c r="P329" s="149" t="str">
        <f t="shared" si="169"/>
        <v/>
      </c>
      <c r="Q329" s="149" t="str">
        <f t="shared" si="170"/>
        <v/>
      </c>
      <c r="R329" s="176" t="str">
        <f t="shared" si="171"/>
        <v/>
      </c>
      <c r="S329" s="113" t="str">
        <f t="shared" si="172"/>
        <v/>
      </c>
      <c r="T329" s="113" t="str">
        <f t="shared" si="157"/>
        <v/>
      </c>
      <c r="U329" s="114" t="str">
        <f t="shared" si="173"/>
        <v/>
      </c>
      <c r="V329" s="114" t="str">
        <f t="shared" si="174"/>
        <v/>
      </c>
      <c r="W329" s="114" t="str">
        <f t="shared" si="175"/>
        <v/>
      </c>
      <c r="X329" s="114"/>
      <c r="Y329" s="149" t="str">
        <f t="shared" si="176"/>
        <v/>
      </c>
      <c r="Z329" s="149" t="str">
        <f t="shared" si="177"/>
        <v/>
      </c>
      <c r="AA329" s="176" t="str">
        <f t="shared" si="178"/>
        <v/>
      </c>
      <c r="AB329" s="113" t="str">
        <f t="shared" si="179"/>
        <v/>
      </c>
      <c r="AC329" s="113" t="str">
        <f t="shared" si="158"/>
        <v/>
      </c>
      <c r="AD329" s="114" t="str">
        <f t="shared" si="180"/>
        <v/>
      </c>
      <c r="AE329" s="114" t="str">
        <f t="shared" si="181"/>
        <v/>
      </c>
      <c r="AF329" s="114" t="str">
        <f t="shared" si="182"/>
        <v/>
      </c>
      <c r="AG329" s="114"/>
      <c r="AH329" s="176" t="str">
        <f t="shared" si="183"/>
        <v/>
      </c>
      <c r="AI329" s="176" t="str">
        <f t="shared" si="184"/>
        <v/>
      </c>
      <c r="AJ329" s="176" t="str">
        <f t="shared" si="185"/>
        <v/>
      </c>
      <c r="AK329" s="113" t="str">
        <f t="shared" si="186"/>
        <v/>
      </c>
      <c r="AL329" s="113" t="str">
        <f t="shared" si="159"/>
        <v/>
      </c>
      <c r="AM329" s="114" t="str">
        <f t="shared" si="187"/>
        <v/>
      </c>
      <c r="AN329" s="114" t="str">
        <f t="shared" si="188"/>
        <v/>
      </c>
      <c r="AO329" s="114" t="str">
        <f t="shared" si="189"/>
        <v/>
      </c>
    </row>
    <row r="330" spans="1:41" x14ac:dyDescent="0.3">
      <c r="A330" s="146">
        <f t="shared" si="160"/>
        <v>308</v>
      </c>
      <c r="B330" s="147" t="str">
        <f t="shared" si="153"/>
        <v/>
      </c>
      <c r="C330" s="147" t="str">
        <f t="shared" si="152"/>
        <v/>
      </c>
      <c r="D330" s="149" t="str">
        <f t="shared" si="161"/>
        <v/>
      </c>
      <c r="E330" s="149" t="str">
        <f t="shared" si="162"/>
        <v/>
      </c>
      <c r="F330" s="149" t="str">
        <f t="shared" si="154"/>
        <v/>
      </c>
      <c r="G330" s="149" t="str">
        <f t="shared" si="155"/>
        <v/>
      </c>
      <c r="H330" s="149" t="str">
        <f t="shared" si="163"/>
        <v/>
      </c>
      <c r="I330" s="149" t="str">
        <f t="shared" si="164"/>
        <v/>
      </c>
      <c r="J330" s="147" t="str">
        <f t="shared" si="165"/>
        <v/>
      </c>
      <c r="K330" s="175" t="str">
        <f t="shared" si="156"/>
        <v/>
      </c>
      <c r="L330" s="149" t="str">
        <f t="shared" si="166"/>
        <v/>
      </c>
      <c r="M330" s="149" t="str">
        <f t="shared" si="167"/>
        <v/>
      </c>
      <c r="N330" s="149" t="str">
        <f t="shared" si="168"/>
        <v/>
      </c>
      <c r="P330" s="149" t="str">
        <f t="shared" si="169"/>
        <v/>
      </c>
      <c r="Q330" s="149" t="str">
        <f t="shared" si="170"/>
        <v/>
      </c>
      <c r="R330" s="176" t="str">
        <f t="shared" si="171"/>
        <v/>
      </c>
      <c r="S330" s="113" t="str">
        <f t="shared" si="172"/>
        <v/>
      </c>
      <c r="T330" s="113" t="str">
        <f t="shared" si="157"/>
        <v/>
      </c>
      <c r="U330" s="114" t="str">
        <f t="shared" si="173"/>
        <v/>
      </c>
      <c r="V330" s="114" t="str">
        <f t="shared" si="174"/>
        <v/>
      </c>
      <c r="W330" s="114" t="str">
        <f t="shared" si="175"/>
        <v/>
      </c>
      <c r="X330" s="114"/>
      <c r="Y330" s="149" t="str">
        <f t="shared" si="176"/>
        <v/>
      </c>
      <c r="Z330" s="149" t="str">
        <f t="shared" si="177"/>
        <v/>
      </c>
      <c r="AA330" s="176" t="str">
        <f t="shared" si="178"/>
        <v/>
      </c>
      <c r="AB330" s="113" t="str">
        <f t="shared" si="179"/>
        <v/>
      </c>
      <c r="AC330" s="113" t="str">
        <f t="shared" si="158"/>
        <v/>
      </c>
      <c r="AD330" s="114" t="str">
        <f t="shared" si="180"/>
        <v/>
      </c>
      <c r="AE330" s="114" t="str">
        <f t="shared" si="181"/>
        <v/>
      </c>
      <c r="AF330" s="114" t="str">
        <f t="shared" si="182"/>
        <v/>
      </c>
      <c r="AG330" s="114"/>
      <c r="AH330" s="176" t="str">
        <f t="shared" si="183"/>
        <v/>
      </c>
      <c r="AI330" s="176" t="str">
        <f t="shared" si="184"/>
        <v/>
      </c>
      <c r="AJ330" s="176" t="str">
        <f t="shared" si="185"/>
        <v/>
      </c>
      <c r="AK330" s="113" t="str">
        <f t="shared" si="186"/>
        <v/>
      </c>
      <c r="AL330" s="113" t="str">
        <f t="shared" si="159"/>
        <v/>
      </c>
      <c r="AM330" s="114" t="str">
        <f t="shared" si="187"/>
        <v/>
      </c>
      <c r="AN330" s="114" t="str">
        <f t="shared" si="188"/>
        <v/>
      </c>
      <c r="AO330" s="114" t="str">
        <f t="shared" si="189"/>
        <v/>
      </c>
    </row>
    <row r="331" spans="1:41" x14ac:dyDescent="0.3">
      <c r="A331" s="146">
        <f t="shared" si="160"/>
        <v>309</v>
      </c>
      <c r="B331" s="147" t="str">
        <f t="shared" si="153"/>
        <v/>
      </c>
      <c r="C331" s="147" t="str">
        <f t="shared" si="152"/>
        <v/>
      </c>
      <c r="D331" s="149" t="str">
        <f t="shared" si="161"/>
        <v/>
      </c>
      <c r="E331" s="149" t="str">
        <f t="shared" si="162"/>
        <v/>
      </c>
      <c r="F331" s="149" t="str">
        <f t="shared" si="154"/>
        <v/>
      </c>
      <c r="G331" s="149" t="str">
        <f t="shared" si="155"/>
        <v/>
      </c>
      <c r="H331" s="149" t="str">
        <f t="shared" si="163"/>
        <v/>
      </c>
      <c r="I331" s="149" t="str">
        <f t="shared" si="164"/>
        <v/>
      </c>
      <c r="J331" s="147" t="str">
        <f t="shared" si="165"/>
        <v/>
      </c>
      <c r="K331" s="175" t="str">
        <f t="shared" si="156"/>
        <v/>
      </c>
      <c r="L331" s="149" t="str">
        <f t="shared" si="166"/>
        <v/>
      </c>
      <c r="M331" s="149" t="str">
        <f t="shared" si="167"/>
        <v/>
      </c>
      <c r="N331" s="149" t="str">
        <f t="shared" si="168"/>
        <v/>
      </c>
      <c r="P331" s="149" t="str">
        <f t="shared" si="169"/>
        <v/>
      </c>
      <c r="Q331" s="149" t="str">
        <f t="shared" si="170"/>
        <v/>
      </c>
      <c r="R331" s="176" t="str">
        <f t="shared" si="171"/>
        <v/>
      </c>
      <c r="S331" s="113" t="str">
        <f t="shared" si="172"/>
        <v/>
      </c>
      <c r="T331" s="113" t="str">
        <f t="shared" si="157"/>
        <v/>
      </c>
      <c r="U331" s="114" t="str">
        <f t="shared" si="173"/>
        <v/>
      </c>
      <c r="V331" s="114" t="str">
        <f t="shared" si="174"/>
        <v/>
      </c>
      <c r="W331" s="114" t="str">
        <f t="shared" si="175"/>
        <v/>
      </c>
      <c r="X331" s="114"/>
      <c r="Y331" s="149" t="str">
        <f t="shared" si="176"/>
        <v/>
      </c>
      <c r="Z331" s="149" t="str">
        <f t="shared" si="177"/>
        <v/>
      </c>
      <c r="AA331" s="176" t="str">
        <f t="shared" si="178"/>
        <v/>
      </c>
      <c r="AB331" s="113" t="str">
        <f t="shared" si="179"/>
        <v/>
      </c>
      <c r="AC331" s="113" t="str">
        <f t="shared" si="158"/>
        <v/>
      </c>
      <c r="AD331" s="114" t="str">
        <f t="shared" si="180"/>
        <v/>
      </c>
      <c r="AE331" s="114" t="str">
        <f t="shared" si="181"/>
        <v/>
      </c>
      <c r="AF331" s="114" t="str">
        <f t="shared" si="182"/>
        <v/>
      </c>
      <c r="AG331" s="114"/>
      <c r="AH331" s="176" t="str">
        <f t="shared" si="183"/>
        <v/>
      </c>
      <c r="AI331" s="176" t="str">
        <f t="shared" si="184"/>
        <v/>
      </c>
      <c r="AJ331" s="176" t="str">
        <f t="shared" si="185"/>
        <v/>
      </c>
      <c r="AK331" s="113" t="str">
        <f t="shared" si="186"/>
        <v/>
      </c>
      <c r="AL331" s="113" t="str">
        <f t="shared" si="159"/>
        <v/>
      </c>
      <c r="AM331" s="114" t="str">
        <f t="shared" si="187"/>
        <v/>
      </c>
      <c r="AN331" s="114" t="str">
        <f t="shared" si="188"/>
        <v/>
      </c>
      <c r="AO331" s="114" t="str">
        <f t="shared" si="189"/>
        <v/>
      </c>
    </row>
    <row r="332" spans="1:41" x14ac:dyDescent="0.3">
      <c r="A332" s="146">
        <f t="shared" si="160"/>
        <v>310</v>
      </c>
      <c r="B332" s="147" t="str">
        <f t="shared" si="153"/>
        <v/>
      </c>
      <c r="C332" s="147" t="str">
        <f t="shared" si="152"/>
        <v/>
      </c>
      <c r="D332" s="149" t="str">
        <f t="shared" si="161"/>
        <v/>
      </c>
      <c r="E332" s="149" t="str">
        <f t="shared" si="162"/>
        <v/>
      </c>
      <c r="F332" s="149" t="str">
        <f t="shared" si="154"/>
        <v/>
      </c>
      <c r="G332" s="149" t="str">
        <f t="shared" si="155"/>
        <v/>
      </c>
      <c r="H332" s="149" t="str">
        <f t="shared" si="163"/>
        <v/>
      </c>
      <c r="I332" s="149" t="str">
        <f t="shared" si="164"/>
        <v/>
      </c>
      <c r="J332" s="147" t="str">
        <f t="shared" si="165"/>
        <v/>
      </c>
      <c r="K332" s="175" t="str">
        <f t="shared" si="156"/>
        <v/>
      </c>
      <c r="L332" s="149" t="str">
        <f t="shared" si="166"/>
        <v/>
      </c>
      <c r="M332" s="149" t="str">
        <f t="shared" si="167"/>
        <v/>
      </c>
      <c r="N332" s="149" t="str">
        <f t="shared" si="168"/>
        <v/>
      </c>
      <c r="P332" s="149" t="str">
        <f t="shared" si="169"/>
        <v/>
      </c>
      <c r="Q332" s="149" t="str">
        <f t="shared" si="170"/>
        <v/>
      </c>
      <c r="R332" s="176" t="str">
        <f t="shared" si="171"/>
        <v/>
      </c>
      <c r="S332" s="113" t="str">
        <f t="shared" si="172"/>
        <v/>
      </c>
      <c r="T332" s="113" t="str">
        <f t="shared" si="157"/>
        <v/>
      </c>
      <c r="U332" s="114" t="str">
        <f t="shared" si="173"/>
        <v/>
      </c>
      <c r="V332" s="114" t="str">
        <f t="shared" si="174"/>
        <v/>
      </c>
      <c r="W332" s="114" t="str">
        <f t="shared" si="175"/>
        <v/>
      </c>
      <c r="X332" s="114"/>
      <c r="Y332" s="149" t="str">
        <f t="shared" si="176"/>
        <v/>
      </c>
      <c r="Z332" s="149" t="str">
        <f t="shared" si="177"/>
        <v/>
      </c>
      <c r="AA332" s="176" t="str">
        <f t="shared" si="178"/>
        <v/>
      </c>
      <c r="AB332" s="113" t="str">
        <f t="shared" si="179"/>
        <v/>
      </c>
      <c r="AC332" s="113" t="str">
        <f t="shared" si="158"/>
        <v/>
      </c>
      <c r="AD332" s="114" t="str">
        <f t="shared" si="180"/>
        <v/>
      </c>
      <c r="AE332" s="114" t="str">
        <f t="shared" si="181"/>
        <v/>
      </c>
      <c r="AF332" s="114" t="str">
        <f t="shared" si="182"/>
        <v/>
      </c>
      <c r="AG332" s="114"/>
      <c r="AH332" s="176" t="str">
        <f t="shared" si="183"/>
        <v/>
      </c>
      <c r="AI332" s="176" t="str">
        <f t="shared" si="184"/>
        <v/>
      </c>
      <c r="AJ332" s="176" t="str">
        <f t="shared" si="185"/>
        <v/>
      </c>
      <c r="AK332" s="113" t="str">
        <f t="shared" si="186"/>
        <v/>
      </c>
      <c r="AL332" s="113" t="str">
        <f t="shared" si="159"/>
        <v/>
      </c>
      <c r="AM332" s="114" t="str">
        <f t="shared" si="187"/>
        <v/>
      </c>
      <c r="AN332" s="114" t="str">
        <f t="shared" si="188"/>
        <v/>
      </c>
      <c r="AO332" s="114" t="str">
        <f t="shared" si="189"/>
        <v/>
      </c>
    </row>
    <row r="333" spans="1:41" x14ac:dyDescent="0.3">
      <c r="A333" s="146">
        <f t="shared" si="160"/>
        <v>311</v>
      </c>
      <c r="B333" s="147" t="str">
        <f t="shared" si="153"/>
        <v/>
      </c>
      <c r="C333" s="147" t="str">
        <f t="shared" si="152"/>
        <v/>
      </c>
      <c r="D333" s="149" t="str">
        <f t="shared" si="161"/>
        <v/>
      </c>
      <c r="E333" s="149" t="str">
        <f t="shared" si="162"/>
        <v/>
      </c>
      <c r="F333" s="149" t="str">
        <f t="shared" si="154"/>
        <v/>
      </c>
      <c r="G333" s="149" t="str">
        <f t="shared" si="155"/>
        <v/>
      </c>
      <c r="H333" s="149" t="str">
        <f t="shared" si="163"/>
        <v/>
      </c>
      <c r="I333" s="149" t="str">
        <f t="shared" si="164"/>
        <v/>
      </c>
      <c r="J333" s="147" t="str">
        <f t="shared" si="165"/>
        <v/>
      </c>
      <c r="K333" s="175" t="str">
        <f t="shared" si="156"/>
        <v/>
      </c>
      <c r="L333" s="149" t="str">
        <f t="shared" si="166"/>
        <v/>
      </c>
      <c r="M333" s="149" t="str">
        <f t="shared" si="167"/>
        <v/>
      </c>
      <c r="N333" s="149" t="str">
        <f t="shared" si="168"/>
        <v/>
      </c>
      <c r="P333" s="149" t="str">
        <f t="shared" si="169"/>
        <v/>
      </c>
      <c r="Q333" s="149" t="str">
        <f t="shared" si="170"/>
        <v/>
      </c>
      <c r="R333" s="176" t="str">
        <f t="shared" si="171"/>
        <v/>
      </c>
      <c r="S333" s="113" t="str">
        <f t="shared" si="172"/>
        <v/>
      </c>
      <c r="T333" s="113" t="str">
        <f t="shared" si="157"/>
        <v/>
      </c>
      <c r="U333" s="114" t="str">
        <f t="shared" si="173"/>
        <v/>
      </c>
      <c r="V333" s="114" t="str">
        <f t="shared" si="174"/>
        <v/>
      </c>
      <c r="W333" s="114" t="str">
        <f t="shared" si="175"/>
        <v/>
      </c>
      <c r="X333" s="114"/>
      <c r="Y333" s="149" t="str">
        <f t="shared" si="176"/>
        <v/>
      </c>
      <c r="Z333" s="149" t="str">
        <f t="shared" si="177"/>
        <v/>
      </c>
      <c r="AA333" s="176" t="str">
        <f t="shared" si="178"/>
        <v/>
      </c>
      <c r="AB333" s="113" t="str">
        <f t="shared" si="179"/>
        <v/>
      </c>
      <c r="AC333" s="113" t="str">
        <f t="shared" si="158"/>
        <v/>
      </c>
      <c r="AD333" s="114" t="str">
        <f t="shared" si="180"/>
        <v/>
      </c>
      <c r="AE333" s="114" t="str">
        <f t="shared" si="181"/>
        <v/>
      </c>
      <c r="AF333" s="114" t="str">
        <f t="shared" si="182"/>
        <v/>
      </c>
      <c r="AG333" s="114"/>
      <c r="AH333" s="176" t="str">
        <f t="shared" si="183"/>
        <v/>
      </c>
      <c r="AI333" s="176" t="str">
        <f t="shared" si="184"/>
        <v/>
      </c>
      <c r="AJ333" s="176" t="str">
        <f t="shared" si="185"/>
        <v/>
      </c>
      <c r="AK333" s="113" t="str">
        <f t="shared" si="186"/>
        <v/>
      </c>
      <c r="AL333" s="113" t="str">
        <f t="shared" si="159"/>
        <v/>
      </c>
      <c r="AM333" s="114" t="str">
        <f t="shared" si="187"/>
        <v/>
      </c>
      <c r="AN333" s="114" t="str">
        <f t="shared" si="188"/>
        <v/>
      </c>
      <c r="AO333" s="114" t="str">
        <f t="shared" si="189"/>
        <v/>
      </c>
    </row>
    <row r="334" spans="1:41" x14ac:dyDescent="0.3">
      <c r="A334" s="146">
        <f t="shared" si="160"/>
        <v>312</v>
      </c>
      <c r="B334" s="147" t="str">
        <f t="shared" si="153"/>
        <v/>
      </c>
      <c r="C334" s="147" t="str">
        <f t="shared" si="152"/>
        <v/>
      </c>
      <c r="D334" s="149" t="str">
        <f t="shared" si="161"/>
        <v/>
      </c>
      <c r="E334" s="149" t="str">
        <f t="shared" si="162"/>
        <v/>
      </c>
      <c r="F334" s="149" t="str">
        <f t="shared" si="154"/>
        <v/>
      </c>
      <c r="G334" s="149" t="str">
        <f t="shared" si="155"/>
        <v/>
      </c>
      <c r="H334" s="149" t="str">
        <f t="shared" si="163"/>
        <v/>
      </c>
      <c r="I334" s="149" t="str">
        <f t="shared" si="164"/>
        <v/>
      </c>
      <c r="J334" s="147" t="str">
        <f t="shared" si="165"/>
        <v/>
      </c>
      <c r="K334" s="175" t="str">
        <f t="shared" si="156"/>
        <v/>
      </c>
      <c r="L334" s="149" t="str">
        <f t="shared" si="166"/>
        <v/>
      </c>
      <c r="M334" s="149" t="str">
        <f t="shared" si="167"/>
        <v/>
      </c>
      <c r="N334" s="149" t="str">
        <f t="shared" si="168"/>
        <v/>
      </c>
      <c r="P334" s="149" t="str">
        <f t="shared" si="169"/>
        <v/>
      </c>
      <c r="Q334" s="149" t="str">
        <f t="shared" si="170"/>
        <v/>
      </c>
      <c r="R334" s="176" t="str">
        <f t="shared" si="171"/>
        <v/>
      </c>
      <c r="S334" s="113" t="str">
        <f t="shared" si="172"/>
        <v/>
      </c>
      <c r="T334" s="113" t="str">
        <f t="shared" si="157"/>
        <v/>
      </c>
      <c r="U334" s="114" t="str">
        <f t="shared" si="173"/>
        <v/>
      </c>
      <c r="V334" s="114" t="str">
        <f t="shared" si="174"/>
        <v/>
      </c>
      <c r="W334" s="114" t="str">
        <f t="shared" si="175"/>
        <v/>
      </c>
      <c r="X334" s="114"/>
      <c r="Y334" s="149" t="str">
        <f t="shared" si="176"/>
        <v/>
      </c>
      <c r="Z334" s="149" t="str">
        <f t="shared" si="177"/>
        <v/>
      </c>
      <c r="AA334" s="176" t="str">
        <f t="shared" si="178"/>
        <v/>
      </c>
      <c r="AB334" s="113" t="str">
        <f t="shared" si="179"/>
        <v/>
      </c>
      <c r="AC334" s="113" t="str">
        <f t="shared" si="158"/>
        <v/>
      </c>
      <c r="AD334" s="114" t="str">
        <f t="shared" si="180"/>
        <v/>
      </c>
      <c r="AE334" s="114" t="str">
        <f t="shared" si="181"/>
        <v/>
      </c>
      <c r="AF334" s="114" t="str">
        <f t="shared" si="182"/>
        <v/>
      </c>
      <c r="AG334" s="114"/>
      <c r="AH334" s="176" t="str">
        <f t="shared" si="183"/>
        <v/>
      </c>
      <c r="AI334" s="176" t="str">
        <f t="shared" si="184"/>
        <v/>
      </c>
      <c r="AJ334" s="176" t="str">
        <f t="shared" si="185"/>
        <v/>
      </c>
      <c r="AK334" s="113" t="str">
        <f t="shared" si="186"/>
        <v/>
      </c>
      <c r="AL334" s="113" t="str">
        <f t="shared" si="159"/>
        <v/>
      </c>
      <c r="AM334" s="114" t="str">
        <f t="shared" si="187"/>
        <v/>
      </c>
      <c r="AN334" s="114" t="str">
        <f t="shared" si="188"/>
        <v/>
      </c>
      <c r="AO334" s="114" t="str">
        <f t="shared" si="189"/>
        <v/>
      </c>
    </row>
    <row r="335" spans="1:41" x14ac:dyDescent="0.3">
      <c r="A335" s="146">
        <f t="shared" si="160"/>
        <v>313</v>
      </c>
      <c r="B335" s="147" t="str">
        <f t="shared" si="153"/>
        <v/>
      </c>
      <c r="C335" s="147" t="str">
        <f t="shared" si="152"/>
        <v/>
      </c>
      <c r="D335" s="149" t="str">
        <f t="shared" si="161"/>
        <v/>
      </c>
      <c r="E335" s="149" t="str">
        <f t="shared" si="162"/>
        <v/>
      </c>
      <c r="F335" s="149" t="str">
        <f t="shared" si="154"/>
        <v/>
      </c>
      <c r="G335" s="149" t="str">
        <f t="shared" si="155"/>
        <v/>
      </c>
      <c r="H335" s="149" t="str">
        <f t="shared" si="163"/>
        <v/>
      </c>
      <c r="I335" s="149" t="str">
        <f t="shared" si="164"/>
        <v/>
      </c>
      <c r="J335" s="147" t="str">
        <f t="shared" si="165"/>
        <v/>
      </c>
      <c r="K335" s="175" t="str">
        <f t="shared" si="156"/>
        <v/>
      </c>
      <c r="L335" s="149" t="str">
        <f t="shared" si="166"/>
        <v/>
      </c>
      <c r="M335" s="149" t="str">
        <f t="shared" si="167"/>
        <v/>
      </c>
      <c r="N335" s="149" t="str">
        <f t="shared" si="168"/>
        <v/>
      </c>
      <c r="P335" s="149" t="str">
        <f t="shared" si="169"/>
        <v/>
      </c>
      <c r="Q335" s="149" t="str">
        <f t="shared" si="170"/>
        <v/>
      </c>
      <c r="R335" s="176" t="str">
        <f t="shared" si="171"/>
        <v/>
      </c>
      <c r="S335" s="113" t="str">
        <f t="shared" si="172"/>
        <v/>
      </c>
      <c r="T335" s="113" t="str">
        <f t="shared" si="157"/>
        <v/>
      </c>
      <c r="U335" s="114" t="str">
        <f t="shared" si="173"/>
        <v/>
      </c>
      <c r="V335" s="114" t="str">
        <f t="shared" si="174"/>
        <v/>
      </c>
      <c r="W335" s="114" t="str">
        <f t="shared" si="175"/>
        <v/>
      </c>
      <c r="X335" s="114"/>
      <c r="Y335" s="149" t="str">
        <f t="shared" si="176"/>
        <v/>
      </c>
      <c r="Z335" s="149" t="str">
        <f t="shared" si="177"/>
        <v/>
      </c>
      <c r="AA335" s="176" t="str">
        <f t="shared" si="178"/>
        <v/>
      </c>
      <c r="AB335" s="113" t="str">
        <f t="shared" si="179"/>
        <v/>
      </c>
      <c r="AC335" s="113" t="str">
        <f t="shared" si="158"/>
        <v/>
      </c>
      <c r="AD335" s="114" t="str">
        <f t="shared" si="180"/>
        <v/>
      </c>
      <c r="AE335" s="114" t="str">
        <f t="shared" si="181"/>
        <v/>
      </c>
      <c r="AF335" s="114" t="str">
        <f t="shared" si="182"/>
        <v/>
      </c>
      <c r="AG335" s="114"/>
      <c r="AH335" s="176" t="str">
        <f t="shared" si="183"/>
        <v/>
      </c>
      <c r="AI335" s="176" t="str">
        <f t="shared" si="184"/>
        <v/>
      </c>
      <c r="AJ335" s="176" t="str">
        <f t="shared" si="185"/>
        <v/>
      </c>
      <c r="AK335" s="113" t="str">
        <f t="shared" si="186"/>
        <v/>
      </c>
      <c r="AL335" s="113" t="str">
        <f t="shared" si="159"/>
        <v/>
      </c>
      <c r="AM335" s="114" t="str">
        <f t="shared" si="187"/>
        <v/>
      </c>
      <c r="AN335" s="114" t="str">
        <f t="shared" si="188"/>
        <v/>
      </c>
      <c r="AO335" s="114" t="str">
        <f t="shared" si="189"/>
        <v/>
      </c>
    </row>
    <row r="336" spans="1:41" x14ac:dyDescent="0.3">
      <c r="A336" s="146">
        <f t="shared" si="160"/>
        <v>314</v>
      </c>
      <c r="B336" s="147" t="str">
        <f t="shared" si="153"/>
        <v/>
      </c>
      <c r="C336" s="147" t="str">
        <f t="shared" si="152"/>
        <v/>
      </c>
      <c r="D336" s="149" t="str">
        <f t="shared" si="161"/>
        <v/>
      </c>
      <c r="E336" s="149" t="str">
        <f t="shared" si="162"/>
        <v/>
      </c>
      <c r="F336" s="149" t="str">
        <f t="shared" si="154"/>
        <v/>
      </c>
      <c r="G336" s="149" t="str">
        <f t="shared" si="155"/>
        <v/>
      </c>
      <c r="H336" s="149" t="str">
        <f t="shared" si="163"/>
        <v/>
      </c>
      <c r="I336" s="149" t="str">
        <f t="shared" si="164"/>
        <v/>
      </c>
      <c r="J336" s="147" t="str">
        <f t="shared" si="165"/>
        <v/>
      </c>
      <c r="K336" s="175" t="str">
        <f t="shared" si="156"/>
        <v/>
      </c>
      <c r="L336" s="149" t="str">
        <f t="shared" si="166"/>
        <v/>
      </c>
      <c r="M336" s="149" t="str">
        <f t="shared" si="167"/>
        <v/>
      </c>
      <c r="N336" s="149" t="str">
        <f t="shared" si="168"/>
        <v/>
      </c>
      <c r="P336" s="149" t="str">
        <f t="shared" si="169"/>
        <v/>
      </c>
      <c r="Q336" s="149" t="str">
        <f t="shared" si="170"/>
        <v/>
      </c>
      <c r="R336" s="176" t="str">
        <f t="shared" si="171"/>
        <v/>
      </c>
      <c r="S336" s="113" t="str">
        <f t="shared" si="172"/>
        <v/>
      </c>
      <c r="T336" s="113" t="str">
        <f t="shared" si="157"/>
        <v/>
      </c>
      <c r="U336" s="114" t="str">
        <f t="shared" si="173"/>
        <v/>
      </c>
      <c r="V336" s="114" t="str">
        <f t="shared" si="174"/>
        <v/>
      </c>
      <c r="W336" s="114" t="str">
        <f t="shared" si="175"/>
        <v/>
      </c>
      <c r="X336" s="114"/>
      <c r="Y336" s="149" t="str">
        <f t="shared" si="176"/>
        <v/>
      </c>
      <c r="Z336" s="149" t="str">
        <f t="shared" si="177"/>
        <v/>
      </c>
      <c r="AA336" s="176" t="str">
        <f t="shared" si="178"/>
        <v/>
      </c>
      <c r="AB336" s="113" t="str">
        <f t="shared" si="179"/>
        <v/>
      </c>
      <c r="AC336" s="113" t="str">
        <f t="shared" si="158"/>
        <v/>
      </c>
      <c r="AD336" s="114" t="str">
        <f t="shared" si="180"/>
        <v/>
      </c>
      <c r="AE336" s="114" t="str">
        <f t="shared" si="181"/>
        <v/>
      </c>
      <c r="AF336" s="114" t="str">
        <f t="shared" si="182"/>
        <v/>
      </c>
      <c r="AG336" s="114"/>
      <c r="AH336" s="176" t="str">
        <f t="shared" si="183"/>
        <v/>
      </c>
      <c r="AI336" s="176" t="str">
        <f t="shared" si="184"/>
        <v/>
      </c>
      <c r="AJ336" s="176" t="str">
        <f t="shared" si="185"/>
        <v/>
      </c>
      <c r="AK336" s="113" t="str">
        <f t="shared" si="186"/>
        <v/>
      </c>
      <c r="AL336" s="113" t="str">
        <f t="shared" si="159"/>
        <v/>
      </c>
      <c r="AM336" s="114" t="str">
        <f t="shared" si="187"/>
        <v/>
      </c>
      <c r="AN336" s="114" t="str">
        <f t="shared" si="188"/>
        <v/>
      </c>
      <c r="AO336" s="114" t="str">
        <f t="shared" si="189"/>
        <v/>
      </c>
    </row>
    <row r="337" spans="1:41" x14ac:dyDescent="0.3">
      <c r="A337" s="146">
        <f t="shared" si="160"/>
        <v>315</v>
      </c>
      <c r="B337" s="147" t="str">
        <f t="shared" si="153"/>
        <v/>
      </c>
      <c r="C337" s="147" t="str">
        <f t="shared" si="152"/>
        <v/>
      </c>
      <c r="D337" s="149" t="str">
        <f t="shared" si="161"/>
        <v/>
      </c>
      <c r="E337" s="149" t="str">
        <f t="shared" si="162"/>
        <v/>
      </c>
      <c r="F337" s="149" t="str">
        <f t="shared" si="154"/>
        <v/>
      </c>
      <c r="G337" s="149" t="str">
        <f t="shared" si="155"/>
        <v/>
      </c>
      <c r="H337" s="149" t="str">
        <f t="shared" si="163"/>
        <v/>
      </c>
      <c r="I337" s="149" t="str">
        <f t="shared" si="164"/>
        <v/>
      </c>
      <c r="J337" s="147" t="str">
        <f t="shared" si="165"/>
        <v/>
      </c>
      <c r="K337" s="175" t="str">
        <f t="shared" si="156"/>
        <v/>
      </c>
      <c r="L337" s="149" t="str">
        <f t="shared" si="166"/>
        <v/>
      </c>
      <c r="M337" s="149" t="str">
        <f t="shared" si="167"/>
        <v/>
      </c>
      <c r="N337" s="149" t="str">
        <f t="shared" si="168"/>
        <v/>
      </c>
      <c r="P337" s="149" t="str">
        <f t="shared" si="169"/>
        <v/>
      </c>
      <c r="Q337" s="149" t="str">
        <f t="shared" si="170"/>
        <v/>
      </c>
      <c r="R337" s="176" t="str">
        <f t="shared" si="171"/>
        <v/>
      </c>
      <c r="S337" s="113" t="str">
        <f t="shared" si="172"/>
        <v/>
      </c>
      <c r="T337" s="113" t="str">
        <f t="shared" si="157"/>
        <v/>
      </c>
      <c r="U337" s="114" t="str">
        <f t="shared" si="173"/>
        <v/>
      </c>
      <c r="V337" s="114" t="str">
        <f t="shared" si="174"/>
        <v/>
      </c>
      <c r="W337" s="114" t="str">
        <f t="shared" si="175"/>
        <v/>
      </c>
      <c r="X337" s="114"/>
      <c r="Y337" s="149" t="str">
        <f t="shared" si="176"/>
        <v/>
      </c>
      <c r="Z337" s="149" t="str">
        <f t="shared" si="177"/>
        <v/>
      </c>
      <c r="AA337" s="176" t="str">
        <f t="shared" si="178"/>
        <v/>
      </c>
      <c r="AB337" s="113" t="str">
        <f t="shared" si="179"/>
        <v/>
      </c>
      <c r="AC337" s="113" t="str">
        <f t="shared" si="158"/>
        <v/>
      </c>
      <c r="AD337" s="114" t="str">
        <f t="shared" si="180"/>
        <v/>
      </c>
      <c r="AE337" s="114" t="str">
        <f t="shared" si="181"/>
        <v/>
      </c>
      <c r="AF337" s="114" t="str">
        <f t="shared" si="182"/>
        <v/>
      </c>
      <c r="AG337" s="114"/>
      <c r="AH337" s="176" t="str">
        <f t="shared" si="183"/>
        <v/>
      </c>
      <c r="AI337" s="176" t="str">
        <f t="shared" si="184"/>
        <v/>
      </c>
      <c r="AJ337" s="176" t="str">
        <f t="shared" si="185"/>
        <v/>
      </c>
      <c r="AK337" s="113" t="str">
        <f t="shared" si="186"/>
        <v/>
      </c>
      <c r="AL337" s="113" t="str">
        <f t="shared" si="159"/>
        <v/>
      </c>
      <c r="AM337" s="114" t="str">
        <f t="shared" si="187"/>
        <v/>
      </c>
      <c r="AN337" s="114" t="str">
        <f t="shared" si="188"/>
        <v/>
      </c>
      <c r="AO337" s="114" t="str">
        <f t="shared" si="189"/>
        <v/>
      </c>
    </row>
    <row r="338" spans="1:41" x14ac:dyDescent="0.3">
      <c r="A338" s="146">
        <f t="shared" si="160"/>
        <v>316</v>
      </c>
      <c r="B338" s="147" t="str">
        <f t="shared" si="153"/>
        <v/>
      </c>
      <c r="C338" s="147" t="str">
        <f t="shared" si="152"/>
        <v/>
      </c>
      <c r="D338" s="149" t="str">
        <f t="shared" si="161"/>
        <v/>
      </c>
      <c r="E338" s="149" t="str">
        <f t="shared" si="162"/>
        <v/>
      </c>
      <c r="F338" s="149" t="str">
        <f t="shared" si="154"/>
        <v/>
      </c>
      <c r="G338" s="149" t="str">
        <f t="shared" si="155"/>
        <v/>
      </c>
      <c r="H338" s="149" t="str">
        <f t="shared" si="163"/>
        <v/>
      </c>
      <c r="I338" s="149" t="str">
        <f t="shared" si="164"/>
        <v/>
      </c>
      <c r="J338" s="147" t="str">
        <f t="shared" si="165"/>
        <v/>
      </c>
      <c r="K338" s="175" t="str">
        <f t="shared" si="156"/>
        <v/>
      </c>
      <c r="L338" s="149" t="str">
        <f t="shared" si="166"/>
        <v/>
      </c>
      <c r="M338" s="149" t="str">
        <f t="shared" si="167"/>
        <v/>
      </c>
      <c r="N338" s="149" t="str">
        <f t="shared" si="168"/>
        <v/>
      </c>
      <c r="P338" s="149" t="str">
        <f t="shared" si="169"/>
        <v/>
      </c>
      <c r="Q338" s="149" t="str">
        <f t="shared" si="170"/>
        <v/>
      </c>
      <c r="R338" s="176" t="str">
        <f t="shared" si="171"/>
        <v/>
      </c>
      <c r="S338" s="113" t="str">
        <f t="shared" si="172"/>
        <v/>
      </c>
      <c r="T338" s="113" t="str">
        <f t="shared" si="157"/>
        <v/>
      </c>
      <c r="U338" s="114" t="str">
        <f t="shared" si="173"/>
        <v/>
      </c>
      <c r="V338" s="114" t="str">
        <f t="shared" si="174"/>
        <v/>
      </c>
      <c r="W338" s="114" t="str">
        <f t="shared" si="175"/>
        <v/>
      </c>
      <c r="X338" s="114"/>
      <c r="Y338" s="149" t="str">
        <f t="shared" si="176"/>
        <v/>
      </c>
      <c r="Z338" s="149" t="str">
        <f t="shared" si="177"/>
        <v/>
      </c>
      <c r="AA338" s="176" t="str">
        <f t="shared" si="178"/>
        <v/>
      </c>
      <c r="AB338" s="113" t="str">
        <f t="shared" si="179"/>
        <v/>
      </c>
      <c r="AC338" s="113" t="str">
        <f t="shared" si="158"/>
        <v/>
      </c>
      <c r="AD338" s="114" t="str">
        <f t="shared" si="180"/>
        <v/>
      </c>
      <c r="AE338" s="114" t="str">
        <f t="shared" si="181"/>
        <v/>
      </c>
      <c r="AF338" s="114" t="str">
        <f t="shared" si="182"/>
        <v/>
      </c>
      <c r="AG338" s="114"/>
      <c r="AH338" s="176" t="str">
        <f t="shared" si="183"/>
        <v/>
      </c>
      <c r="AI338" s="176" t="str">
        <f t="shared" si="184"/>
        <v/>
      </c>
      <c r="AJ338" s="176" t="str">
        <f t="shared" si="185"/>
        <v/>
      </c>
      <c r="AK338" s="113" t="str">
        <f t="shared" si="186"/>
        <v/>
      </c>
      <c r="AL338" s="113" t="str">
        <f t="shared" si="159"/>
        <v/>
      </c>
      <c r="AM338" s="114" t="str">
        <f t="shared" si="187"/>
        <v/>
      </c>
      <c r="AN338" s="114" t="str">
        <f t="shared" si="188"/>
        <v/>
      </c>
      <c r="AO338" s="114" t="str">
        <f t="shared" si="189"/>
        <v/>
      </c>
    </row>
    <row r="339" spans="1:41" x14ac:dyDescent="0.3">
      <c r="A339" s="146">
        <f t="shared" si="160"/>
        <v>317</v>
      </c>
      <c r="B339" s="147" t="str">
        <f t="shared" si="153"/>
        <v/>
      </c>
      <c r="C339" s="147" t="str">
        <f t="shared" si="152"/>
        <v/>
      </c>
      <c r="D339" s="149" t="str">
        <f t="shared" si="161"/>
        <v/>
      </c>
      <c r="E339" s="149" t="str">
        <f t="shared" si="162"/>
        <v/>
      </c>
      <c r="F339" s="149" t="str">
        <f t="shared" si="154"/>
        <v/>
      </c>
      <c r="G339" s="149" t="str">
        <f t="shared" si="155"/>
        <v/>
      </c>
      <c r="H339" s="149" t="str">
        <f t="shared" si="163"/>
        <v/>
      </c>
      <c r="I339" s="149" t="str">
        <f t="shared" si="164"/>
        <v/>
      </c>
      <c r="J339" s="147" t="str">
        <f t="shared" si="165"/>
        <v/>
      </c>
      <c r="K339" s="175" t="str">
        <f t="shared" si="156"/>
        <v/>
      </c>
      <c r="L339" s="149" t="str">
        <f t="shared" si="166"/>
        <v/>
      </c>
      <c r="M339" s="149" t="str">
        <f t="shared" si="167"/>
        <v/>
      </c>
      <c r="N339" s="149" t="str">
        <f t="shared" si="168"/>
        <v/>
      </c>
      <c r="P339" s="149" t="str">
        <f t="shared" si="169"/>
        <v/>
      </c>
      <c r="Q339" s="149" t="str">
        <f t="shared" si="170"/>
        <v/>
      </c>
      <c r="R339" s="176" t="str">
        <f t="shared" si="171"/>
        <v/>
      </c>
      <c r="S339" s="113" t="str">
        <f t="shared" si="172"/>
        <v/>
      </c>
      <c r="T339" s="113" t="str">
        <f t="shared" si="157"/>
        <v/>
      </c>
      <c r="U339" s="114" t="str">
        <f t="shared" si="173"/>
        <v/>
      </c>
      <c r="V339" s="114" t="str">
        <f t="shared" si="174"/>
        <v/>
      </c>
      <c r="W339" s="114" t="str">
        <f t="shared" si="175"/>
        <v/>
      </c>
      <c r="X339" s="114"/>
      <c r="Y339" s="149" t="str">
        <f t="shared" si="176"/>
        <v/>
      </c>
      <c r="Z339" s="149" t="str">
        <f t="shared" si="177"/>
        <v/>
      </c>
      <c r="AA339" s="176" t="str">
        <f t="shared" si="178"/>
        <v/>
      </c>
      <c r="AB339" s="113" t="str">
        <f t="shared" si="179"/>
        <v/>
      </c>
      <c r="AC339" s="113" t="str">
        <f t="shared" si="158"/>
        <v/>
      </c>
      <c r="AD339" s="114" t="str">
        <f t="shared" si="180"/>
        <v/>
      </c>
      <c r="AE339" s="114" t="str">
        <f t="shared" si="181"/>
        <v/>
      </c>
      <c r="AF339" s="114" t="str">
        <f t="shared" si="182"/>
        <v/>
      </c>
      <c r="AG339" s="114"/>
      <c r="AH339" s="176" t="str">
        <f t="shared" si="183"/>
        <v/>
      </c>
      <c r="AI339" s="176" t="str">
        <f t="shared" si="184"/>
        <v/>
      </c>
      <c r="AJ339" s="176" t="str">
        <f t="shared" si="185"/>
        <v/>
      </c>
      <c r="AK339" s="113" t="str">
        <f t="shared" si="186"/>
        <v/>
      </c>
      <c r="AL339" s="113" t="str">
        <f t="shared" si="159"/>
        <v/>
      </c>
      <c r="AM339" s="114" t="str">
        <f t="shared" si="187"/>
        <v/>
      </c>
      <c r="AN339" s="114" t="str">
        <f t="shared" si="188"/>
        <v/>
      </c>
      <c r="AO339" s="114" t="str">
        <f t="shared" si="189"/>
        <v/>
      </c>
    </row>
    <row r="340" spans="1:41" x14ac:dyDescent="0.3">
      <c r="A340" s="146">
        <f t="shared" si="160"/>
        <v>318</v>
      </c>
      <c r="B340" s="147" t="str">
        <f t="shared" si="153"/>
        <v/>
      </c>
      <c r="C340" s="147" t="str">
        <f t="shared" si="152"/>
        <v/>
      </c>
      <c r="D340" s="149" t="str">
        <f t="shared" si="161"/>
        <v/>
      </c>
      <c r="E340" s="149" t="str">
        <f t="shared" si="162"/>
        <v/>
      </c>
      <c r="F340" s="149" t="str">
        <f t="shared" si="154"/>
        <v/>
      </c>
      <c r="G340" s="149" t="str">
        <f t="shared" si="155"/>
        <v/>
      </c>
      <c r="H340" s="149" t="str">
        <f t="shared" si="163"/>
        <v/>
      </c>
      <c r="I340" s="149" t="str">
        <f t="shared" si="164"/>
        <v/>
      </c>
      <c r="J340" s="147" t="str">
        <f t="shared" si="165"/>
        <v/>
      </c>
      <c r="K340" s="175" t="str">
        <f t="shared" si="156"/>
        <v/>
      </c>
      <c r="L340" s="149" t="str">
        <f t="shared" si="166"/>
        <v/>
      </c>
      <c r="M340" s="149" t="str">
        <f t="shared" si="167"/>
        <v/>
      </c>
      <c r="N340" s="149" t="str">
        <f t="shared" si="168"/>
        <v/>
      </c>
      <c r="P340" s="149" t="str">
        <f t="shared" si="169"/>
        <v/>
      </c>
      <c r="Q340" s="149" t="str">
        <f t="shared" si="170"/>
        <v/>
      </c>
      <c r="R340" s="176" t="str">
        <f t="shared" si="171"/>
        <v/>
      </c>
      <c r="S340" s="113" t="str">
        <f t="shared" si="172"/>
        <v/>
      </c>
      <c r="T340" s="113" t="str">
        <f t="shared" si="157"/>
        <v/>
      </c>
      <c r="U340" s="114" t="str">
        <f t="shared" si="173"/>
        <v/>
      </c>
      <c r="V340" s="114" t="str">
        <f t="shared" si="174"/>
        <v/>
      </c>
      <c r="W340" s="114" t="str">
        <f t="shared" si="175"/>
        <v/>
      </c>
      <c r="X340" s="114"/>
      <c r="Y340" s="149" t="str">
        <f t="shared" si="176"/>
        <v/>
      </c>
      <c r="Z340" s="149" t="str">
        <f t="shared" si="177"/>
        <v/>
      </c>
      <c r="AA340" s="176" t="str">
        <f t="shared" si="178"/>
        <v/>
      </c>
      <c r="AB340" s="113" t="str">
        <f t="shared" si="179"/>
        <v/>
      </c>
      <c r="AC340" s="113" t="str">
        <f t="shared" si="158"/>
        <v/>
      </c>
      <c r="AD340" s="114" t="str">
        <f t="shared" si="180"/>
        <v/>
      </c>
      <c r="AE340" s="114" t="str">
        <f t="shared" si="181"/>
        <v/>
      </c>
      <c r="AF340" s="114" t="str">
        <f t="shared" si="182"/>
        <v/>
      </c>
      <c r="AG340" s="114"/>
      <c r="AH340" s="176" t="str">
        <f t="shared" si="183"/>
        <v/>
      </c>
      <c r="AI340" s="176" t="str">
        <f t="shared" si="184"/>
        <v/>
      </c>
      <c r="AJ340" s="176" t="str">
        <f t="shared" si="185"/>
        <v/>
      </c>
      <c r="AK340" s="113" t="str">
        <f t="shared" si="186"/>
        <v/>
      </c>
      <c r="AL340" s="113" t="str">
        <f t="shared" si="159"/>
        <v/>
      </c>
      <c r="AM340" s="114" t="str">
        <f t="shared" si="187"/>
        <v/>
      </c>
      <c r="AN340" s="114" t="str">
        <f t="shared" si="188"/>
        <v/>
      </c>
      <c r="AO340" s="114" t="str">
        <f t="shared" si="189"/>
        <v/>
      </c>
    </row>
    <row r="341" spans="1:41" x14ac:dyDescent="0.3">
      <c r="A341" s="146">
        <f t="shared" si="160"/>
        <v>319</v>
      </c>
      <c r="B341" s="147" t="str">
        <f t="shared" si="153"/>
        <v/>
      </c>
      <c r="C341" s="147" t="str">
        <f t="shared" si="152"/>
        <v/>
      </c>
      <c r="D341" s="149" t="str">
        <f t="shared" si="161"/>
        <v/>
      </c>
      <c r="E341" s="149" t="str">
        <f t="shared" si="162"/>
        <v/>
      </c>
      <c r="F341" s="149" t="str">
        <f t="shared" si="154"/>
        <v/>
      </c>
      <c r="G341" s="149" t="str">
        <f t="shared" si="155"/>
        <v/>
      </c>
      <c r="H341" s="149" t="str">
        <f t="shared" si="163"/>
        <v/>
      </c>
      <c r="I341" s="149" t="str">
        <f t="shared" si="164"/>
        <v/>
      </c>
      <c r="J341" s="147" t="str">
        <f t="shared" si="165"/>
        <v/>
      </c>
      <c r="K341" s="175" t="str">
        <f t="shared" si="156"/>
        <v/>
      </c>
      <c r="L341" s="149" t="str">
        <f t="shared" si="166"/>
        <v/>
      </c>
      <c r="M341" s="149" t="str">
        <f t="shared" si="167"/>
        <v/>
      </c>
      <c r="N341" s="149" t="str">
        <f t="shared" si="168"/>
        <v/>
      </c>
      <c r="P341" s="149" t="str">
        <f t="shared" si="169"/>
        <v/>
      </c>
      <c r="Q341" s="149" t="str">
        <f t="shared" si="170"/>
        <v/>
      </c>
      <c r="R341" s="176" t="str">
        <f t="shared" si="171"/>
        <v/>
      </c>
      <c r="S341" s="113" t="str">
        <f t="shared" si="172"/>
        <v/>
      </c>
      <c r="T341" s="113" t="str">
        <f t="shared" si="157"/>
        <v/>
      </c>
      <c r="U341" s="114" t="str">
        <f t="shared" si="173"/>
        <v/>
      </c>
      <c r="V341" s="114" t="str">
        <f t="shared" si="174"/>
        <v/>
      </c>
      <c r="W341" s="114" t="str">
        <f t="shared" si="175"/>
        <v/>
      </c>
      <c r="X341" s="114"/>
      <c r="Y341" s="149" t="str">
        <f t="shared" si="176"/>
        <v/>
      </c>
      <c r="Z341" s="149" t="str">
        <f t="shared" si="177"/>
        <v/>
      </c>
      <c r="AA341" s="176" t="str">
        <f t="shared" si="178"/>
        <v/>
      </c>
      <c r="AB341" s="113" t="str">
        <f t="shared" si="179"/>
        <v/>
      </c>
      <c r="AC341" s="113" t="str">
        <f t="shared" si="158"/>
        <v/>
      </c>
      <c r="AD341" s="114" t="str">
        <f t="shared" si="180"/>
        <v/>
      </c>
      <c r="AE341" s="114" t="str">
        <f t="shared" si="181"/>
        <v/>
      </c>
      <c r="AF341" s="114" t="str">
        <f t="shared" si="182"/>
        <v/>
      </c>
      <c r="AG341" s="114"/>
      <c r="AH341" s="176" t="str">
        <f t="shared" si="183"/>
        <v/>
      </c>
      <c r="AI341" s="176" t="str">
        <f t="shared" si="184"/>
        <v/>
      </c>
      <c r="AJ341" s="176" t="str">
        <f t="shared" si="185"/>
        <v/>
      </c>
      <c r="AK341" s="113" t="str">
        <f t="shared" si="186"/>
        <v/>
      </c>
      <c r="AL341" s="113" t="str">
        <f t="shared" si="159"/>
        <v/>
      </c>
      <c r="AM341" s="114" t="str">
        <f t="shared" si="187"/>
        <v/>
      </c>
      <c r="AN341" s="114" t="str">
        <f t="shared" si="188"/>
        <v/>
      </c>
      <c r="AO341" s="114" t="str">
        <f t="shared" si="189"/>
        <v/>
      </c>
    </row>
    <row r="342" spans="1:41" x14ac:dyDescent="0.3">
      <c r="A342" s="146">
        <f t="shared" si="160"/>
        <v>320</v>
      </c>
      <c r="B342" s="147" t="str">
        <f t="shared" si="153"/>
        <v/>
      </c>
      <c r="C342" s="147" t="str">
        <f t="shared" ref="C342:C381" si="190">IF($A342&gt;$B$4,"",$B$11*$B$13-B342)</f>
        <v/>
      </c>
      <c r="D342" s="149" t="str">
        <f t="shared" si="161"/>
        <v/>
      </c>
      <c r="E342" s="149" t="str">
        <f t="shared" si="162"/>
        <v/>
      </c>
      <c r="F342" s="149" t="str">
        <f t="shared" si="154"/>
        <v/>
      </c>
      <c r="G342" s="149" t="str">
        <f t="shared" si="155"/>
        <v/>
      </c>
      <c r="H342" s="149" t="str">
        <f t="shared" si="163"/>
        <v/>
      </c>
      <c r="I342" s="149" t="str">
        <f t="shared" si="164"/>
        <v/>
      </c>
      <c r="J342" s="147" t="str">
        <f t="shared" si="165"/>
        <v/>
      </c>
      <c r="K342" s="175" t="str">
        <f t="shared" si="156"/>
        <v/>
      </c>
      <c r="L342" s="149" t="str">
        <f t="shared" si="166"/>
        <v/>
      </c>
      <c r="M342" s="149" t="str">
        <f t="shared" si="167"/>
        <v/>
      </c>
      <c r="N342" s="149" t="str">
        <f t="shared" si="168"/>
        <v/>
      </c>
      <c r="P342" s="149" t="str">
        <f t="shared" si="169"/>
        <v/>
      </c>
      <c r="Q342" s="149" t="str">
        <f t="shared" si="170"/>
        <v/>
      </c>
      <c r="R342" s="176" t="str">
        <f t="shared" si="171"/>
        <v/>
      </c>
      <c r="S342" s="113" t="str">
        <f t="shared" si="172"/>
        <v/>
      </c>
      <c r="T342" s="113" t="str">
        <f t="shared" si="157"/>
        <v/>
      </c>
      <c r="U342" s="114" t="str">
        <f t="shared" si="173"/>
        <v/>
      </c>
      <c r="V342" s="114" t="str">
        <f t="shared" si="174"/>
        <v/>
      </c>
      <c r="W342" s="114" t="str">
        <f t="shared" si="175"/>
        <v/>
      </c>
      <c r="X342" s="114"/>
      <c r="Y342" s="149" t="str">
        <f t="shared" si="176"/>
        <v/>
      </c>
      <c r="Z342" s="149" t="str">
        <f t="shared" si="177"/>
        <v/>
      </c>
      <c r="AA342" s="176" t="str">
        <f t="shared" si="178"/>
        <v/>
      </c>
      <c r="AB342" s="113" t="str">
        <f t="shared" si="179"/>
        <v/>
      </c>
      <c r="AC342" s="113" t="str">
        <f t="shared" si="158"/>
        <v/>
      </c>
      <c r="AD342" s="114" t="str">
        <f t="shared" si="180"/>
        <v/>
      </c>
      <c r="AE342" s="114" t="str">
        <f t="shared" si="181"/>
        <v/>
      </c>
      <c r="AF342" s="114" t="str">
        <f t="shared" si="182"/>
        <v/>
      </c>
      <c r="AG342" s="114"/>
      <c r="AH342" s="176" t="str">
        <f t="shared" si="183"/>
        <v/>
      </c>
      <c r="AI342" s="176" t="str">
        <f t="shared" si="184"/>
        <v/>
      </c>
      <c r="AJ342" s="176" t="str">
        <f t="shared" si="185"/>
        <v/>
      </c>
      <c r="AK342" s="113" t="str">
        <f t="shared" si="186"/>
        <v/>
      </c>
      <c r="AL342" s="113" t="str">
        <f t="shared" si="159"/>
        <v/>
      </c>
      <c r="AM342" s="114" t="str">
        <f t="shared" si="187"/>
        <v/>
      </c>
      <c r="AN342" s="114" t="str">
        <f t="shared" si="188"/>
        <v/>
      </c>
      <c r="AO342" s="114" t="str">
        <f t="shared" si="189"/>
        <v/>
      </c>
    </row>
    <row r="343" spans="1:41" x14ac:dyDescent="0.3">
      <c r="A343" s="146">
        <f t="shared" si="160"/>
        <v>321</v>
      </c>
      <c r="B343" s="147" t="str">
        <f t="shared" ref="B343:B382" si="191">IF(A343&gt;$B$4,"",B$4-A343)</f>
        <v/>
      </c>
      <c r="C343" s="147" t="str">
        <f t="shared" si="190"/>
        <v/>
      </c>
      <c r="D343" s="149" t="str">
        <f t="shared" si="161"/>
        <v/>
      </c>
      <c r="E343" s="149" t="str">
        <f t="shared" si="162"/>
        <v/>
      </c>
      <c r="F343" s="149" t="str">
        <f t="shared" ref="F343:F382" si="192">IF(A343&gt;$B$4,"",D342*$B$15)</f>
        <v/>
      </c>
      <c r="G343" s="149" t="str">
        <f t="shared" ref="G343:G382" si="193">IF(A343&gt;$B$4,"",D342*$B$16)</f>
        <v/>
      </c>
      <c r="H343" s="149" t="str">
        <f t="shared" si="163"/>
        <v/>
      </c>
      <c r="I343" s="149" t="str">
        <f t="shared" si="164"/>
        <v/>
      </c>
      <c r="J343" s="147" t="str">
        <f t="shared" si="165"/>
        <v/>
      </c>
      <c r="K343" s="175" t="str">
        <f t="shared" ref="K343:K381" si="194">IF(A343&gt;$B$4,"",1-(1-J343)^(1/$B$11))</f>
        <v/>
      </c>
      <c r="L343" s="149" t="str">
        <f t="shared" si="166"/>
        <v/>
      </c>
      <c r="M343" s="149" t="str">
        <f t="shared" si="167"/>
        <v/>
      </c>
      <c r="N343" s="149" t="str">
        <f t="shared" si="168"/>
        <v/>
      </c>
      <c r="P343" s="149" t="str">
        <f t="shared" si="169"/>
        <v/>
      </c>
      <c r="Q343" s="149" t="str">
        <f t="shared" si="170"/>
        <v/>
      </c>
      <c r="R343" s="176" t="str">
        <f t="shared" si="171"/>
        <v/>
      </c>
      <c r="S343" s="113" t="str">
        <f t="shared" si="172"/>
        <v/>
      </c>
      <c r="T343" s="113" t="str">
        <f t="shared" ref="T343:T381" si="195">IF(A343&gt;$B$4,"",S343/(1+$B$14)^(A343/$B$11*$B$8))</f>
        <v/>
      </c>
      <c r="U343" s="114" t="str">
        <f t="shared" si="173"/>
        <v/>
      </c>
      <c r="V343" s="114" t="str">
        <f t="shared" si="174"/>
        <v/>
      </c>
      <c r="W343" s="114" t="str">
        <f t="shared" si="175"/>
        <v/>
      </c>
      <c r="X343" s="114"/>
      <c r="Y343" s="149" t="str">
        <f t="shared" si="176"/>
        <v/>
      </c>
      <c r="Z343" s="149" t="str">
        <f t="shared" si="177"/>
        <v/>
      </c>
      <c r="AA343" s="176" t="str">
        <f t="shared" si="178"/>
        <v/>
      </c>
      <c r="AB343" s="113" t="str">
        <f t="shared" si="179"/>
        <v/>
      </c>
      <c r="AC343" s="113" t="str">
        <f t="shared" ref="AC343:AC381" si="196">IF(A343&gt;$B$4,"",AB343/(1+$B$14)^(A343/$B$11*$B$8))</f>
        <v/>
      </c>
      <c r="AD343" s="114" t="str">
        <f t="shared" si="180"/>
        <v/>
      </c>
      <c r="AE343" s="114" t="str">
        <f t="shared" si="181"/>
        <v/>
      </c>
      <c r="AF343" s="114" t="str">
        <f t="shared" si="182"/>
        <v/>
      </c>
      <c r="AG343" s="114"/>
      <c r="AH343" s="176" t="str">
        <f t="shared" si="183"/>
        <v/>
      </c>
      <c r="AI343" s="176" t="str">
        <f t="shared" si="184"/>
        <v/>
      </c>
      <c r="AJ343" s="176" t="str">
        <f t="shared" si="185"/>
        <v/>
      </c>
      <c r="AK343" s="113" t="str">
        <f t="shared" si="186"/>
        <v/>
      </c>
      <c r="AL343" s="113" t="str">
        <f t="shared" ref="AL343:AL381" si="197">IF(A343&gt;$B$4,"",AK343/(1+$B$14)^(A343/$B$11*$B$8))</f>
        <v/>
      </c>
      <c r="AM343" s="114" t="str">
        <f t="shared" si="187"/>
        <v/>
      </c>
      <c r="AN343" s="114" t="str">
        <f t="shared" si="188"/>
        <v/>
      </c>
      <c r="AO343" s="114" t="str">
        <f t="shared" si="189"/>
        <v/>
      </c>
    </row>
    <row r="344" spans="1:41" x14ac:dyDescent="0.3">
      <c r="A344" s="146">
        <f t="shared" ref="A344:A379" si="198">A343+1</f>
        <v>322</v>
      </c>
      <c r="B344" s="147" t="str">
        <f t="shared" si="191"/>
        <v/>
      </c>
      <c r="C344" s="147" t="str">
        <f t="shared" si="190"/>
        <v/>
      </c>
      <c r="D344" s="149" t="str">
        <f t="shared" ref="D344:D382" si="199">IF(A344&gt;$B$4,"",D343-I344-L344)</f>
        <v/>
      </c>
      <c r="E344" s="149" t="str">
        <f t="shared" ref="E344:E382" si="200">IF(A344&gt;$B$4,"",MIN(E343*(1-K343),D343*(1+$B$15)))</f>
        <v/>
      </c>
      <c r="F344" s="149" t="str">
        <f t="shared" si="192"/>
        <v/>
      </c>
      <c r="G344" s="149" t="str">
        <f t="shared" si="193"/>
        <v/>
      </c>
      <c r="H344" s="149" t="str">
        <f t="shared" ref="H344:H382" si="201">IF(A344&gt;$B$4,"",F344-G344)</f>
        <v/>
      </c>
      <c r="I344" s="149" t="str">
        <f t="shared" ref="I344:I382" si="202">IF(A344&gt;$B$4,"",E344-F344)</f>
        <v/>
      </c>
      <c r="J344" s="147" t="str">
        <f t="shared" ref="J344:J382" si="203">IF(A344&gt;$B$4,"",$B$9/100*MIN(C344/30,1)*0.06)</f>
        <v/>
      </c>
      <c r="K344" s="175" t="str">
        <f t="shared" si="194"/>
        <v/>
      </c>
      <c r="L344" s="149" t="str">
        <f t="shared" ref="L344:L382" si="204">IF(A344&gt;$B$4,"",(D343-I344)*K344)</f>
        <v/>
      </c>
      <c r="M344" s="149" t="str">
        <f t="shared" ref="M344:M382" si="205">IF(A344&gt;$B$4,"",G344+I344+L344)</f>
        <v/>
      </c>
      <c r="N344" s="149" t="str">
        <f t="shared" ref="N344:N382" si="206">IF($A344&gt;$B$4,"",I344+L344)</f>
        <v/>
      </c>
      <c r="P344" s="149" t="str">
        <f t="shared" ref="P344:P382" si="207">IF($A344&gt;$B$4,"",MAX(0,P343-R344))</f>
        <v/>
      </c>
      <c r="Q344" s="149" t="str">
        <f t="shared" ref="Q344:Q382" si="208">IF($A344&gt;$B$4,"",IF(P343&gt;0,$H$6*P343,0))</f>
        <v/>
      </c>
      <c r="R344" s="176" t="str">
        <f t="shared" ref="R344:R382" si="209">IF($A344&gt;$B$4,"",MIN(P343,$N344))</f>
        <v/>
      </c>
      <c r="S344" s="113" t="str">
        <f t="shared" ref="S344:S381" si="210">IF($A344&gt;$B$4,"",Q344+R344)</f>
        <v/>
      </c>
      <c r="T344" s="113" t="str">
        <f t="shared" si="195"/>
        <v/>
      </c>
      <c r="U344" s="114" t="str">
        <f t="shared" ref="U344:U381" si="211">IF($A344&gt;$B$4,"",A344/6)</f>
        <v/>
      </c>
      <c r="V344" s="114" t="str">
        <f t="shared" ref="V344:V381" si="212">IF($A344&gt;$B$4,"",T344/$T$21)</f>
        <v/>
      </c>
      <c r="W344" s="114" t="str">
        <f t="shared" ref="W344:W381" si="213">IF($A344&gt;$B$4,"",U344*(U344+1))</f>
        <v/>
      </c>
      <c r="X344" s="114"/>
      <c r="Y344" s="149" t="str">
        <f t="shared" ref="Y344:Y382" si="214">IF($A344&gt;$B$4,"",MAX(0,Y343-AA344))</f>
        <v/>
      </c>
      <c r="Z344" s="149" t="str">
        <f t="shared" ref="Z344:Z381" si="215">IF($A344&gt;$B$4,"",IF(Y343&gt;0,$H$7*Y343,0))</f>
        <v/>
      </c>
      <c r="AA344" s="176" t="str">
        <f t="shared" ref="AA344:AA382" si="216">IF($A344&gt;$B$4,"",IF(P344&gt;0,0,MIN(Y343,$N344-R344)))</f>
        <v/>
      </c>
      <c r="AB344" s="113" t="str">
        <f t="shared" ref="AB344:AB381" si="217">IF($A344&gt;$B$4,"",Z344+AA344)</f>
        <v/>
      </c>
      <c r="AC344" s="113" t="str">
        <f t="shared" si="196"/>
        <v/>
      </c>
      <c r="AD344" s="114" t="str">
        <f t="shared" ref="AD344:AD381" si="218">IF($A344&gt;$B$4,"",A344/6)</f>
        <v/>
      </c>
      <c r="AE344" s="114" t="str">
        <f t="shared" ref="AE344:AE381" si="219">IF($A344&gt;$B$4,"",AC344/$AC$21)</f>
        <v/>
      </c>
      <c r="AF344" s="114" t="str">
        <f t="shared" ref="AF344:AF381" si="220">IF($A344&gt;$B$4,"",AD344*(AD344+1))</f>
        <v/>
      </c>
      <c r="AG344" s="114"/>
      <c r="AH344" s="176" t="str">
        <f t="shared" ref="AH344:AH382" si="221">IF($A344&gt;$B$4,"",MAX(0,AH343-AJ344))</f>
        <v/>
      </c>
      <c r="AI344" s="176" t="str">
        <f t="shared" ref="AI344:AI382" si="222">IF($A344&gt;$B$4,"",IF(AH343&gt;0,$H$8*AH343,0))</f>
        <v/>
      </c>
      <c r="AJ344" s="176" t="str">
        <f t="shared" ref="AJ344:AJ382" si="223">IF($A344&gt;$B$4,"",IF(Y344&gt;0,0,MIN(AH343,$N344-AA344)))</f>
        <v/>
      </c>
      <c r="AK344" s="113" t="str">
        <f t="shared" ref="AK344:AK381" si="224">IF($A344&gt;$B$4,"",AI344+AJ344)</f>
        <v/>
      </c>
      <c r="AL344" s="113" t="str">
        <f t="shared" si="197"/>
        <v/>
      </c>
      <c r="AM344" s="114" t="str">
        <f t="shared" ref="AM344:AM381" si="225">IF($A344&gt;$B$4,"",A344/6)</f>
        <v/>
      </c>
      <c r="AN344" s="114" t="str">
        <f t="shared" ref="AN344:AN381" si="226">IF($A344&gt;$B$4,"",AL344/$AL$21)</f>
        <v/>
      </c>
      <c r="AO344" s="114" t="str">
        <f t="shared" ref="AO344:AO381" si="227">IF($A344&gt;$B$4,"",AM344*(AM344+1))</f>
        <v/>
      </c>
    </row>
    <row r="345" spans="1:41" x14ac:dyDescent="0.3">
      <c r="A345" s="146">
        <f t="shared" si="198"/>
        <v>323</v>
      </c>
      <c r="B345" s="147" t="str">
        <f t="shared" si="191"/>
        <v/>
      </c>
      <c r="C345" s="147" t="str">
        <f t="shared" si="190"/>
        <v/>
      </c>
      <c r="D345" s="149" t="str">
        <f t="shared" si="199"/>
        <v/>
      </c>
      <c r="E345" s="149" t="str">
        <f t="shared" si="200"/>
        <v/>
      </c>
      <c r="F345" s="149" t="str">
        <f t="shared" si="192"/>
        <v/>
      </c>
      <c r="G345" s="149" t="str">
        <f t="shared" si="193"/>
        <v/>
      </c>
      <c r="H345" s="149" t="str">
        <f t="shared" si="201"/>
        <v/>
      </c>
      <c r="I345" s="149" t="str">
        <f t="shared" si="202"/>
        <v/>
      </c>
      <c r="J345" s="147" t="str">
        <f t="shared" si="203"/>
        <v/>
      </c>
      <c r="K345" s="175" t="str">
        <f t="shared" si="194"/>
        <v/>
      </c>
      <c r="L345" s="149" t="str">
        <f t="shared" si="204"/>
        <v/>
      </c>
      <c r="M345" s="149" t="str">
        <f t="shared" si="205"/>
        <v/>
      </c>
      <c r="N345" s="149" t="str">
        <f t="shared" si="206"/>
        <v/>
      </c>
      <c r="P345" s="149" t="str">
        <f t="shared" si="207"/>
        <v/>
      </c>
      <c r="Q345" s="149" t="str">
        <f t="shared" si="208"/>
        <v/>
      </c>
      <c r="R345" s="176" t="str">
        <f t="shared" si="209"/>
        <v/>
      </c>
      <c r="S345" s="113" t="str">
        <f t="shared" si="210"/>
        <v/>
      </c>
      <c r="T345" s="113" t="str">
        <f t="shared" si="195"/>
        <v/>
      </c>
      <c r="U345" s="114" t="str">
        <f t="shared" si="211"/>
        <v/>
      </c>
      <c r="V345" s="114" t="str">
        <f t="shared" si="212"/>
        <v/>
      </c>
      <c r="W345" s="114" t="str">
        <f t="shared" si="213"/>
        <v/>
      </c>
      <c r="X345" s="114"/>
      <c r="Y345" s="149" t="str">
        <f t="shared" si="214"/>
        <v/>
      </c>
      <c r="Z345" s="149" t="str">
        <f t="shared" si="215"/>
        <v/>
      </c>
      <c r="AA345" s="176" t="str">
        <f t="shared" si="216"/>
        <v/>
      </c>
      <c r="AB345" s="113" t="str">
        <f t="shared" si="217"/>
        <v/>
      </c>
      <c r="AC345" s="113" t="str">
        <f t="shared" si="196"/>
        <v/>
      </c>
      <c r="AD345" s="114" t="str">
        <f t="shared" si="218"/>
        <v/>
      </c>
      <c r="AE345" s="114" t="str">
        <f t="shared" si="219"/>
        <v/>
      </c>
      <c r="AF345" s="114" t="str">
        <f t="shared" si="220"/>
        <v/>
      </c>
      <c r="AG345" s="114"/>
      <c r="AH345" s="176" t="str">
        <f t="shared" si="221"/>
        <v/>
      </c>
      <c r="AI345" s="176" t="str">
        <f t="shared" si="222"/>
        <v/>
      </c>
      <c r="AJ345" s="176" t="str">
        <f t="shared" si="223"/>
        <v/>
      </c>
      <c r="AK345" s="113" t="str">
        <f t="shared" si="224"/>
        <v/>
      </c>
      <c r="AL345" s="113" t="str">
        <f t="shared" si="197"/>
        <v/>
      </c>
      <c r="AM345" s="114" t="str">
        <f t="shared" si="225"/>
        <v/>
      </c>
      <c r="AN345" s="114" t="str">
        <f t="shared" si="226"/>
        <v/>
      </c>
      <c r="AO345" s="114" t="str">
        <f t="shared" si="227"/>
        <v/>
      </c>
    </row>
    <row r="346" spans="1:41" x14ac:dyDescent="0.3">
      <c r="A346" s="146">
        <f t="shared" si="198"/>
        <v>324</v>
      </c>
      <c r="B346" s="147" t="str">
        <f t="shared" si="191"/>
        <v/>
      </c>
      <c r="C346" s="147" t="str">
        <f t="shared" si="190"/>
        <v/>
      </c>
      <c r="D346" s="149" t="str">
        <f t="shared" si="199"/>
        <v/>
      </c>
      <c r="E346" s="149" t="str">
        <f t="shared" si="200"/>
        <v/>
      </c>
      <c r="F346" s="149" t="str">
        <f t="shared" si="192"/>
        <v/>
      </c>
      <c r="G346" s="149" t="str">
        <f t="shared" si="193"/>
        <v/>
      </c>
      <c r="H346" s="149" t="str">
        <f t="shared" si="201"/>
        <v/>
      </c>
      <c r="I346" s="149" t="str">
        <f t="shared" si="202"/>
        <v/>
      </c>
      <c r="J346" s="147" t="str">
        <f t="shared" si="203"/>
        <v/>
      </c>
      <c r="K346" s="175" t="str">
        <f t="shared" si="194"/>
        <v/>
      </c>
      <c r="L346" s="149" t="str">
        <f t="shared" si="204"/>
        <v/>
      </c>
      <c r="M346" s="149" t="str">
        <f t="shared" si="205"/>
        <v/>
      </c>
      <c r="N346" s="149" t="str">
        <f t="shared" si="206"/>
        <v/>
      </c>
      <c r="P346" s="149" t="str">
        <f t="shared" si="207"/>
        <v/>
      </c>
      <c r="Q346" s="149" t="str">
        <f t="shared" si="208"/>
        <v/>
      </c>
      <c r="R346" s="176" t="str">
        <f t="shared" si="209"/>
        <v/>
      </c>
      <c r="S346" s="113" t="str">
        <f t="shared" si="210"/>
        <v/>
      </c>
      <c r="T346" s="113" t="str">
        <f t="shared" si="195"/>
        <v/>
      </c>
      <c r="U346" s="114" t="str">
        <f t="shared" si="211"/>
        <v/>
      </c>
      <c r="V346" s="114" t="str">
        <f t="shared" si="212"/>
        <v/>
      </c>
      <c r="W346" s="114" t="str">
        <f t="shared" si="213"/>
        <v/>
      </c>
      <c r="X346" s="114"/>
      <c r="Y346" s="149" t="str">
        <f t="shared" si="214"/>
        <v/>
      </c>
      <c r="Z346" s="149" t="str">
        <f t="shared" si="215"/>
        <v/>
      </c>
      <c r="AA346" s="176" t="str">
        <f t="shared" si="216"/>
        <v/>
      </c>
      <c r="AB346" s="113" t="str">
        <f t="shared" si="217"/>
        <v/>
      </c>
      <c r="AC346" s="113" t="str">
        <f t="shared" si="196"/>
        <v/>
      </c>
      <c r="AD346" s="114" t="str">
        <f t="shared" si="218"/>
        <v/>
      </c>
      <c r="AE346" s="114" t="str">
        <f t="shared" si="219"/>
        <v/>
      </c>
      <c r="AF346" s="114" t="str">
        <f t="shared" si="220"/>
        <v/>
      </c>
      <c r="AG346" s="114"/>
      <c r="AH346" s="176" t="str">
        <f t="shared" si="221"/>
        <v/>
      </c>
      <c r="AI346" s="176" t="str">
        <f t="shared" si="222"/>
        <v/>
      </c>
      <c r="AJ346" s="176" t="str">
        <f t="shared" si="223"/>
        <v/>
      </c>
      <c r="AK346" s="113" t="str">
        <f t="shared" si="224"/>
        <v/>
      </c>
      <c r="AL346" s="113" t="str">
        <f t="shared" si="197"/>
        <v/>
      </c>
      <c r="AM346" s="114" t="str">
        <f t="shared" si="225"/>
        <v/>
      </c>
      <c r="AN346" s="114" t="str">
        <f t="shared" si="226"/>
        <v/>
      </c>
      <c r="AO346" s="114" t="str">
        <f t="shared" si="227"/>
        <v/>
      </c>
    </row>
    <row r="347" spans="1:41" x14ac:dyDescent="0.3">
      <c r="A347" s="146">
        <f t="shared" si="198"/>
        <v>325</v>
      </c>
      <c r="B347" s="147" t="str">
        <f t="shared" si="191"/>
        <v/>
      </c>
      <c r="C347" s="147" t="str">
        <f t="shared" si="190"/>
        <v/>
      </c>
      <c r="D347" s="149" t="str">
        <f t="shared" si="199"/>
        <v/>
      </c>
      <c r="E347" s="149" t="str">
        <f t="shared" si="200"/>
        <v/>
      </c>
      <c r="F347" s="149" t="str">
        <f t="shared" si="192"/>
        <v/>
      </c>
      <c r="G347" s="149" t="str">
        <f t="shared" si="193"/>
        <v/>
      </c>
      <c r="H347" s="149" t="str">
        <f t="shared" si="201"/>
        <v/>
      </c>
      <c r="I347" s="149" t="str">
        <f t="shared" si="202"/>
        <v/>
      </c>
      <c r="J347" s="147" t="str">
        <f t="shared" si="203"/>
        <v/>
      </c>
      <c r="K347" s="175" t="str">
        <f t="shared" si="194"/>
        <v/>
      </c>
      <c r="L347" s="149" t="str">
        <f t="shared" si="204"/>
        <v/>
      </c>
      <c r="M347" s="149" t="str">
        <f t="shared" si="205"/>
        <v/>
      </c>
      <c r="N347" s="149" t="str">
        <f t="shared" si="206"/>
        <v/>
      </c>
      <c r="P347" s="149" t="str">
        <f t="shared" si="207"/>
        <v/>
      </c>
      <c r="Q347" s="149" t="str">
        <f t="shared" si="208"/>
        <v/>
      </c>
      <c r="R347" s="176" t="str">
        <f t="shared" si="209"/>
        <v/>
      </c>
      <c r="S347" s="113" t="str">
        <f t="shared" si="210"/>
        <v/>
      </c>
      <c r="T347" s="113" t="str">
        <f t="shared" si="195"/>
        <v/>
      </c>
      <c r="U347" s="114" t="str">
        <f t="shared" si="211"/>
        <v/>
      </c>
      <c r="V347" s="114" t="str">
        <f t="shared" si="212"/>
        <v/>
      </c>
      <c r="W347" s="114" t="str">
        <f t="shared" si="213"/>
        <v/>
      </c>
      <c r="X347" s="114"/>
      <c r="Y347" s="149" t="str">
        <f t="shared" si="214"/>
        <v/>
      </c>
      <c r="Z347" s="149" t="str">
        <f t="shared" si="215"/>
        <v/>
      </c>
      <c r="AA347" s="176" t="str">
        <f t="shared" si="216"/>
        <v/>
      </c>
      <c r="AB347" s="113" t="str">
        <f t="shared" si="217"/>
        <v/>
      </c>
      <c r="AC347" s="113" t="str">
        <f t="shared" si="196"/>
        <v/>
      </c>
      <c r="AD347" s="114" t="str">
        <f t="shared" si="218"/>
        <v/>
      </c>
      <c r="AE347" s="114" t="str">
        <f t="shared" si="219"/>
        <v/>
      </c>
      <c r="AF347" s="114" t="str">
        <f t="shared" si="220"/>
        <v/>
      </c>
      <c r="AG347" s="114"/>
      <c r="AH347" s="176" t="str">
        <f t="shared" si="221"/>
        <v/>
      </c>
      <c r="AI347" s="176" t="str">
        <f t="shared" si="222"/>
        <v/>
      </c>
      <c r="AJ347" s="176" t="str">
        <f t="shared" si="223"/>
        <v/>
      </c>
      <c r="AK347" s="113" t="str">
        <f t="shared" si="224"/>
        <v/>
      </c>
      <c r="AL347" s="113" t="str">
        <f t="shared" si="197"/>
        <v/>
      </c>
      <c r="AM347" s="114" t="str">
        <f t="shared" si="225"/>
        <v/>
      </c>
      <c r="AN347" s="114" t="str">
        <f t="shared" si="226"/>
        <v/>
      </c>
      <c r="AO347" s="114" t="str">
        <f t="shared" si="227"/>
        <v/>
      </c>
    </row>
    <row r="348" spans="1:41" x14ac:dyDescent="0.3">
      <c r="A348" s="146">
        <f t="shared" si="198"/>
        <v>326</v>
      </c>
      <c r="B348" s="147" t="str">
        <f t="shared" si="191"/>
        <v/>
      </c>
      <c r="C348" s="147" t="str">
        <f t="shared" si="190"/>
        <v/>
      </c>
      <c r="D348" s="149" t="str">
        <f t="shared" si="199"/>
        <v/>
      </c>
      <c r="E348" s="149" t="str">
        <f t="shared" si="200"/>
        <v/>
      </c>
      <c r="F348" s="149" t="str">
        <f t="shared" si="192"/>
        <v/>
      </c>
      <c r="G348" s="149" t="str">
        <f t="shared" si="193"/>
        <v/>
      </c>
      <c r="H348" s="149" t="str">
        <f t="shared" si="201"/>
        <v/>
      </c>
      <c r="I348" s="149" t="str">
        <f t="shared" si="202"/>
        <v/>
      </c>
      <c r="J348" s="147" t="str">
        <f t="shared" si="203"/>
        <v/>
      </c>
      <c r="K348" s="175" t="str">
        <f t="shared" si="194"/>
        <v/>
      </c>
      <c r="L348" s="149" t="str">
        <f t="shared" si="204"/>
        <v/>
      </c>
      <c r="M348" s="149" t="str">
        <f t="shared" si="205"/>
        <v/>
      </c>
      <c r="N348" s="149" t="str">
        <f t="shared" si="206"/>
        <v/>
      </c>
      <c r="P348" s="149" t="str">
        <f t="shared" si="207"/>
        <v/>
      </c>
      <c r="Q348" s="149" t="str">
        <f t="shared" si="208"/>
        <v/>
      </c>
      <c r="R348" s="176" t="str">
        <f t="shared" si="209"/>
        <v/>
      </c>
      <c r="S348" s="113" t="str">
        <f t="shared" si="210"/>
        <v/>
      </c>
      <c r="T348" s="113" t="str">
        <f t="shared" si="195"/>
        <v/>
      </c>
      <c r="U348" s="114" t="str">
        <f t="shared" si="211"/>
        <v/>
      </c>
      <c r="V348" s="114" t="str">
        <f t="shared" si="212"/>
        <v/>
      </c>
      <c r="W348" s="114" t="str">
        <f t="shared" si="213"/>
        <v/>
      </c>
      <c r="X348" s="114"/>
      <c r="Y348" s="149" t="str">
        <f t="shared" si="214"/>
        <v/>
      </c>
      <c r="Z348" s="149" t="str">
        <f t="shared" si="215"/>
        <v/>
      </c>
      <c r="AA348" s="176" t="str">
        <f t="shared" si="216"/>
        <v/>
      </c>
      <c r="AB348" s="113" t="str">
        <f t="shared" si="217"/>
        <v/>
      </c>
      <c r="AC348" s="113" t="str">
        <f t="shared" si="196"/>
        <v/>
      </c>
      <c r="AD348" s="114" t="str">
        <f t="shared" si="218"/>
        <v/>
      </c>
      <c r="AE348" s="114" t="str">
        <f t="shared" si="219"/>
        <v/>
      </c>
      <c r="AF348" s="114" t="str">
        <f t="shared" si="220"/>
        <v/>
      </c>
      <c r="AG348" s="114"/>
      <c r="AH348" s="176" t="str">
        <f t="shared" si="221"/>
        <v/>
      </c>
      <c r="AI348" s="176" t="str">
        <f t="shared" si="222"/>
        <v/>
      </c>
      <c r="AJ348" s="176" t="str">
        <f t="shared" si="223"/>
        <v/>
      </c>
      <c r="AK348" s="113" t="str">
        <f t="shared" si="224"/>
        <v/>
      </c>
      <c r="AL348" s="113" t="str">
        <f t="shared" si="197"/>
        <v/>
      </c>
      <c r="AM348" s="114" t="str">
        <f t="shared" si="225"/>
        <v/>
      </c>
      <c r="AN348" s="114" t="str">
        <f t="shared" si="226"/>
        <v/>
      </c>
      <c r="AO348" s="114" t="str">
        <f t="shared" si="227"/>
        <v/>
      </c>
    </row>
    <row r="349" spans="1:41" x14ac:dyDescent="0.3">
      <c r="A349" s="146">
        <f t="shared" si="198"/>
        <v>327</v>
      </c>
      <c r="B349" s="147" t="str">
        <f t="shared" si="191"/>
        <v/>
      </c>
      <c r="C349" s="147" t="str">
        <f t="shared" si="190"/>
        <v/>
      </c>
      <c r="D349" s="149" t="str">
        <f t="shared" si="199"/>
        <v/>
      </c>
      <c r="E349" s="149" t="str">
        <f t="shared" si="200"/>
        <v/>
      </c>
      <c r="F349" s="149" t="str">
        <f t="shared" si="192"/>
        <v/>
      </c>
      <c r="G349" s="149" t="str">
        <f t="shared" si="193"/>
        <v/>
      </c>
      <c r="H349" s="149" t="str">
        <f t="shared" si="201"/>
        <v/>
      </c>
      <c r="I349" s="149" t="str">
        <f t="shared" si="202"/>
        <v/>
      </c>
      <c r="J349" s="147" t="str">
        <f t="shared" si="203"/>
        <v/>
      </c>
      <c r="K349" s="175" t="str">
        <f t="shared" si="194"/>
        <v/>
      </c>
      <c r="L349" s="149" t="str">
        <f t="shared" si="204"/>
        <v/>
      </c>
      <c r="M349" s="149" t="str">
        <f t="shared" si="205"/>
        <v/>
      </c>
      <c r="N349" s="149" t="str">
        <f t="shared" si="206"/>
        <v/>
      </c>
      <c r="P349" s="149" t="str">
        <f t="shared" si="207"/>
        <v/>
      </c>
      <c r="Q349" s="149" t="str">
        <f t="shared" si="208"/>
        <v/>
      </c>
      <c r="R349" s="176" t="str">
        <f t="shared" si="209"/>
        <v/>
      </c>
      <c r="S349" s="113" t="str">
        <f t="shared" si="210"/>
        <v/>
      </c>
      <c r="T349" s="113" t="str">
        <f t="shared" si="195"/>
        <v/>
      </c>
      <c r="U349" s="114" t="str">
        <f t="shared" si="211"/>
        <v/>
      </c>
      <c r="V349" s="114" t="str">
        <f t="shared" si="212"/>
        <v/>
      </c>
      <c r="W349" s="114" t="str">
        <f t="shared" si="213"/>
        <v/>
      </c>
      <c r="X349" s="114"/>
      <c r="Y349" s="149" t="str">
        <f t="shared" si="214"/>
        <v/>
      </c>
      <c r="Z349" s="149" t="str">
        <f t="shared" si="215"/>
        <v/>
      </c>
      <c r="AA349" s="176" t="str">
        <f t="shared" si="216"/>
        <v/>
      </c>
      <c r="AB349" s="113" t="str">
        <f t="shared" si="217"/>
        <v/>
      </c>
      <c r="AC349" s="113" t="str">
        <f t="shared" si="196"/>
        <v/>
      </c>
      <c r="AD349" s="114" t="str">
        <f t="shared" si="218"/>
        <v/>
      </c>
      <c r="AE349" s="114" t="str">
        <f t="shared" si="219"/>
        <v/>
      </c>
      <c r="AF349" s="114" t="str">
        <f t="shared" si="220"/>
        <v/>
      </c>
      <c r="AG349" s="114"/>
      <c r="AH349" s="176" t="str">
        <f t="shared" si="221"/>
        <v/>
      </c>
      <c r="AI349" s="176" t="str">
        <f t="shared" si="222"/>
        <v/>
      </c>
      <c r="AJ349" s="176" t="str">
        <f t="shared" si="223"/>
        <v/>
      </c>
      <c r="AK349" s="113" t="str">
        <f t="shared" si="224"/>
        <v/>
      </c>
      <c r="AL349" s="113" t="str">
        <f t="shared" si="197"/>
        <v/>
      </c>
      <c r="AM349" s="114" t="str">
        <f t="shared" si="225"/>
        <v/>
      </c>
      <c r="AN349" s="114" t="str">
        <f t="shared" si="226"/>
        <v/>
      </c>
      <c r="AO349" s="114" t="str">
        <f t="shared" si="227"/>
        <v/>
      </c>
    </row>
    <row r="350" spans="1:41" x14ac:dyDescent="0.3">
      <c r="A350" s="146">
        <f t="shared" si="198"/>
        <v>328</v>
      </c>
      <c r="B350" s="147" t="str">
        <f t="shared" si="191"/>
        <v/>
      </c>
      <c r="C350" s="147" t="str">
        <f t="shared" si="190"/>
        <v/>
      </c>
      <c r="D350" s="149" t="str">
        <f t="shared" si="199"/>
        <v/>
      </c>
      <c r="E350" s="149" t="str">
        <f t="shared" si="200"/>
        <v/>
      </c>
      <c r="F350" s="149" t="str">
        <f t="shared" si="192"/>
        <v/>
      </c>
      <c r="G350" s="149" t="str">
        <f t="shared" si="193"/>
        <v/>
      </c>
      <c r="H350" s="149" t="str">
        <f t="shared" si="201"/>
        <v/>
      </c>
      <c r="I350" s="149" t="str">
        <f t="shared" si="202"/>
        <v/>
      </c>
      <c r="J350" s="147" t="str">
        <f t="shared" si="203"/>
        <v/>
      </c>
      <c r="K350" s="175" t="str">
        <f t="shared" si="194"/>
        <v/>
      </c>
      <c r="L350" s="149" t="str">
        <f t="shared" si="204"/>
        <v/>
      </c>
      <c r="M350" s="149" t="str">
        <f t="shared" si="205"/>
        <v/>
      </c>
      <c r="N350" s="149" t="str">
        <f t="shared" si="206"/>
        <v/>
      </c>
      <c r="P350" s="149" t="str">
        <f t="shared" si="207"/>
        <v/>
      </c>
      <c r="Q350" s="149" t="str">
        <f t="shared" si="208"/>
        <v/>
      </c>
      <c r="R350" s="176" t="str">
        <f t="shared" si="209"/>
        <v/>
      </c>
      <c r="S350" s="113" t="str">
        <f t="shared" si="210"/>
        <v/>
      </c>
      <c r="T350" s="113" t="str">
        <f t="shared" si="195"/>
        <v/>
      </c>
      <c r="U350" s="114" t="str">
        <f t="shared" si="211"/>
        <v/>
      </c>
      <c r="V350" s="114" t="str">
        <f t="shared" si="212"/>
        <v/>
      </c>
      <c r="W350" s="114" t="str">
        <f t="shared" si="213"/>
        <v/>
      </c>
      <c r="X350" s="114"/>
      <c r="Y350" s="149" t="str">
        <f t="shared" si="214"/>
        <v/>
      </c>
      <c r="Z350" s="149" t="str">
        <f t="shared" si="215"/>
        <v/>
      </c>
      <c r="AA350" s="176" t="str">
        <f t="shared" si="216"/>
        <v/>
      </c>
      <c r="AB350" s="113" t="str">
        <f t="shared" si="217"/>
        <v/>
      </c>
      <c r="AC350" s="113" t="str">
        <f t="shared" si="196"/>
        <v/>
      </c>
      <c r="AD350" s="114" t="str">
        <f t="shared" si="218"/>
        <v/>
      </c>
      <c r="AE350" s="114" t="str">
        <f t="shared" si="219"/>
        <v/>
      </c>
      <c r="AF350" s="114" t="str">
        <f t="shared" si="220"/>
        <v/>
      </c>
      <c r="AG350" s="114"/>
      <c r="AH350" s="176" t="str">
        <f t="shared" si="221"/>
        <v/>
      </c>
      <c r="AI350" s="176" t="str">
        <f t="shared" si="222"/>
        <v/>
      </c>
      <c r="AJ350" s="176" t="str">
        <f t="shared" si="223"/>
        <v/>
      </c>
      <c r="AK350" s="113" t="str">
        <f t="shared" si="224"/>
        <v/>
      </c>
      <c r="AL350" s="113" t="str">
        <f t="shared" si="197"/>
        <v/>
      </c>
      <c r="AM350" s="114" t="str">
        <f t="shared" si="225"/>
        <v/>
      </c>
      <c r="AN350" s="114" t="str">
        <f t="shared" si="226"/>
        <v/>
      </c>
      <c r="AO350" s="114" t="str">
        <f t="shared" si="227"/>
        <v/>
      </c>
    </row>
    <row r="351" spans="1:41" x14ac:dyDescent="0.3">
      <c r="A351" s="146">
        <f t="shared" si="198"/>
        <v>329</v>
      </c>
      <c r="B351" s="147" t="str">
        <f t="shared" si="191"/>
        <v/>
      </c>
      <c r="C351" s="147" t="str">
        <f t="shared" si="190"/>
        <v/>
      </c>
      <c r="D351" s="149" t="str">
        <f t="shared" si="199"/>
        <v/>
      </c>
      <c r="E351" s="149" t="str">
        <f t="shared" si="200"/>
        <v/>
      </c>
      <c r="F351" s="149" t="str">
        <f t="shared" si="192"/>
        <v/>
      </c>
      <c r="G351" s="149" t="str">
        <f t="shared" si="193"/>
        <v/>
      </c>
      <c r="H351" s="149" t="str">
        <f t="shared" si="201"/>
        <v/>
      </c>
      <c r="I351" s="149" t="str">
        <f t="shared" si="202"/>
        <v/>
      </c>
      <c r="J351" s="147" t="str">
        <f t="shared" si="203"/>
        <v/>
      </c>
      <c r="K351" s="175" t="str">
        <f t="shared" si="194"/>
        <v/>
      </c>
      <c r="L351" s="149" t="str">
        <f t="shared" si="204"/>
        <v/>
      </c>
      <c r="M351" s="149" t="str">
        <f t="shared" si="205"/>
        <v/>
      </c>
      <c r="N351" s="149" t="str">
        <f t="shared" si="206"/>
        <v/>
      </c>
      <c r="P351" s="149" t="str">
        <f t="shared" si="207"/>
        <v/>
      </c>
      <c r="Q351" s="149" t="str">
        <f t="shared" si="208"/>
        <v/>
      </c>
      <c r="R351" s="176" t="str">
        <f t="shared" si="209"/>
        <v/>
      </c>
      <c r="S351" s="113" t="str">
        <f t="shared" si="210"/>
        <v/>
      </c>
      <c r="T351" s="113" t="str">
        <f t="shared" si="195"/>
        <v/>
      </c>
      <c r="U351" s="114" t="str">
        <f t="shared" si="211"/>
        <v/>
      </c>
      <c r="V351" s="114" t="str">
        <f t="shared" si="212"/>
        <v/>
      </c>
      <c r="W351" s="114" t="str">
        <f t="shared" si="213"/>
        <v/>
      </c>
      <c r="X351" s="114"/>
      <c r="Y351" s="149" t="str">
        <f t="shared" si="214"/>
        <v/>
      </c>
      <c r="Z351" s="149" t="str">
        <f t="shared" si="215"/>
        <v/>
      </c>
      <c r="AA351" s="176" t="str">
        <f t="shared" si="216"/>
        <v/>
      </c>
      <c r="AB351" s="113" t="str">
        <f t="shared" si="217"/>
        <v/>
      </c>
      <c r="AC351" s="113" t="str">
        <f t="shared" si="196"/>
        <v/>
      </c>
      <c r="AD351" s="114" t="str">
        <f t="shared" si="218"/>
        <v/>
      </c>
      <c r="AE351" s="114" t="str">
        <f t="shared" si="219"/>
        <v/>
      </c>
      <c r="AF351" s="114" t="str">
        <f t="shared" si="220"/>
        <v/>
      </c>
      <c r="AG351" s="114"/>
      <c r="AH351" s="176" t="str">
        <f t="shared" si="221"/>
        <v/>
      </c>
      <c r="AI351" s="176" t="str">
        <f t="shared" si="222"/>
        <v/>
      </c>
      <c r="AJ351" s="176" t="str">
        <f t="shared" si="223"/>
        <v/>
      </c>
      <c r="AK351" s="113" t="str">
        <f t="shared" si="224"/>
        <v/>
      </c>
      <c r="AL351" s="113" t="str">
        <f t="shared" si="197"/>
        <v/>
      </c>
      <c r="AM351" s="114" t="str">
        <f t="shared" si="225"/>
        <v/>
      </c>
      <c r="AN351" s="114" t="str">
        <f t="shared" si="226"/>
        <v/>
      </c>
      <c r="AO351" s="114" t="str">
        <f t="shared" si="227"/>
        <v/>
      </c>
    </row>
    <row r="352" spans="1:41" x14ac:dyDescent="0.3">
      <c r="A352" s="146">
        <f t="shared" si="198"/>
        <v>330</v>
      </c>
      <c r="B352" s="147" t="str">
        <f t="shared" si="191"/>
        <v/>
      </c>
      <c r="C352" s="147" t="str">
        <f t="shared" si="190"/>
        <v/>
      </c>
      <c r="D352" s="149" t="str">
        <f t="shared" si="199"/>
        <v/>
      </c>
      <c r="E352" s="149" t="str">
        <f t="shared" si="200"/>
        <v/>
      </c>
      <c r="F352" s="149" t="str">
        <f t="shared" si="192"/>
        <v/>
      </c>
      <c r="G352" s="149" t="str">
        <f t="shared" si="193"/>
        <v/>
      </c>
      <c r="H352" s="149" t="str">
        <f t="shared" si="201"/>
        <v/>
      </c>
      <c r="I352" s="149" t="str">
        <f t="shared" si="202"/>
        <v/>
      </c>
      <c r="J352" s="147" t="str">
        <f t="shared" si="203"/>
        <v/>
      </c>
      <c r="K352" s="175" t="str">
        <f t="shared" si="194"/>
        <v/>
      </c>
      <c r="L352" s="149" t="str">
        <f t="shared" si="204"/>
        <v/>
      </c>
      <c r="M352" s="149" t="str">
        <f t="shared" si="205"/>
        <v/>
      </c>
      <c r="N352" s="149" t="str">
        <f t="shared" si="206"/>
        <v/>
      </c>
      <c r="P352" s="149" t="str">
        <f t="shared" si="207"/>
        <v/>
      </c>
      <c r="Q352" s="149" t="str">
        <f t="shared" si="208"/>
        <v/>
      </c>
      <c r="R352" s="176" t="str">
        <f t="shared" si="209"/>
        <v/>
      </c>
      <c r="S352" s="113" t="str">
        <f t="shared" si="210"/>
        <v/>
      </c>
      <c r="T352" s="113" t="str">
        <f t="shared" si="195"/>
        <v/>
      </c>
      <c r="U352" s="114" t="str">
        <f t="shared" si="211"/>
        <v/>
      </c>
      <c r="V352" s="114" t="str">
        <f t="shared" si="212"/>
        <v/>
      </c>
      <c r="W352" s="114" t="str">
        <f t="shared" si="213"/>
        <v/>
      </c>
      <c r="X352" s="114"/>
      <c r="Y352" s="149" t="str">
        <f t="shared" si="214"/>
        <v/>
      </c>
      <c r="Z352" s="149" t="str">
        <f t="shared" si="215"/>
        <v/>
      </c>
      <c r="AA352" s="176" t="str">
        <f t="shared" si="216"/>
        <v/>
      </c>
      <c r="AB352" s="113" t="str">
        <f t="shared" si="217"/>
        <v/>
      </c>
      <c r="AC352" s="113" t="str">
        <f t="shared" si="196"/>
        <v/>
      </c>
      <c r="AD352" s="114" t="str">
        <f t="shared" si="218"/>
        <v/>
      </c>
      <c r="AE352" s="114" t="str">
        <f t="shared" si="219"/>
        <v/>
      </c>
      <c r="AF352" s="114" t="str">
        <f t="shared" si="220"/>
        <v/>
      </c>
      <c r="AG352" s="114"/>
      <c r="AH352" s="176" t="str">
        <f t="shared" si="221"/>
        <v/>
      </c>
      <c r="AI352" s="176" t="str">
        <f t="shared" si="222"/>
        <v/>
      </c>
      <c r="AJ352" s="176" t="str">
        <f t="shared" si="223"/>
        <v/>
      </c>
      <c r="AK352" s="113" t="str">
        <f t="shared" si="224"/>
        <v/>
      </c>
      <c r="AL352" s="113" t="str">
        <f t="shared" si="197"/>
        <v/>
      </c>
      <c r="AM352" s="114" t="str">
        <f t="shared" si="225"/>
        <v/>
      </c>
      <c r="AN352" s="114" t="str">
        <f t="shared" si="226"/>
        <v/>
      </c>
      <c r="AO352" s="114" t="str">
        <f t="shared" si="227"/>
        <v/>
      </c>
    </row>
    <row r="353" spans="1:41" x14ac:dyDescent="0.3">
      <c r="A353" s="146">
        <f t="shared" si="198"/>
        <v>331</v>
      </c>
      <c r="B353" s="147" t="str">
        <f t="shared" si="191"/>
        <v/>
      </c>
      <c r="C353" s="147" t="str">
        <f t="shared" si="190"/>
        <v/>
      </c>
      <c r="D353" s="149" t="str">
        <f t="shared" si="199"/>
        <v/>
      </c>
      <c r="E353" s="149" t="str">
        <f t="shared" si="200"/>
        <v/>
      </c>
      <c r="F353" s="149" t="str">
        <f t="shared" si="192"/>
        <v/>
      </c>
      <c r="G353" s="149" t="str">
        <f t="shared" si="193"/>
        <v/>
      </c>
      <c r="H353" s="149" t="str">
        <f t="shared" si="201"/>
        <v/>
      </c>
      <c r="I353" s="149" t="str">
        <f t="shared" si="202"/>
        <v/>
      </c>
      <c r="J353" s="147" t="str">
        <f t="shared" si="203"/>
        <v/>
      </c>
      <c r="K353" s="175" t="str">
        <f t="shared" si="194"/>
        <v/>
      </c>
      <c r="L353" s="149" t="str">
        <f t="shared" si="204"/>
        <v/>
      </c>
      <c r="M353" s="149" t="str">
        <f t="shared" si="205"/>
        <v/>
      </c>
      <c r="N353" s="149" t="str">
        <f t="shared" si="206"/>
        <v/>
      </c>
      <c r="P353" s="149" t="str">
        <f t="shared" si="207"/>
        <v/>
      </c>
      <c r="Q353" s="149" t="str">
        <f t="shared" si="208"/>
        <v/>
      </c>
      <c r="R353" s="176" t="str">
        <f t="shared" si="209"/>
        <v/>
      </c>
      <c r="S353" s="113" t="str">
        <f t="shared" si="210"/>
        <v/>
      </c>
      <c r="T353" s="113" t="str">
        <f t="shared" si="195"/>
        <v/>
      </c>
      <c r="U353" s="114" t="str">
        <f t="shared" si="211"/>
        <v/>
      </c>
      <c r="V353" s="114" t="str">
        <f t="shared" si="212"/>
        <v/>
      </c>
      <c r="W353" s="114" t="str">
        <f t="shared" si="213"/>
        <v/>
      </c>
      <c r="X353" s="114"/>
      <c r="Y353" s="149" t="str">
        <f t="shared" si="214"/>
        <v/>
      </c>
      <c r="Z353" s="149" t="str">
        <f t="shared" si="215"/>
        <v/>
      </c>
      <c r="AA353" s="176" t="str">
        <f t="shared" si="216"/>
        <v/>
      </c>
      <c r="AB353" s="113" t="str">
        <f t="shared" si="217"/>
        <v/>
      </c>
      <c r="AC353" s="113" t="str">
        <f t="shared" si="196"/>
        <v/>
      </c>
      <c r="AD353" s="114" t="str">
        <f t="shared" si="218"/>
        <v/>
      </c>
      <c r="AE353" s="114" t="str">
        <f t="shared" si="219"/>
        <v/>
      </c>
      <c r="AF353" s="114" t="str">
        <f t="shared" si="220"/>
        <v/>
      </c>
      <c r="AG353" s="114"/>
      <c r="AH353" s="176" t="str">
        <f t="shared" si="221"/>
        <v/>
      </c>
      <c r="AI353" s="176" t="str">
        <f t="shared" si="222"/>
        <v/>
      </c>
      <c r="AJ353" s="176" t="str">
        <f t="shared" si="223"/>
        <v/>
      </c>
      <c r="AK353" s="113" t="str">
        <f t="shared" si="224"/>
        <v/>
      </c>
      <c r="AL353" s="113" t="str">
        <f t="shared" si="197"/>
        <v/>
      </c>
      <c r="AM353" s="114" t="str">
        <f t="shared" si="225"/>
        <v/>
      </c>
      <c r="AN353" s="114" t="str">
        <f t="shared" si="226"/>
        <v/>
      </c>
      <c r="AO353" s="114" t="str">
        <f t="shared" si="227"/>
        <v/>
      </c>
    </row>
    <row r="354" spans="1:41" x14ac:dyDescent="0.3">
      <c r="A354" s="146">
        <f t="shared" si="198"/>
        <v>332</v>
      </c>
      <c r="B354" s="147" t="str">
        <f t="shared" si="191"/>
        <v/>
      </c>
      <c r="C354" s="147" t="str">
        <f t="shared" si="190"/>
        <v/>
      </c>
      <c r="D354" s="149" t="str">
        <f t="shared" si="199"/>
        <v/>
      </c>
      <c r="E354" s="149" t="str">
        <f t="shared" si="200"/>
        <v/>
      </c>
      <c r="F354" s="149" t="str">
        <f t="shared" si="192"/>
        <v/>
      </c>
      <c r="G354" s="149" t="str">
        <f t="shared" si="193"/>
        <v/>
      </c>
      <c r="H354" s="149" t="str">
        <f t="shared" si="201"/>
        <v/>
      </c>
      <c r="I354" s="149" t="str">
        <f t="shared" si="202"/>
        <v/>
      </c>
      <c r="J354" s="147" t="str">
        <f t="shared" si="203"/>
        <v/>
      </c>
      <c r="K354" s="175" t="str">
        <f t="shared" si="194"/>
        <v/>
      </c>
      <c r="L354" s="149" t="str">
        <f t="shared" si="204"/>
        <v/>
      </c>
      <c r="M354" s="149" t="str">
        <f t="shared" si="205"/>
        <v/>
      </c>
      <c r="N354" s="149" t="str">
        <f t="shared" si="206"/>
        <v/>
      </c>
      <c r="P354" s="149" t="str">
        <f t="shared" si="207"/>
        <v/>
      </c>
      <c r="Q354" s="149" t="str">
        <f t="shared" si="208"/>
        <v/>
      </c>
      <c r="R354" s="176" t="str">
        <f t="shared" si="209"/>
        <v/>
      </c>
      <c r="S354" s="113" t="str">
        <f t="shared" si="210"/>
        <v/>
      </c>
      <c r="T354" s="113" t="str">
        <f t="shared" si="195"/>
        <v/>
      </c>
      <c r="U354" s="114" t="str">
        <f t="shared" si="211"/>
        <v/>
      </c>
      <c r="V354" s="114" t="str">
        <f t="shared" si="212"/>
        <v/>
      </c>
      <c r="W354" s="114" t="str">
        <f t="shared" si="213"/>
        <v/>
      </c>
      <c r="X354" s="114"/>
      <c r="Y354" s="149" t="str">
        <f t="shared" si="214"/>
        <v/>
      </c>
      <c r="Z354" s="149" t="str">
        <f t="shared" si="215"/>
        <v/>
      </c>
      <c r="AA354" s="176" t="str">
        <f t="shared" si="216"/>
        <v/>
      </c>
      <c r="AB354" s="113" t="str">
        <f t="shared" si="217"/>
        <v/>
      </c>
      <c r="AC354" s="113" t="str">
        <f t="shared" si="196"/>
        <v/>
      </c>
      <c r="AD354" s="114" t="str">
        <f t="shared" si="218"/>
        <v/>
      </c>
      <c r="AE354" s="114" t="str">
        <f t="shared" si="219"/>
        <v/>
      </c>
      <c r="AF354" s="114" t="str">
        <f t="shared" si="220"/>
        <v/>
      </c>
      <c r="AG354" s="114"/>
      <c r="AH354" s="176" t="str">
        <f t="shared" si="221"/>
        <v/>
      </c>
      <c r="AI354" s="176" t="str">
        <f t="shared" si="222"/>
        <v/>
      </c>
      <c r="AJ354" s="176" t="str">
        <f t="shared" si="223"/>
        <v/>
      </c>
      <c r="AK354" s="113" t="str">
        <f t="shared" si="224"/>
        <v/>
      </c>
      <c r="AL354" s="113" t="str">
        <f t="shared" si="197"/>
        <v/>
      </c>
      <c r="AM354" s="114" t="str">
        <f t="shared" si="225"/>
        <v/>
      </c>
      <c r="AN354" s="114" t="str">
        <f t="shared" si="226"/>
        <v/>
      </c>
      <c r="AO354" s="114" t="str">
        <f t="shared" si="227"/>
        <v/>
      </c>
    </row>
    <row r="355" spans="1:41" x14ac:dyDescent="0.3">
      <c r="A355" s="146">
        <f t="shared" si="198"/>
        <v>333</v>
      </c>
      <c r="B355" s="147" t="str">
        <f t="shared" si="191"/>
        <v/>
      </c>
      <c r="C355" s="147" t="str">
        <f t="shared" si="190"/>
        <v/>
      </c>
      <c r="D355" s="149" t="str">
        <f t="shared" si="199"/>
        <v/>
      </c>
      <c r="E355" s="149" t="str">
        <f t="shared" si="200"/>
        <v/>
      </c>
      <c r="F355" s="149" t="str">
        <f t="shared" si="192"/>
        <v/>
      </c>
      <c r="G355" s="149" t="str">
        <f t="shared" si="193"/>
        <v/>
      </c>
      <c r="H355" s="149" t="str">
        <f t="shared" si="201"/>
        <v/>
      </c>
      <c r="I355" s="149" t="str">
        <f t="shared" si="202"/>
        <v/>
      </c>
      <c r="J355" s="147" t="str">
        <f t="shared" si="203"/>
        <v/>
      </c>
      <c r="K355" s="175" t="str">
        <f t="shared" si="194"/>
        <v/>
      </c>
      <c r="L355" s="149" t="str">
        <f t="shared" si="204"/>
        <v/>
      </c>
      <c r="M355" s="149" t="str">
        <f t="shared" si="205"/>
        <v/>
      </c>
      <c r="N355" s="149" t="str">
        <f t="shared" si="206"/>
        <v/>
      </c>
      <c r="P355" s="149" t="str">
        <f t="shared" si="207"/>
        <v/>
      </c>
      <c r="Q355" s="149" t="str">
        <f t="shared" si="208"/>
        <v/>
      </c>
      <c r="R355" s="176" t="str">
        <f t="shared" si="209"/>
        <v/>
      </c>
      <c r="S355" s="113" t="str">
        <f t="shared" si="210"/>
        <v/>
      </c>
      <c r="T355" s="113" t="str">
        <f t="shared" si="195"/>
        <v/>
      </c>
      <c r="U355" s="114" t="str">
        <f t="shared" si="211"/>
        <v/>
      </c>
      <c r="V355" s="114" t="str">
        <f t="shared" si="212"/>
        <v/>
      </c>
      <c r="W355" s="114" t="str">
        <f t="shared" si="213"/>
        <v/>
      </c>
      <c r="X355" s="114"/>
      <c r="Y355" s="149" t="str">
        <f t="shared" si="214"/>
        <v/>
      </c>
      <c r="Z355" s="149" t="str">
        <f t="shared" si="215"/>
        <v/>
      </c>
      <c r="AA355" s="176" t="str">
        <f t="shared" si="216"/>
        <v/>
      </c>
      <c r="AB355" s="113" t="str">
        <f t="shared" si="217"/>
        <v/>
      </c>
      <c r="AC355" s="113" t="str">
        <f t="shared" si="196"/>
        <v/>
      </c>
      <c r="AD355" s="114" t="str">
        <f t="shared" si="218"/>
        <v/>
      </c>
      <c r="AE355" s="114" t="str">
        <f t="shared" si="219"/>
        <v/>
      </c>
      <c r="AF355" s="114" t="str">
        <f t="shared" si="220"/>
        <v/>
      </c>
      <c r="AG355" s="114"/>
      <c r="AH355" s="176" t="str">
        <f t="shared" si="221"/>
        <v/>
      </c>
      <c r="AI355" s="176" t="str">
        <f t="shared" si="222"/>
        <v/>
      </c>
      <c r="AJ355" s="176" t="str">
        <f t="shared" si="223"/>
        <v/>
      </c>
      <c r="AK355" s="113" t="str">
        <f t="shared" si="224"/>
        <v/>
      </c>
      <c r="AL355" s="113" t="str">
        <f t="shared" si="197"/>
        <v/>
      </c>
      <c r="AM355" s="114" t="str">
        <f t="shared" si="225"/>
        <v/>
      </c>
      <c r="AN355" s="114" t="str">
        <f t="shared" si="226"/>
        <v/>
      </c>
      <c r="AO355" s="114" t="str">
        <f t="shared" si="227"/>
        <v/>
      </c>
    </row>
    <row r="356" spans="1:41" x14ac:dyDescent="0.3">
      <c r="A356" s="146">
        <f t="shared" si="198"/>
        <v>334</v>
      </c>
      <c r="B356" s="147" t="str">
        <f t="shared" si="191"/>
        <v/>
      </c>
      <c r="C356" s="147" t="str">
        <f t="shared" si="190"/>
        <v/>
      </c>
      <c r="D356" s="149" t="str">
        <f t="shared" si="199"/>
        <v/>
      </c>
      <c r="E356" s="149" t="str">
        <f t="shared" si="200"/>
        <v/>
      </c>
      <c r="F356" s="149" t="str">
        <f t="shared" si="192"/>
        <v/>
      </c>
      <c r="G356" s="149" t="str">
        <f t="shared" si="193"/>
        <v/>
      </c>
      <c r="H356" s="149" t="str">
        <f t="shared" si="201"/>
        <v/>
      </c>
      <c r="I356" s="149" t="str">
        <f t="shared" si="202"/>
        <v/>
      </c>
      <c r="J356" s="147" t="str">
        <f t="shared" si="203"/>
        <v/>
      </c>
      <c r="K356" s="175" t="str">
        <f t="shared" si="194"/>
        <v/>
      </c>
      <c r="L356" s="149" t="str">
        <f t="shared" si="204"/>
        <v/>
      </c>
      <c r="M356" s="149" t="str">
        <f t="shared" si="205"/>
        <v/>
      </c>
      <c r="N356" s="149" t="str">
        <f t="shared" si="206"/>
        <v/>
      </c>
      <c r="P356" s="149" t="str">
        <f t="shared" si="207"/>
        <v/>
      </c>
      <c r="Q356" s="149" t="str">
        <f t="shared" si="208"/>
        <v/>
      </c>
      <c r="R356" s="176" t="str">
        <f t="shared" si="209"/>
        <v/>
      </c>
      <c r="S356" s="113" t="str">
        <f t="shared" si="210"/>
        <v/>
      </c>
      <c r="T356" s="113" t="str">
        <f t="shared" si="195"/>
        <v/>
      </c>
      <c r="U356" s="114" t="str">
        <f t="shared" si="211"/>
        <v/>
      </c>
      <c r="V356" s="114" t="str">
        <f t="shared" si="212"/>
        <v/>
      </c>
      <c r="W356" s="114" t="str">
        <f t="shared" si="213"/>
        <v/>
      </c>
      <c r="X356" s="114"/>
      <c r="Y356" s="149" t="str">
        <f t="shared" si="214"/>
        <v/>
      </c>
      <c r="Z356" s="149" t="str">
        <f t="shared" si="215"/>
        <v/>
      </c>
      <c r="AA356" s="176" t="str">
        <f t="shared" si="216"/>
        <v/>
      </c>
      <c r="AB356" s="113" t="str">
        <f t="shared" si="217"/>
        <v/>
      </c>
      <c r="AC356" s="113" t="str">
        <f t="shared" si="196"/>
        <v/>
      </c>
      <c r="AD356" s="114" t="str">
        <f t="shared" si="218"/>
        <v/>
      </c>
      <c r="AE356" s="114" t="str">
        <f t="shared" si="219"/>
        <v/>
      </c>
      <c r="AF356" s="114" t="str">
        <f t="shared" si="220"/>
        <v/>
      </c>
      <c r="AG356" s="114"/>
      <c r="AH356" s="176" t="str">
        <f t="shared" si="221"/>
        <v/>
      </c>
      <c r="AI356" s="176" t="str">
        <f t="shared" si="222"/>
        <v/>
      </c>
      <c r="AJ356" s="176" t="str">
        <f t="shared" si="223"/>
        <v/>
      </c>
      <c r="AK356" s="113" t="str">
        <f t="shared" si="224"/>
        <v/>
      </c>
      <c r="AL356" s="113" t="str">
        <f t="shared" si="197"/>
        <v/>
      </c>
      <c r="AM356" s="114" t="str">
        <f t="shared" si="225"/>
        <v/>
      </c>
      <c r="AN356" s="114" t="str">
        <f t="shared" si="226"/>
        <v/>
      </c>
      <c r="AO356" s="114" t="str">
        <f t="shared" si="227"/>
        <v/>
      </c>
    </row>
    <row r="357" spans="1:41" x14ac:dyDescent="0.3">
      <c r="A357" s="146">
        <f t="shared" si="198"/>
        <v>335</v>
      </c>
      <c r="B357" s="147" t="str">
        <f t="shared" si="191"/>
        <v/>
      </c>
      <c r="C357" s="147" t="str">
        <f t="shared" si="190"/>
        <v/>
      </c>
      <c r="D357" s="149" t="str">
        <f t="shared" si="199"/>
        <v/>
      </c>
      <c r="E357" s="149" t="str">
        <f t="shared" si="200"/>
        <v/>
      </c>
      <c r="F357" s="149" t="str">
        <f t="shared" si="192"/>
        <v/>
      </c>
      <c r="G357" s="149" t="str">
        <f t="shared" si="193"/>
        <v/>
      </c>
      <c r="H357" s="149" t="str">
        <f t="shared" si="201"/>
        <v/>
      </c>
      <c r="I357" s="149" t="str">
        <f t="shared" si="202"/>
        <v/>
      </c>
      <c r="J357" s="147" t="str">
        <f t="shared" si="203"/>
        <v/>
      </c>
      <c r="K357" s="175" t="str">
        <f t="shared" si="194"/>
        <v/>
      </c>
      <c r="L357" s="149" t="str">
        <f t="shared" si="204"/>
        <v/>
      </c>
      <c r="M357" s="149" t="str">
        <f t="shared" si="205"/>
        <v/>
      </c>
      <c r="N357" s="149" t="str">
        <f t="shared" si="206"/>
        <v/>
      </c>
      <c r="P357" s="149" t="str">
        <f t="shared" si="207"/>
        <v/>
      </c>
      <c r="Q357" s="149" t="str">
        <f t="shared" si="208"/>
        <v/>
      </c>
      <c r="R357" s="176" t="str">
        <f t="shared" si="209"/>
        <v/>
      </c>
      <c r="S357" s="113" t="str">
        <f t="shared" si="210"/>
        <v/>
      </c>
      <c r="T357" s="113" t="str">
        <f t="shared" si="195"/>
        <v/>
      </c>
      <c r="U357" s="114" t="str">
        <f t="shared" si="211"/>
        <v/>
      </c>
      <c r="V357" s="114" t="str">
        <f t="shared" si="212"/>
        <v/>
      </c>
      <c r="W357" s="114" t="str">
        <f t="shared" si="213"/>
        <v/>
      </c>
      <c r="X357" s="114"/>
      <c r="Y357" s="149" t="str">
        <f t="shared" si="214"/>
        <v/>
      </c>
      <c r="Z357" s="149" t="str">
        <f t="shared" si="215"/>
        <v/>
      </c>
      <c r="AA357" s="176" t="str">
        <f t="shared" si="216"/>
        <v/>
      </c>
      <c r="AB357" s="113" t="str">
        <f t="shared" si="217"/>
        <v/>
      </c>
      <c r="AC357" s="113" t="str">
        <f t="shared" si="196"/>
        <v/>
      </c>
      <c r="AD357" s="114" t="str">
        <f t="shared" si="218"/>
        <v/>
      </c>
      <c r="AE357" s="114" t="str">
        <f t="shared" si="219"/>
        <v/>
      </c>
      <c r="AF357" s="114" t="str">
        <f t="shared" si="220"/>
        <v/>
      </c>
      <c r="AG357" s="114"/>
      <c r="AH357" s="176" t="str">
        <f t="shared" si="221"/>
        <v/>
      </c>
      <c r="AI357" s="176" t="str">
        <f t="shared" si="222"/>
        <v/>
      </c>
      <c r="AJ357" s="176" t="str">
        <f t="shared" si="223"/>
        <v/>
      </c>
      <c r="AK357" s="113" t="str">
        <f t="shared" si="224"/>
        <v/>
      </c>
      <c r="AL357" s="113" t="str">
        <f t="shared" si="197"/>
        <v/>
      </c>
      <c r="AM357" s="114" t="str">
        <f t="shared" si="225"/>
        <v/>
      </c>
      <c r="AN357" s="114" t="str">
        <f t="shared" si="226"/>
        <v/>
      </c>
      <c r="AO357" s="114" t="str">
        <f t="shared" si="227"/>
        <v/>
      </c>
    </row>
    <row r="358" spans="1:41" x14ac:dyDescent="0.3">
      <c r="A358" s="146">
        <f t="shared" si="198"/>
        <v>336</v>
      </c>
      <c r="B358" s="147" t="str">
        <f t="shared" si="191"/>
        <v/>
      </c>
      <c r="C358" s="147" t="str">
        <f t="shared" si="190"/>
        <v/>
      </c>
      <c r="D358" s="149" t="str">
        <f t="shared" si="199"/>
        <v/>
      </c>
      <c r="E358" s="149" t="str">
        <f t="shared" si="200"/>
        <v/>
      </c>
      <c r="F358" s="149" t="str">
        <f t="shared" si="192"/>
        <v/>
      </c>
      <c r="G358" s="149" t="str">
        <f t="shared" si="193"/>
        <v/>
      </c>
      <c r="H358" s="149" t="str">
        <f t="shared" si="201"/>
        <v/>
      </c>
      <c r="I358" s="149" t="str">
        <f t="shared" si="202"/>
        <v/>
      </c>
      <c r="J358" s="147" t="str">
        <f t="shared" si="203"/>
        <v/>
      </c>
      <c r="K358" s="175" t="str">
        <f t="shared" si="194"/>
        <v/>
      </c>
      <c r="L358" s="149" t="str">
        <f t="shared" si="204"/>
        <v/>
      </c>
      <c r="M358" s="149" t="str">
        <f t="shared" si="205"/>
        <v/>
      </c>
      <c r="N358" s="149" t="str">
        <f t="shared" si="206"/>
        <v/>
      </c>
      <c r="P358" s="149" t="str">
        <f t="shared" si="207"/>
        <v/>
      </c>
      <c r="Q358" s="149" t="str">
        <f t="shared" si="208"/>
        <v/>
      </c>
      <c r="R358" s="176" t="str">
        <f t="shared" si="209"/>
        <v/>
      </c>
      <c r="S358" s="113" t="str">
        <f t="shared" si="210"/>
        <v/>
      </c>
      <c r="T358" s="113" t="str">
        <f t="shared" si="195"/>
        <v/>
      </c>
      <c r="U358" s="114" t="str">
        <f t="shared" si="211"/>
        <v/>
      </c>
      <c r="V358" s="114" t="str">
        <f t="shared" si="212"/>
        <v/>
      </c>
      <c r="W358" s="114" t="str">
        <f t="shared" si="213"/>
        <v/>
      </c>
      <c r="X358" s="114"/>
      <c r="Y358" s="149" t="str">
        <f t="shared" si="214"/>
        <v/>
      </c>
      <c r="Z358" s="149" t="str">
        <f t="shared" si="215"/>
        <v/>
      </c>
      <c r="AA358" s="176" t="str">
        <f t="shared" si="216"/>
        <v/>
      </c>
      <c r="AB358" s="113" t="str">
        <f t="shared" si="217"/>
        <v/>
      </c>
      <c r="AC358" s="113" t="str">
        <f t="shared" si="196"/>
        <v/>
      </c>
      <c r="AD358" s="114" t="str">
        <f t="shared" si="218"/>
        <v/>
      </c>
      <c r="AE358" s="114" t="str">
        <f t="shared" si="219"/>
        <v/>
      </c>
      <c r="AF358" s="114" t="str">
        <f t="shared" si="220"/>
        <v/>
      </c>
      <c r="AG358" s="114"/>
      <c r="AH358" s="176" t="str">
        <f t="shared" si="221"/>
        <v/>
      </c>
      <c r="AI358" s="176" t="str">
        <f t="shared" si="222"/>
        <v/>
      </c>
      <c r="AJ358" s="176" t="str">
        <f t="shared" si="223"/>
        <v/>
      </c>
      <c r="AK358" s="113" t="str">
        <f t="shared" si="224"/>
        <v/>
      </c>
      <c r="AL358" s="113" t="str">
        <f t="shared" si="197"/>
        <v/>
      </c>
      <c r="AM358" s="114" t="str">
        <f t="shared" si="225"/>
        <v/>
      </c>
      <c r="AN358" s="114" t="str">
        <f t="shared" si="226"/>
        <v/>
      </c>
      <c r="AO358" s="114" t="str">
        <f t="shared" si="227"/>
        <v/>
      </c>
    </row>
    <row r="359" spans="1:41" x14ac:dyDescent="0.3">
      <c r="A359" s="146">
        <f t="shared" si="198"/>
        <v>337</v>
      </c>
      <c r="B359" s="147" t="str">
        <f t="shared" si="191"/>
        <v/>
      </c>
      <c r="C359" s="147" t="str">
        <f t="shared" si="190"/>
        <v/>
      </c>
      <c r="D359" s="149" t="str">
        <f t="shared" si="199"/>
        <v/>
      </c>
      <c r="E359" s="149" t="str">
        <f t="shared" si="200"/>
        <v/>
      </c>
      <c r="F359" s="149" t="str">
        <f t="shared" si="192"/>
        <v/>
      </c>
      <c r="G359" s="149" t="str">
        <f t="shared" si="193"/>
        <v/>
      </c>
      <c r="H359" s="149" t="str">
        <f t="shared" si="201"/>
        <v/>
      </c>
      <c r="I359" s="149" t="str">
        <f t="shared" si="202"/>
        <v/>
      </c>
      <c r="J359" s="147" t="str">
        <f t="shared" si="203"/>
        <v/>
      </c>
      <c r="K359" s="175" t="str">
        <f t="shared" si="194"/>
        <v/>
      </c>
      <c r="L359" s="149" t="str">
        <f t="shared" si="204"/>
        <v/>
      </c>
      <c r="M359" s="149" t="str">
        <f t="shared" si="205"/>
        <v/>
      </c>
      <c r="N359" s="149" t="str">
        <f t="shared" si="206"/>
        <v/>
      </c>
      <c r="P359" s="149" t="str">
        <f t="shared" si="207"/>
        <v/>
      </c>
      <c r="Q359" s="149" t="str">
        <f t="shared" si="208"/>
        <v/>
      </c>
      <c r="R359" s="176" t="str">
        <f t="shared" si="209"/>
        <v/>
      </c>
      <c r="S359" s="113" t="str">
        <f t="shared" si="210"/>
        <v/>
      </c>
      <c r="T359" s="113" t="str">
        <f t="shared" si="195"/>
        <v/>
      </c>
      <c r="U359" s="114" t="str">
        <f t="shared" si="211"/>
        <v/>
      </c>
      <c r="V359" s="114" t="str">
        <f t="shared" si="212"/>
        <v/>
      </c>
      <c r="W359" s="114" t="str">
        <f t="shared" si="213"/>
        <v/>
      </c>
      <c r="X359" s="114"/>
      <c r="Y359" s="149" t="str">
        <f t="shared" si="214"/>
        <v/>
      </c>
      <c r="Z359" s="149" t="str">
        <f t="shared" si="215"/>
        <v/>
      </c>
      <c r="AA359" s="176" t="str">
        <f t="shared" si="216"/>
        <v/>
      </c>
      <c r="AB359" s="113" t="str">
        <f t="shared" si="217"/>
        <v/>
      </c>
      <c r="AC359" s="113" t="str">
        <f t="shared" si="196"/>
        <v/>
      </c>
      <c r="AD359" s="114" t="str">
        <f t="shared" si="218"/>
        <v/>
      </c>
      <c r="AE359" s="114" t="str">
        <f t="shared" si="219"/>
        <v/>
      </c>
      <c r="AF359" s="114" t="str">
        <f t="shared" si="220"/>
        <v/>
      </c>
      <c r="AG359" s="114"/>
      <c r="AH359" s="176" t="str">
        <f t="shared" si="221"/>
        <v/>
      </c>
      <c r="AI359" s="176" t="str">
        <f t="shared" si="222"/>
        <v/>
      </c>
      <c r="AJ359" s="176" t="str">
        <f t="shared" si="223"/>
        <v/>
      </c>
      <c r="AK359" s="113" t="str">
        <f t="shared" si="224"/>
        <v/>
      </c>
      <c r="AL359" s="113" t="str">
        <f t="shared" si="197"/>
        <v/>
      </c>
      <c r="AM359" s="114" t="str">
        <f t="shared" si="225"/>
        <v/>
      </c>
      <c r="AN359" s="114" t="str">
        <f t="shared" si="226"/>
        <v/>
      </c>
      <c r="AO359" s="114" t="str">
        <f t="shared" si="227"/>
        <v/>
      </c>
    </row>
    <row r="360" spans="1:41" x14ac:dyDescent="0.3">
      <c r="A360" s="146">
        <f t="shared" si="198"/>
        <v>338</v>
      </c>
      <c r="B360" s="147" t="str">
        <f t="shared" si="191"/>
        <v/>
      </c>
      <c r="C360" s="147" t="str">
        <f t="shared" si="190"/>
        <v/>
      </c>
      <c r="D360" s="149" t="str">
        <f t="shared" si="199"/>
        <v/>
      </c>
      <c r="E360" s="149" t="str">
        <f t="shared" si="200"/>
        <v/>
      </c>
      <c r="F360" s="149" t="str">
        <f t="shared" si="192"/>
        <v/>
      </c>
      <c r="G360" s="149" t="str">
        <f t="shared" si="193"/>
        <v/>
      </c>
      <c r="H360" s="149" t="str">
        <f t="shared" si="201"/>
        <v/>
      </c>
      <c r="I360" s="149" t="str">
        <f t="shared" si="202"/>
        <v/>
      </c>
      <c r="J360" s="147" t="str">
        <f t="shared" si="203"/>
        <v/>
      </c>
      <c r="K360" s="175" t="str">
        <f t="shared" si="194"/>
        <v/>
      </c>
      <c r="L360" s="149" t="str">
        <f t="shared" si="204"/>
        <v/>
      </c>
      <c r="M360" s="149" t="str">
        <f t="shared" si="205"/>
        <v/>
      </c>
      <c r="N360" s="149" t="str">
        <f t="shared" si="206"/>
        <v/>
      </c>
      <c r="P360" s="149" t="str">
        <f t="shared" si="207"/>
        <v/>
      </c>
      <c r="Q360" s="149" t="str">
        <f t="shared" si="208"/>
        <v/>
      </c>
      <c r="R360" s="176" t="str">
        <f t="shared" si="209"/>
        <v/>
      </c>
      <c r="S360" s="113" t="str">
        <f t="shared" si="210"/>
        <v/>
      </c>
      <c r="T360" s="113" t="str">
        <f t="shared" si="195"/>
        <v/>
      </c>
      <c r="U360" s="114" t="str">
        <f t="shared" si="211"/>
        <v/>
      </c>
      <c r="V360" s="114" t="str">
        <f t="shared" si="212"/>
        <v/>
      </c>
      <c r="W360" s="114" t="str">
        <f t="shared" si="213"/>
        <v/>
      </c>
      <c r="X360" s="114"/>
      <c r="Y360" s="149" t="str">
        <f t="shared" si="214"/>
        <v/>
      </c>
      <c r="Z360" s="149" t="str">
        <f t="shared" si="215"/>
        <v/>
      </c>
      <c r="AA360" s="176" t="str">
        <f t="shared" si="216"/>
        <v/>
      </c>
      <c r="AB360" s="113" t="str">
        <f t="shared" si="217"/>
        <v/>
      </c>
      <c r="AC360" s="113" t="str">
        <f t="shared" si="196"/>
        <v/>
      </c>
      <c r="AD360" s="114" t="str">
        <f t="shared" si="218"/>
        <v/>
      </c>
      <c r="AE360" s="114" t="str">
        <f t="shared" si="219"/>
        <v/>
      </c>
      <c r="AF360" s="114" t="str">
        <f t="shared" si="220"/>
        <v/>
      </c>
      <c r="AG360" s="114"/>
      <c r="AH360" s="176" t="str">
        <f t="shared" si="221"/>
        <v/>
      </c>
      <c r="AI360" s="176" t="str">
        <f t="shared" si="222"/>
        <v/>
      </c>
      <c r="AJ360" s="176" t="str">
        <f t="shared" si="223"/>
        <v/>
      </c>
      <c r="AK360" s="113" t="str">
        <f t="shared" si="224"/>
        <v/>
      </c>
      <c r="AL360" s="113" t="str">
        <f t="shared" si="197"/>
        <v/>
      </c>
      <c r="AM360" s="114" t="str">
        <f t="shared" si="225"/>
        <v/>
      </c>
      <c r="AN360" s="114" t="str">
        <f t="shared" si="226"/>
        <v/>
      </c>
      <c r="AO360" s="114" t="str">
        <f t="shared" si="227"/>
        <v/>
      </c>
    </row>
    <row r="361" spans="1:41" x14ac:dyDescent="0.3">
      <c r="A361" s="146">
        <f t="shared" si="198"/>
        <v>339</v>
      </c>
      <c r="B361" s="147" t="str">
        <f t="shared" si="191"/>
        <v/>
      </c>
      <c r="C361" s="147" t="str">
        <f t="shared" si="190"/>
        <v/>
      </c>
      <c r="D361" s="149" t="str">
        <f t="shared" si="199"/>
        <v/>
      </c>
      <c r="E361" s="149" t="str">
        <f t="shared" si="200"/>
        <v/>
      </c>
      <c r="F361" s="149" t="str">
        <f t="shared" si="192"/>
        <v/>
      </c>
      <c r="G361" s="149" t="str">
        <f t="shared" si="193"/>
        <v/>
      </c>
      <c r="H361" s="149" t="str">
        <f t="shared" si="201"/>
        <v/>
      </c>
      <c r="I361" s="149" t="str">
        <f t="shared" si="202"/>
        <v/>
      </c>
      <c r="J361" s="147" t="str">
        <f t="shared" si="203"/>
        <v/>
      </c>
      <c r="K361" s="175" t="str">
        <f t="shared" si="194"/>
        <v/>
      </c>
      <c r="L361" s="149" t="str">
        <f t="shared" si="204"/>
        <v/>
      </c>
      <c r="M361" s="149" t="str">
        <f t="shared" si="205"/>
        <v/>
      </c>
      <c r="N361" s="149" t="str">
        <f t="shared" si="206"/>
        <v/>
      </c>
      <c r="P361" s="149" t="str">
        <f t="shared" si="207"/>
        <v/>
      </c>
      <c r="Q361" s="149" t="str">
        <f t="shared" si="208"/>
        <v/>
      </c>
      <c r="R361" s="176" t="str">
        <f t="shared" si="209"/>
        <v/>
      </c>
      <c r="S361" s="113" t="str">
        <f t="shared" si="210"/>
        <v/>
      </c>
      <c r="T361" s="113" t="str">
        <f t="shared" si="195"/>
        <v/>
      </c>
      <c r="U361" s="114" t="str">
        <f t="shared" si="211"/>
        <v/>
      </c>
      <c r="V361" s="114" t="str">
        <f t="shared" si="212"/>
        <v/>
      </c>
      <c r="W361" s="114" t="str">
        <f t="shared" si="213"/>
        <v/>
      </c>
      <c r="X361" s="114"/>
      <c r="Y361" s="149" t="str">
        <f t="shared" si="214"/>
        <v/>
      </c>
      <c r="Z361" s="149" t="str">
        <f t="shared" si="215"/>
        <v/>
      </c>
      <c r="AA361" s="176" t="str">
        <f t="shared" si="216"/>
        <v/>
      </c>
      <c r="AB361" s="113" t="str">
        <f t="shared" si="217"/>
        <v/>
      </c>
      <c r="AC361" s="113" t="str">
        <f t="shared" si="196"/>
        <v/>
      </c>
      <c r="AD361" s="114" t="str">
        <f t="shared" si="218"/>
        <v/>
      </c>
      <c r="AE361" s="114" t="str">
        <f t="shared" si="219"/>
        <v/>
      </c>
      <c r="AF361" s="114" t="str">
        <f t="shared" si="220"/>
        <v/>
      </c>
      <c r="AG361" s="114"/>
      <c r="AH361" s="176" t="str">
        <f t="shared" si="221"/>
        <v/>
      </c>
      <c r="AI361" s="176" t="str">
        <f t="shared" si="222"/>
        <v/>
      </c>
      <c r="AJ361" s="176" t="str">
        <f t="shared" si="223"/>
        <v/>
      </c>
      <c r="AK361" s="113" t="str">
        <f t="shared" si="224"/>
        <v/>
      </c>
      <c r="AL361" s="113" t="str">
        <f t="shared" si="197"/>
        <v/>
      </c>
      <c r="AM361" s="114" t="str">
        <f t="shared" si="225"/>
        <v/>
      </c>
      <c r="AN361" s="114" t="str">
        <f t="shared" si="226"/>
        <v/>
      </c>
      <c r="AO361" s="114" t="str">
        <f t="shared" si="227"/>
        <v/>
      </c>
    </row>
    <row r="362" spans="1:41" x14ac:dyDescent="0.3">
      <c r="A362" s="146">
        <f t="shared" si="198"/>
        <v>340</v>
      </c>
      <c r="B362" s="147" t="str">
        <f t="shared" si="191"/>
        <v/>
      </c>
      <c r="C362" s="147" t="str">
        <f t="shared" si="190"/>
        <v/>
      </c>
      <c r="D362" s="149" t="str">
        <f t="shared" si="199"/>
        <v/>
      </c>
      <c r="E362" s="149" t="str">
        <f t="shared" si="200"/>
        <v/>
      </c>
      <c r="F362" s="149" t="str">
        <f t="shared" si="192"/>
        <v/>
      </c>
      <c r="G362" s="149" t="str">
        <f t="shared" si="193"/>
        <v/>
      </c>
      <c r="H362" s="149" t="str">
        <f t="shared" si="201"/>
        <v/>
      </c>
      <c r="I362" s="149" t="str">
        <f t="shared" si="202"/>
        <v/>
      </c>
      <c r="J362" s="147" t="str">
        <f t="shared" si="203"/>
        <v/>
      </c>
      <c r="K362" s="175" t="str">
        <f t="shared" si="194"/>
        <v/>
      </c>
      <c r="L362" s="149" t="str">
        <f t="shared" si="204"/>
        <v/>
      </c>
      <c r="M362" s="149" t="str">
        <f t="shared" si="205"/>
        <v/>
      </c>
      <c r="N362" s="149" t="str">
        <f t="shared" si="206"/>
        <v/>
      </c>
      <c r="P362" s="149" t="str">
        <f t="shared" si="207"/>
        <v/>
      </c>
      <c r="Q362" s="149" t="str">
        <f t="shared" si="208"/>
        <v/>
      </c>
      <c r="R362" s="176" t="str">
        <f t="shared" si="209"/>
        <v/>
      </c>
      <c r="S362" s="113" t="str">
        <f t="shared" si="210"/>
        <v/>
      </c>
      <c r="T362" s="113" t="str">
        <f t="shared" si="195"/>
        <v/>
      </c>
      <c r="U362" s="114" t="str">
        <f t="shared" si="211"/>
        <v/>
      </c>
      <c r="V362" s="114" t="str">
        <f t="shared" si="212"/>
        <v/>
      </c>
      <c r="W362" s="114" t="str">
        <f t="shared" si="213"/>
        <v/>
      </c>
      <c r="X362" s="114"/>
      <c r="Y362" s="149" t="str">
        <f t="shared" si="214"/>
        <v/>
      </c>
      <c r="Z362" s="149" t="str">
        <f t="shared" si="215"/>
        <v/>
      </c>
      <c r="AA362" s="176" t="str">
        <f t="shared" si="216"/>
        <v/>
      </c>
      <c r="AB362" s="113" t="str">
        <f t="shared" si="217"/>
        <v/>
      </c>
      <c r="AC362" s="113" t="str">
        <f t="shared" si="196"/>
        <v/>
      </c>
      <c r="AD362" s="114" t="str">
        <f t="shared" si="218"/>
        <v/>
      </c>
      <c r="AE362" s="114" t="str">
        <f t="shared" si="219"/>
        <v/>
      </c>
      <c r="AF362" s="114" t="str">
        <f t="shared" si="220"/>
        <v/>
      </c>
      <c r="AG362" s="114"/>
      <c r="AH362" s="176" t="str">
        <f t="shared" si="221"/>
        <v/>
      </c>
      <c r="AI362" s="176" t="str">
        <f t="shared" si="222"/>
        <v/>
      </c>
      <c r="AJ362" s="176" t="str">
        <f t="shared" si="223"/>
        <v/>
      </c>
      <c r="AK362" s="113" t="str">
        <f t="shared" si="224"/>
        <v/>
      </c>
      <c r="AL362" s="113" t="str">
        <f t="shared" si="197"/>
        <v/>
      </c>
      <c r="AM362" s="114" t="str">
        <f t="shared" si="225"/>
        <v/>
      </c>
      <c r="AN362" s="114" t="str">
        <f t="shared" si="226"/>
        <v/>
      </c>
      <c r="AO362" s="114" t="str">
        <f t="shared" si="227"/>
        <v/>
      </c>
    </row>
    <row r="363" spans="1:41" x14ac:dyDescent="0.3">
      <c r="A363" s="146">
        <f t="shared" si="198"/>
        <v>341</v>
      </c>
      <c r="B363" s="147" t="str">
        <f t="shared" si="191"/>
        <v/>
      </c>
      <c r="C363" s="147" t="str">
        <f t="shared" si="190"/>
        <v/>
      </c>
      <c r="D363" s="149" t="str">
        <f t="shared" si="199"/>
        <v/>
      </c>
      <c r="E363" s="149" t="str">
        <f t="shared" si="200"/>
        <v/>
      </c>
      <c r="F363" s="149" t="str">
        <f t="shared" si="192"/>
        <v/>
      </c>
      <c r="G363" s="149" t="str">
        <f t="shared" si="193"/>
        <v/>
      </c>
      <c r="H363" s="149" t="str">
        <f t="shared" si="201"/>
        <v/>
      </c>
      <c r="I363" s="149" t="str">
        <f t="shared" si="202"/>
        <v/>
      </c>
      <c r="J363" s="147" t="str">
        <f t="shared" si="203"/>
        <v/>
      </c>
      <c r="K363" s="175" t="str">
        <f t="shared" si="194"/>
        <v/>
      </c>
      <c r="L363" s="149" t="str">
        <f t="shared" si="204"/>
        <v/>
      </c>
      <c r="M363" s="149" t="str">
        <f t="shared" si="205"/>
        <v/>
      </c>
      <c r="N363" s="149" t="str">
        <f t="shared" si="206"/>
        <v/>
      </c>
      <c r="P363" s="149" t="str">
        <f t="shared" si="207"/>
        <v/>
      </c>
      <c r="Q363" s="149" t="str">
        <f t="shared" si="208"/>
        <v/>
      </c>
      <c r="R363" s="176" t="str">
        <f t="shared" si="209"/>
        <v/>
      </c>
      <c r="S363" s="113" t="str">
        <f t="shared" si="210"/>
        <v/>
      </c>
      <c r="T363" s="113" t="str">
        <f t="shared" si="195"/>
        <v/>
      </c>
      <c r="U363" s="114" t="str">
        <f t="shared" si="211"/>
        <v/>
      </c>
      <c r="V363" s="114" t="str">
        <f t="shared" si="212"/>
        <v/>
      </c>
      <c r="W363" s="114" t="str">
        <f t="shared" si="213"/>
        <v/>
      </c>
      <c r="X363" s="114"/>
      <c r="Y363" s="149" t="str">
        <f t="shared" si="214"/>
        <v/>
      </c>
      <c r="Z363" s="149" t="str">
        <f t="shared" si="215"/>
        <v/>
      </c>
      <c r="AA363" s="176" t="str">
        <f t="shared" si="216"/>
        <v/>
      </c>
      <c r="AB363" s="113" t="str">
        <f t="shared" si="217"/>
        <v/>
      </c>
      <c r="AC363" s="113" t="str">
        <f t="shared" si="196"/>
        <v/>
      </c>
      <c r="AD363" s="114" t="str">
        <f t="shared" si="218"/>
        <v/>
      </c>
      <c r="AE363" s="114" t="str">
        <f t="shared" si="219"/>
        <v/>
      </c>
      <c r="AF363" s="114" t="str">
        <f t="shared" si="220"/>
        <v/>
      </c>
      <c r="AG363" s="114"/>
      <c r="AH363" s="176" t="str">
        <f t="shared" si="221"/>
        <v/>
      </c>
      <c r="AI363" s="176" t="str">
        <f t="shared" si="222"/>
        <v/>
      </c>
      <c r="AJ363" s="176" t="str">
        <f t="shared" si="223"/>
        <v/>
      </c>
      <c r="AK363" s="113" t="str">
        <f t="shared" si="224"/>
        <v/>
      </c>
      <c r="AL363" s="113" t="str">
        <f t="shared" si="197"/>
        <v/>
      </c>
      <c r="AM363" s="114" t="str">
        <f t="shared" si="225"/>
        <v/>
      </c>
      <c r="AN363" s="114" t="str">
        <f t="shared" si="226"/>
        <v/>
      </c>
      <c r="AO363" s="114" t="str">
        <f t="shared" si="227"/>
        <v/>
      </c>
    </row>
    <row r="364" spans="1:41" x14ac:dyDescent="0.3">
      <c r="A364" s="146">
        <f t="shared" si="198"/>
        <v>342</v>
      </c>
      <c r="B364" s="147" t="str">
        <f t="shared" si="191"/>
        <v/>
      </c>
      <c r="C364" s="147" t="str">
        <f t="shared" si="190"/>
        <v/>
      </c>
      <c r="D364" s="149" t="str">
        <f t="shared" si="199"/>
        <v/>
      </c>
      <c r="E364" s="149" t="str">
        <f t="shared" si="200"/>
        <v/>
      </c>
      <c r="F364" s="149" t="str">
        <f t="shared" si="192"/>
        <v/>
      </c>
      <c r="G364" s="149" t="str">
        <f t="shared" si="193"/>
        <v/>
      </c>
      <c r="H364" s="149" t="str">
        <f t="shared" si="201"/>
        <v/>
      </c>
      <c r="I364" s="149" t="str">
        <f t="shared" si="202"/>
        <v/>
      </c>
      <c r="J364" s="147" t="str">
        <f t="shared" si="203"/>
        <v/>
      </c>
      <c r="K364" s="175" t="str">
        <f t="shared" si="194"/>
        <v/>
      </c>
      <c r="L364" s="149" t="str">
        <f t="shared" si="204"/>
        <v/>
      </c>
      <c r="M364" s="149" t="str">
        <f t="shared" si="205"/>
        <v/>
      </c>
      <c r="N364" s="149" t="str">
        <f t="shared" si="206"/>
        <v/>
      </c>
      <c r="P364" s="149" t="str">
        <f t="shared" si="207"/>
        <v/>
      </c>
      <c r="Q364" s="149" t="str">
        <f t="shared" si="208"/>
        <v/>
      </c>
      <c r="R364" s="176" t="str">
        <f t="shared" si="209"/>
        <v/>
      </c>
      <c r="S364" s="113" t="str">
        <f t="shared" si="210"/>
        <v/>
      </c>
      <c r="T364" s="113" t="str">
        <f t="shared" si="195"/>
        <v/>
      </c>
      <c r="U364" s="114" t="str">
        <f t="shared" si="211"/>
        <v/>
      </c>
      <c r="V364" s="114" t="str">
        <f t="shared" si="212"/>
        <v/>
      </c>
      <c r="W364" s="114" t="str">
        <f t="shared" si="213"/>
        <v/>
      </c>
      <c r="X364" s="114"/>
      <c r="Y364" s="149" t="str">
        <f t="shared" si="214"/>
        <v/>
      </c>
      <c r="Z364" s="149" t="str">
        <f t="shared" si="215"/>
        <v/>
      </c>
      <c r="AA364" s="176" t="str">
        <f t="shared" si="216"/>
        <v/>
      </c>
      <c r="AB364" s="113" t="str">
        <f t="shared" si="217"/>
        <v/>
      </c>
      <c r="AC364" s="113" t="str">
        <f t="shared" si="196"/>
        <v/>
      </c>
      <c r="AD364" s="114" t="str">
        <f t="shared" si="218"/>
        <v/>
      </c>
      <c r="AE364" s="114" t="str">
        <f t="shared" si="219"/>
        <v/>
      </c>
      <c r="AF364" s="114" t="str">
        <f t="shared" si="220"/>
        <v/>
      </c>
      <c r="AG364" s="114"/>
      <c r="AH364" s="176" t="str">
        <f t="shared" si="221"/>
        <v/>
      </c>
      <c r="AI364" s="176" t="str">
        <f t="shared" si="222"/>
        <v/>
      </c>
      <c r="AJ364" s="176" t="str">
        <f t="shared" si="223"/>
        <v/>
      </c>
      <c r="AK364" s="113" t="str">
        <f t="shared" si="224"/>
        <v/>
      </c>
      <c r="AL364" s="113" t="str">
        <f t="shared" si="197"/>
        <v/>
      </c>
      <c r="AM364" s="114" t="str">
        <f t="shared" si="225"/>
        <v/>
      </c>
      <c r="AN364" s="114" t="str">
        <f t="shared" si="226"/>
        <v/>
      </c>
      <c r="AO364" s="114" t="str">
        <f t="shared" si="227"/>
        <v/>
      </c>
    </row>
    <row r="365" spans="1:41" x14ac:dyDescent="0.3">
      <c r="A365" s="146">
        <f t="shared" si="198"/>
        <v>343</v>
      </c>
      <c r="B365" s="147" t="str">
        <f t="shared" si="191"/>
        <v/>
      </c>
      <c r="C365" s="147" t="str">
        <f t="shared" si="190"/>
        <v/>
      </c>
      <c r="D365" s="149" t="str">
        <f t="shared" si="199"/>
        <v/>
      </c>
      <c r="E365" s="149" t="str">
        <f t="shared" si="200"/>
        <v/>
      </c>
      <c r="F365" s="149" t="str">
        <f t="shared" si="192"/>
        <v/>
      </c>
      <c r="G365" s="149" t="str">
        <f t="shared" si="193"/>
        <v/>
      </c>
      <c r="H365" s="149" t="str">
        <f t="shared" si="201"/>
        <v/>
      </c>
      <c r="I365" s="149" t="str">
        <f t="shared" si="202"/>
        <v/>
      </c>
      <c r="J365" s="147" t="str">
        <f t="shared" si="203"/>
        <v/>
      </c>
      <c r="K365" s="175" t="str">
        <f t="shared" si="194"/>
        <v/>
      </c>
      <c r="L365" s="149" t="str">
        <f t="shared" si="204"/>
        <v/>
      </c>
      <c r="M365" s="149" t="str">
        <f t="shared" si="205"/>
        <v/>
      </c>
      <c r="N365" s="149" t="str">
        <f t="shared" si="206"/>
        <v/>
      </c>
      <c r="P365" s="149" t="str">
        <f t="shared" si="207"/>
        <v/>
      </c>
      <c r="Q365" s="149" t="str">
        <f t="shared" si="208"/>
        <v/>
      </c>
      <c r="R365" s="176" t="str">
        <f t="shared" si="209"/>
        <v/>
      </c>
      <c r="S365" s="113" t="str">
        <f t="shared" si="210"/>
        <v/>
      </c>
      <c r="T365" s="113" t="str">
        <f t="shared" si="195"/>
        <v/>
      </c>
      <c r="U365" s="114" t="str">
        <f t="shared" si="211"/>
        <v/>
      </c>
      <c r="V365" s="114" t="str">
        <f t="shared" si="212"/>
        <v/>
      </c>
      <c r="W365" s="114" t="str">
        <f t="shared" si="213"/>
        <v/>
      </c>
      <c r="X365" s="114"/>
      <c r="Y365" s="149" t="str">
        <f t="shared" si="214"/>
        <v/>
      </c>
      <c r="Z365" s="149" t="str">
        <f t="shared" si="215"/>
        <v/>
      </c>
      <c r="AA365" s="176" t="str">
        <f t="shared" si="216"/>
        <v/>
      </c>
      <c r="AB365" s="113" t="str">
        <f t="shared" si="217"/>
        <v/>
      </c>
      <c r="AC365" s="113" t="str">
        <f t="shared" si="196"/>
        <v/>
      </c>
      <c r="AD365" s="114" t="str">
        <f t="shared" si="218"/>
        <v/>
      </c>
      <c r="AE365" s="114" t="str">
        <f t="shared" si="219"/>
        <v/>
      </c>
      <c r="AF365" s="114" t="str">
        <f t="shared" si="220"/>
        <v/>
      </c>
      <c r="AG365" s="114"/>
      <c r="AH365" s="176" t="str">
        <f t="shared" si="221"/>
        <v/>
      </c>
      <c r="AI365" s="176" t="str">
        <f t="shared" si="222"/>
        <v/>
      </c>
      <c r="AJ365" s="176" t="str">
        <f t="shared" si="223"/>
        <v/>
      </c>
      <c r="AK365" s="113" t="str">
        <f t="shared" si="224"/>
        <v/>
      </c>
      <c r="AL365" s="113" t="str">
        <f t="shared" si="197"/>
        <v/>
      </c>
      <c r="AM365" s="114" t="str">
        <f t="shared" si="225"/>
        <v/>
      </c>
      <c r="AN365" s="114" t="str">
        <f t="shared" si="226"/>
        <v/>
      </c>
      <c r="AO365" s="114" t="str">
        <f t="shared" si="227"/>
        <v/>
      </c>
    </row>
    <row r="366" spans="1:41" x14ac:dyDescent="0.3">
      <c r="A366" s="146">
        <f t="shared" si="198"/>
        <v>344</v>
      </c>
      <c r="B366" s="147" t="str">
        <f t="shared" si="191"/>
        <v/>
      </c>
      <c r="C366" s="147" t="str">
        <f t="shared" si="190"/>
        <v/>
      </c>
      <c r="D366" s="149" t="str">
        <f t="shared" si="199"/>
        <v/>
      </c>
      <c r="E366" s="149" t="str">
        <f t="shared" si="200"/>
        <v/>
      </c>
      <c r="F366" s="149" t="str">
        <f t="shared" si="192"/>
        <v/>
      </c>
      <c r="G366" s="149" t="str">
        <f t="shared" si="193"/>
        <v/>
      </c>
      <c r="H366" s="149" t="str">
        <f t="shared" si="201"/>
        <v/>
      </c>
      <c r="I366" s="149" t="str">
        <f t="shared" si="202"/>
        <v/>
      </c>
      <c r="J366" s="147" t="str">
        <f t="shared" si="203"/>
        <v/>
      </c>
      <c r="K366" s="175" t="str">
        <f t="shared" si="194"/>
        <v/>
      </c>
      <c r="L366" s="149" t="str">
        <f t="shared" si="204"/>
        <v/>
      </c>
      <c r="M366" s="149" t="str">
        <f t="shared" si="205"/>
        <v/>
      </c>
      <c r="N366" s="149" t="str">
        <f t="shared" si="206"/>
        <v/>
      </c>
      <c r="P366" s="149" t="str">
        <f t="shared" si="207"/>
        <v/>
      </c>
      <c r="Q366" s="149" t="str">
        <f t="shared" si="208"/>
        <v/>
      </c>
      <c r="R366" s="176" t="str">
        <f t="shared" si="209"/>
        <v/>
      </c>
      <c r="S366" s="113" t="str">
        <f t="shared" si="210"/>
        <v/>
      </c>
      <c r="T366" s="113" t="str">
        <f t="shared" si="195"/>
        <v/>
      </c>
      <c r="U366" s="114" t="str">
        <f t="shared" si="211"/>
        <v/>
      </c>
      <c r="V366" s="114" t="str">
        <f t="shared" si="212"/>
        <v/>
      </c>
      <c r="W366" s="114" t="str">
        <f t="shared" si="213"/>
        <v/>
      </c>
      <c r="X366" s="114"/>
      <c r="Y366" s="149" t="str">
        <f t="shared" si="214"/>
        <v/>
      </c>
      <c r="Z366" s="149" t="str">
        <f t="shared" si="215"/>
        <v/>
      </c>
      <c r="AA366" s="176" t="str">
        <f t="shared" si="216"/>
        <v/>
      </c>
      <c r="AB366" s="113" t="str">
        <f t="shared" si="217"/>
        <v/>
      </c>
      <c r="AC366" s="113" t="str">
        <f t="shared" si="196"/>
        <v/>
      </c>
      <c r="AD366" s="114" t="str">
        <f t="shared" si="218"/>
        <v/>
      </c>
      <c r="AE366" s="114" t="str">
        <f t="shared" si="219"/>
        <v/>
      </c>
      <c r="AF366" s="114" t="str">
        <f t="shared" si="220"/>
        <v/>
      </c>
      <c r="AG366" s="114"/>
      <c r="AH366" s="176" t="str">
        <f t="shared" si="221"/>
        <v/>
      </c>
      <c r="AI366" s="176" t="str">
        <f t="shared" si="222"/>
        <v/>
      </c>
      <c r="AJ366" s="176" t="str">
        <f t="shared" si="223"/>
        <v/>
      </c>
      <c r="AK366" s="113" t="str">
        <f t="shared" si="224"/>
        <v/>
      </c>
      <c r="AL366" s="113" t="str">
        <f t="shared" si="197"/>
        <v/>
      </c>
      <c r="AM366" s="114" t="str">
        <f t="shared" si="225"/>
        <v/>
      </c>
      <c r="AN366" s="114" t="str">
        <f t="shared" si="226"/>
        <v/>
      </c>
      <c r="AO366" s="114" t="str">
        <f t="shared" si="227"/>
        <v/>
      </c>
    </row>
    <row r="367" spans="1:41" x14ac:dyDescent="0.3">
      <c r="A367" s="146">
        <f t="shared" si="198"/>
        <v>345</v>
      </c>
      <c r="B367" s="147" t="str">
        <f t="shared" si="191"/>
        <v/>
      </c>
      <c r="C367" s="147" t="str">
        <f t="shared" si="190"/>
        <v/>
      </c>
      <c r="D367" s="149" t="str">
        <f t="shared" si="199"/>
        <v/>
      </c>
      <c r="E367" s="149" t="str">
        <f t="shared" si="200"/>
        <v/>
      </c>
      <c r="F367" s="149" t="str">
        <f t="shared" si="192"/>
        <v/>
      </c>
      <c r="G367" s="149" t="str">
        <f t="shared" si="193"/>
        <v/>
      </c>
      <c r="H367" s="149" t="str">
        <f t="shared" si="201"/>
        <v/>
      </c>
      <c r="I367" s="149" t="str">
        <f t="shared" si="202"/>
        <v/>
      </c>
      <c r="J367" s="147" t="str">
        <f t="shared" si="203"/>
        <v/>
      </c>
      <c r="K367" s="175" t="str">
        <f t="shared" si="194"/>
        <v/>
      </c>
      <c r="L367" s="149" t="str">
        <f t="shared" si="204"/>
        <v/>
      </c>
      <c r="M367" s="149" t="str">
        <f t="shared" si="205"/>
        <v/>
      </c>
      <c r="N367" s="149" t="str">
        <f t="shared" si="206"/>
        <v/>
      </c>
      <c r="P367" s="149" t="str">
        <f t="shared" si="207"/>
        <v/>
      </c>
      <c r="Q367" s="149" t="str">
        <f t="shared" si="208"/>
        <v/>
      </c>
      <c r="R367" s="176" t="str">
        <f t="shared" si="209"/>
        <v/>
      </c>
      <c r="S367" s="113" t="str">
        <f t="shared" si="210"/>
        <v/>
      </c>
      <c r="T367" s="113" t="str">
        <f t="shared" si="195"/>
        <v/>
      </c>
      <c r="U367" s="114" t="str">
        <f t="shared" si="211"/>
        <v/>
      </c>
      <c r="V367" s="114" t="str">
        <f t="shared" si="212"/>
        <v/>
      </c>
      <c r="W367" s="114" t="str">
        <f t="shared" si="213"/>
        <v/>
      </c>
      <c r="X367" s="114"/>
      <c r="Y367" s="149" t="str">
        <f t="shared" si="214"/>
        <v/>
      </c>
      <c r="Z367" s="149" t="str">
        <f t="shared" si="215"/>
        <v/>
      </c>
      <c r="AA367" s="176" t="str">
        <f t="shared" si="216"/>
        <v/>
      </c>
      <c r="AB367" s="113" t="str">
        <f t="shared" si="217"/>
        <v/>
      </c>
      <c r="AC367" s="113" t="str">
        <f t="shared" si="196"/>
        <v/>
      </c>
      <c r="AD367" s="114" t="str">
        <f t="shared" si="218"/>
        <v/>
      </c>
      <c r="AE367" s="114" t="str">
        <f t="shared" si="219"/>
        <v/>
      </c>
      <c r="AF367" s="114" t="str">
        <f t="shared" si="220"/>
        <v/>
      </c>
      <c r="AG367" s="114"/>
      <c r="AH367" s="176" t="str">
        <f t="shared" si="221"/>
        <v/>
      </c>
      <c r="AI367" s="176" t="str">
        <f t="shared" si="222"/>
        <v/>
      </c>
      <c r="AJ367" s="176" t="str">
        <f t="shared" si="223"/>
        <v/>
      </c>
      <c r="AK367" s="113" t="str">
        <f t="shared" si="224"/>
        <v/>
      </c>
      <c r="AL367" s="113" t="str">
        <f t="shared" si="197"/>
        <v/>
      </c>
      <c r="AM367" s="114" t="str">
        <f t="shared" si="225"/>
        <v/>
      </c>
      <c r="AN367" s="114" t="str">
        <f t="shared" si="226"/>
        <v/>
      </c>
      <c r="AO367" s="114" t="str">
        <f t="shared" si="227"/>
        <v/>
      </c>
    </row>
    <row r="368" spans="1:41" x14ac:dyDescent="0.3">
      <c r="A368" s="146">
        <f t="shared" si="198"/>
        <v>346</v>
      </c>
      <c r="B368" s="147" t="str">
        <f t="shared" si="191"/>
        <v/>
      </c>
      <c r="C368" s="147" t="str">
        <f t="shared" si="190"/>
        <v/>
      </c>
      <c r="D368" s="149" t="str">
        <f t="shared" si="199"/>
        <v/>
      </c>
      <c r="E368" s="149" t="str">
        <f t="shared" si="200"/>
        <v/>
      </c>
      <c r="F368" s="149" t="str">
        <f t="shared" si="192"/>
        <v/>
      </c>
      <c r="G368" s="149" t="str">
        <f t="shared" si="193"/>
        <v/>
      </c>
      <c r="H368" s="149" t="str">
        <f t="shared" si="201"/>
        <v/>
      </c>
      <c r="I368" s="149" t="str">
        <f t="shared" si="202"/>
        <v/>
      </c>
      <c r="J368" s="147" t="str">
        <f t="shared" si="203"/>
        <v/>
      </c>
      <c r="K368" s="175" t="str">
        <f t="shared" si="194"/>
        <v/>
      </c>
      <c r="L368" s="149" t="str">
        <f t="shared" si="204"/>
        <v/>
      </c>
      <c r="M368" s="149" t="str">
        <f t="shared" si="205"/>
        <v/>
      </c>
      <c r="N368" s="149" t="str">
        <f t="shared" si="206"/>
        <v/>
      </c>
      <c r="P368" s="149" t="str">
        <f t="shared" si="207"/>
        <v/>
      </c>
      <c r="Q368" s="149" t="str">
        <f t="shared" si="208"/>
        <v/>
      </c>
      <c r="R368" s="176" t="str">
        <f t="shared" si="209"/>
        <v/>
      </c>
      <c r="S368" s="113" t="str">
        <f t="shared" si="210"/>
        <v/>
      </c>
      <c r="T368" s="113" t="str">
        <f t="shared" si="195"/>
        <v/>
      </c>
      <c r="U368" s="114" t="str">
        <f t="shared" si="211"/>
        <v/>
      </c>
      <c r="V368" s="114" t="str">
        <f t="shared" si="212"/>
        <v/>
      </c>
      <c r="W368" s="114" t="str">
        <f t="shared" si="213"/>
        <v/>
      </c>
      <c r="X368" s="114"/>
      <c r="Y368" s="149" t="str">
        <f t="shared" si="214"/>
        <v/>
      </c>
      <c r="Z368" s="149" t="str">
        <f t="shared" si="215"/>
        <v/>
      </c>
      <c r="AA368" s="176" t="str">
        <f t="shared" si="216"/>
        <v/>
      </c>
      <c r="AB368" s="113" t="str">
        <f t="shared" si="217"/>
        <v/>
      </c>
      <c r="AC368" s="113" t="str">
        <f t="shared" si="196"/>
        <v/>
      </c>
      <c r="AD368" s="114" t="str">
        <f t="shared" si="218"/>
        <v/>
      </c>
      <c r="AE368" s="114" t="str">
        <f t="shared" si="219"/>
        <v/>
      </c>
      <c r="AF368" s="114" t="str">
        <f t="shared" si="220"/>
        <v/>
      </c>
      <c r="AG368" s="114"/>
      <c r="AH368" s="176" t="str">
        <f t="shared" si="221"/>
        <v/>
      </c>
      <c r="AI368" s="176" t="str">
        <f t="shared" si="222"/>
        <v/>
      </c>
      <c r="AJ368" s="176" t="str">
        <f t="shared" si="223"/>
        <v/>
      </c>
      <c r="AK368" s="113" t="str">
        <f t="shared" si="224"/>
        <v/>
      </c>
      <c r="AL368" s="113" t="str">
        <f t="shared" si="197"/>
        <v/>
      </c>
      <c r="AM368" s="114" t="str">
        <f t="shared" si="225"/>
        <v/>
      </c>
      <c r="AN368" s="114" t="str">
        <f t="shared" si="226"/>
        <v/>
      </c>
      <c r="AO368" s="114" t="str">
        <f t="shared" si="227"/>
        <v/>
      </c>
    </row>
    <row r="369" spans="1:41" x14ac:dyDescent="0.3">
      <c r="A369" s="146">
        <f t="shared" si="198"/>
        <v>347</v>
      </c>
      <c r="B369" s="147" t="str">
        <f t="shared" si="191"/>
        <v/>
      </c>
      <c r="C369" s="147" t="str">
        <f t="shared" si="190"/>
        <v/>
      </c>
      <c r="D369" s="149" t="str">
        <f t="shared" si="199"/>
        <v/>
      </c>
      <c r="E369" s="149" t="str">
        <f t="shared" si="200"/>
        <v/>
      </c>
      <c r="F369" s="149" t="str">
        <f t="shared" si="192"/>
        <v/>
      </c>
      <c r="G369" s="149" t="str">
        <f t="shared" si="193"/>
        <v/>
      </c>
      <c r="H369" s="149" t="str">
        <f t="shared" si="201"/>
        <v/>
      </c>
      <c r="I369" s="149" t="str">
        <f t="shared" si="202"/>
        <v/>
      </c>
      <c r="J369" s="147" t="str">
        <f t="shared" si="203"/>
        <v/>
      </c>
      <c r="K369" s="175" t="str">
        <f t="shared" si="194"/>
        <v/>
      </c>
      <c r="L369" s="149" t="str">
        <f t="shared" si="204"/>
        <v/>
      </c>
      <c r="M369" s="149" t="str">
        <f t="shared" si="205"/>
        <v/>
      </c>
      <c r="N369" s="149" t="str">
        <f t="shared" si="206"/>
        <v/>
      </c>
      <c r="P369" s="149" t="str">
        <f t="shared" si="207"/>
        <v/>
      </c>
      <c r="Q369" s="149" t="str">
        <f t="shared" si="208"/>
        <v/>
      </c>
      <c r="R369" s="176" t="str">
        <f t="shared" si="209"/>
        <v/>
      </c>
      <c r="S369" s="113" t="str">
        <f t="shared" si="210"/>
        <v/>
      </c>
      <c r="T369" s="113" t="str">
        <f t="shared" si="195"/>
        <v/>
      </c>
      <c r="U369" s="114" t="str">
        <f t="shared" si="211"/>
        <v/>
      </c>
      <c r="V369" s="114" t="str">
        <f t="shared" si="212"/>
        <v/>
      </c>
      <c r="W369" s="114" t="str">
        <f t="shared" si="213"/>
        <v/>
      </c>
      <c r="X369" s="114"/>
      <c r="Y369" s="149" t="str">
        <f t="shared" si="214"/>
        <v/>
      </c>
      <c r="Z369" s="149" t="str">
        <f t="shared" si="215"/>
        <v/>
      </c>
      <c r="AA369" s="176" t="str">
        <f t="shared" si="216"/>
        <v/>
      </c>
      <c r="AB369" s="113" t="str">
        <f t="shared" si="217"/>
        <v/>
      </c>
      <c r="AC369" s="113" t="str">
        <f t="shared" si="196"/>
        <v/>
      </c>
      <c r="AD369" s="114" t="str">
        <f t="shared" si="218"/>
        <v/>
      </c>
      <c r="AE369" s="114" t="str">
        <f t="shared" si="219"/>
        <v/>
      </c>
      <c r="AF369" s="114" t="str">
        <f t="shared" si="220"/>
        <v/>
      </c>
      <c r="AG369" s="114"/>
      <c r="AH369" s="176" t="str">
        <f t="shared" si="221"/>
        <v/>
      </c>
      <c r="AI369" s="176" t="str">
        <f t="shared" si="222"/>
        <v/>
      </c>
      <c r="AJ369" s="176" t="str">
        <f t="shared" si="223"/>
        <v/>
      </c>
      <c r="AK369" s="113" t="str">
        <f t="shared" si="224"/>
        <v/>
      </c>
      <c r="AL369" s="113" t="str">
        <f t="shared" si="197"/>
        <v/>
      </c>
      <c r="AM369" s="114" t="str">
        <f t="shared" si="225"/>
        <v/>
      </c>
      <c r="AN369" s="114" t="str">
        <f t="shared" si="226"/>
        <v/>
      </c>
      <c r="AO369" s="114" t="str">
        <f t="shared" si="227"/>
        <v/>
      </c>
    </row>
    <row r="370" spans="1:41" x14ac:dyDescent="0.3">
      <c r="A370" s="146">
        <f t="shared" si="198"/>
        <v>348</v>
      </c>
      <c r="B370" s="147" t="str">
        <f t="shared" si="191"/>
        <v/>
      </c>
      <c r="C370" s="147" t="str">
        <f t="shared" si="190"/>
        <v/>
      </c>
      <c r="D370" s="149" t="str">
        <f t="shared" si="199"/>
        <v/>
      </c>
      <c r="E370" s="149" t="str">
        <f t="shared" si="200"/>
        <v/>
      </c>
      <c r="F370" s="149" t="str">
        <f t="shared" si="192"/>
        <v/>
      </c>
      <c r="G370" s="149" t="str">
        <f t="shared" si="193"/>
        <v/>
      </c>
      <c r="H370" s="149" t="str">
        <f t="shared" si="201"/>
        <v/>
      </c>
      <c r="I370" s="149" t="str">
        <f t="shared" si="202"/>
        <v/>
      </c>
      <c r="J370" s="147" t="str">
        <f t="shared" si="203"/>
        <v/>
      </c>
      <c r="K370" s="175" t="str">
        <f t="shared" si="194"/>
        <v/>
      </c>
      <c r="L370" s="149" t="str">
        <f t="shared" si="204"/>
        <v/>
      </c>
      <c r="M370" s="149" t="str">
        <f t="shared" si="205"/>
        <v/>
      </c>
      <c r="N370" s="149" t="str">
        <f t="shared" si="206"/>
        <v/>
      </c>
      <c r="P370" s="149" t="str">
        <f t="shared" si="207"/>
        <v/>
      </c>
      <c r="Q370" s="149" t="str">
        <f t="shared" si="208"/>
        <v/>
      </c>
      <c r="R370" s="176" t="str">
        <f t="shared" si="209"/>
        <v/>
      </c>
      <c r="S370" s="113" t="str">
        <f t="shared" si="210"/>
        <v/>
      </c>
      <c r="T370" s="113" t="str">
        <f t="shared" si="195"/>
        <v/>
      </c>
      <c r="U370" s="114" t="str">
        <f t="shared" si="211"/>
        <v/>
      </c>
      <c r="V370" s="114" t="str">
        <f t="shared" si="212"/>
        <v/>
      </c>
      <c r="W370" s="114" t="str">
        <f t="shared" si="213"/>
        <v/>
      </c>
      <c r="X370" s="114"/>
      <c r="Y370" s="149" t="str">
        <f t="shared" si="214"/>
        <v/>
      </c>
      <c r="Z370" s="149" t="str">
        <f t="shared" si="215"/>
        <v/>
      </c>
      <c r="AA370" s="176" t="str">
        <f t="shared" si="216"/>
        <v/>
      </c>
      <c r="AB370" s="113" t="str">
        <f t="shared" si="217"/>
        <v/>
      </c>
      <c r="AC370" s="113" t="str">
        <f t="shared" si="196"/>
        <v/>
      </c>
      <c r="AD370" s="114" t="str">
        <f t="shared" si="218"/>
        <v/>
      </c>
      <c r="AE370" s="114" t="str">
        <f t="shared" si="219"/>
        <v/>
      </c>
      <c r="AF370" s="114" t="str">
        <f t="shared" si="220"/>
        <v/>
      </c>
      <c r="AG370" s="114"/>
      <c r="AH370" s="176" t="str">
        <f t="shared" si="221"/>
        <v/>
      </c>
      <c r="AI370" s="176" t="str">
        <f t="shared" si="222"/>
        <v/>
      </c>
      <c r="AJ370" s="176" t="str">
        <f t="shared" si="223"/>
        <v/>
      </c>
      <c r="AK370" s="113" t="str">
        <f t="shared" si="224"/>
        <v/>
      </c>
      <c r="AL370" s="113" t="str">
        <f t="shared" si="197"/>
        <v/>
      </c>
      <c r="AM370" s="114" t="str">
        <f t="shared" si="225"/>
        <v/>
      </c>
      <c r="AN370" s="114" t="str">
        <f t="shared" si="226"/>
        <v/>
      </c>
      <c r="AO370" s="114" t="str">
        <f t="shared" si="227"/>
        <v/>
      </c>
    </row>
    <row r="371" spans="1:41" x14ac:dyDescent="0.3">
      <c r="A371" s="146">
        <f t="shared" si="198"/>
        <v>349</v>
      </c>
      <c r="B371" s="147" t="str">
        <f t="shared" si="191"/>
        <v/>
      </c>
      <c r="C371" s="147" t="str">
        <f t="shared" si="190"/>
        <v/>
      </c>
      <c r="D371" s="149" t="str">
        <f t="shared" si="199"/>
        <v/>
      </c>
      <c r="E371" s="149" t="str">
        <f t="shared" si="200"/>
        <v/>
      </c>
      <c r="F371" s="149" t="str">
        <f t="shared" si="192"/>
        <v/>
      </c>
      <c r="G371" s="149" t="str">
        <f t="shared" si="193"/>
        <v/>
      </c>
      <c r="H371" s="149" t="str">
        <f t="shared" si="201"/>
        <v/>
      </c>
      <c r="I371" s="149" t="str">
        <f t="shared" si="202"/>
        <v/>
      </c>
      <c r="J371" s="147" t="str">
        <f t="shared" si="203"/>
        <v/>
      </c>
      <c r="K371" s="175" t="str">
        <f t="shared" si="194"/>
        <v/>
      </c>
      <c r="L371" s="149" t="str">
        <f t="shared" si="204"/>
        <v/>
      </c>
      <c r="M371" s="149" t="str">
        <f t="shared" si="205"/>
        <v/>
      </c>
      <c r="N371" s="149" t="str">
        <f t="shared" si="206"/>
        <v/>
      </c>
      <c r="P371" s="149" t="str">
        <f t="shared" si="207"/>
        <v/>
      </c>
      <c r="Q371" s="149" t="str">
        <f t="shared" si="208"/>
        <v/>
      </c>
      <c r="R371" s="176" t="str">
        <f t="shared" si="209"/>
        <v/>
      </c>
      <c r="S371" s="113" t="str">
        <f t="shared" si="210"/>
        <v/>
      </c>
      <c r="T371" s="113" t="str">
        <f t="shared" si="195"/>
        <v/>
      </c>
      <c r="U371" s="114" t="str">
        <f t="shared" si="211"/>
        <v/>
      </c>
      <c r="V371" s="114" t="str">
        <f t="shared" si="212"/>
        <v/>
      </c>
      <c r="W371" s="114" t="str">
        <f t="shared" si="213"/>
        <v/>
      </c>
      <c r="X371" s="114"/>
      <c r="Y371" s="149" t="str">
        <f t="shared" si="214"/>
        <v/>
      </c>
      <c r="Z371" s="149" t="str">
        <f t="shared" si="215"/>
        <v/>
      </c>
      <c r="AA371" s="176" t="str">
        <f t="shared" si="216"/>
        <v/>
      </c>
      <c r="AB371" s="113" t="str">
        <f t="shared" si="217"/>
        <v/>
      </c>
      <c r="AC371" s="113" t="str">
        <f t="shared" si="196"/>
        <v/>
      </c>
      <c r="AD371" s="114" t="str">
        <f t="shared" si="218"/>
        <v/>
      </c>
      <c r="AE371" s="114" t="str">
        <f t="shared" si="219"/>
        <v/>
      </c>
      <c r="AF371" s="114" t="str">
        <f t="shared" si="220"/>
        <v/>
      </c>
      <c r="AG371" s="114"/>
      <c r="AH371" s="176" t="str">
        <f t="shared" si="221"/>
        <v/>
      </c>
      <c r="AI371" s="176" t="str">
        <f t="shared" si="222"/>
        <v/>
      </c>
      <c r="AJ371" s="176" t="str">
        <f t="shared" si="223"/>
        <v/>
      </c>
      <c r="AK371" s="113" t="str">
        <f t="shared" si="224"/>
        <v/>
      </c>
      <c r="AL371" s="113" t="str">
        <f t="shared" si="197"/>
        <v/>
      </c>
      <c r="AM371" s="114" t="str">
        <f t="shared" si="225"/>
        <v/>
      </c>
      <c r="AN371" s="114" t="str">
        <f t="shared" si="226"/>
        <v/>
      </c>
      <c r="AO371" s="114" t="str">
        <f t="shared" si="227"/>
        <v/>
      </c>
    </row>
    <row r="372" spans="1:41" x14ac:dyDescent="0.3">
      <c r="A372" s="146">
        <f t="shared" si="198"/>
        <v>350</v>
      </c>
      <c r="B372" s="147" t="str">
        <f t="shared" si="191"/>
        <v/>
      </c>
      <c r="C372" s="147" t="str">
        <f t="shared" si="190"/>
        <v/>
      </c>
      <c r="D372" s="149" t="str">
        <f t="shared" si="199"/>
        <v/>
      </c>
      <c r="E372" s="149" t="str">
        <f t="shared" si="200"/>
        <v/>
      </c>
      <c r="F372" s="149" t="str">
        <f t="shared" si="192"/>
        <v/>
      </c>
      <c r="G372" s="149" t="str">
        <f t="shared" si="193"/>
        <v/>
      </c>
      <c r="H372" s="149" t="str">
        <f t="shared" si="201"/>
        <v/>
      </c>
      <c r="I372" s="149" t="str">
        <f t="shared" si="202"/>
        <v/>
      </c>
      <c r="J372" s="147" t="str">
        <f t="shared" si="203"/>
        <v/>
      </c>
      <c r="K372" s="175" t="str">
        <f t="shared" si="194"/>
        <v/>
      </c>
      <c r="L372" s="149" t="str">
        <f t="shared" si="204"/>
        <v/>
      </c>
      <c r="M372" s="149" t="str">
        <f t="shared" si="205"/>
        <v/>
      </c>
      <c r="N372" s="149" t="str">
        <f t="shared" si="206"/>
        <v/>
      </c>
      <c r="P372" s="149" t="str">
        <f t="shared" si="207"/>
        <v/>
      </c>
      <c r="Q372" s="149" t="str">
        <f t="shared" si="208"/>
        <v/>
      </c>
      <c r="R372" s="176" t="str">
        <f t="shared" si="209"/>
        <v/>
      </c>
      <c r="S372" s="113" t="str">
        <f t="shared" si="210"/>
        <v/>
      </c>
      <c r="T372" s="113" t="str">
        <f t="shared" si="195"/>
        <v/>
      </c>
      <c r="U372" s="114" t="str">
        <f t="shared" si="211"/>
        <v/>
      </c>
      <c r="V372" s="114" t="str">
        <f t="shared" si="212"/>
        <v/>
      </c>
      <c r="W372" s="114" t="str">
        <f t="shared" si="213"/>
        <v/>
      </c>
      <c r="X372" s="114"/>
      <c r="Y372" s="149" t="str">
        <f t="shared" si="214"/>
        <v/>
      </c>
      <c r="Z372" s="149" t="str">
        <f t="shared" si="215"/>
        <v/>
      </c>
      <c r="AA372" s="176" t="str">
        <f t="shared" si="216"/>
        <v/>
      </c>
      <c r="AB372" s="113" t="str">
        <f t="shared" si="217"/>
        <v/>
      </c>
      <c r="AC372" s="113" t="str">
        <f t="shared" si="196"/>
        <v/>
      </c>
      <c r="AD372" s="114" t="str">
        <f t="shared" si="218"/>
        <v/>
      </c>
      <c r="AE372" s="114" t="str">
        <f t="shared" si="219"/>
        <v/>
      </c>
      <c r="AF372" s="114" t="str">
        <f t="shared" si="220"/>
        <v/>
      </c>
      <c r="AG372" s="114"/>
      <c r="AH372" s="176" t="str">
        <f t="shared" si="221"/>
        <v/>
      </c>
      <c r="AI372" s="176" t="str">
        <f t="shared" si="222"/>
        <v/>
      </c>
      <c r="AJ372" s="176" t="str">
        <f t="shared" si="223"/>
        <v/>
      </c>
      <c r="AK372" s="113" t="str">
        <f t="shared" si="224"/>
        <v/>
      </c>
      <c r="AL372" s="113" t="str">
        <f t="shared" si="197"/>
        <v/>
      </c>
      <c r="AM372" s="114" t="str">
        <f t="shared" si="225"/>
        <v/>
      </c>
      <c r="AN372" s="114" t="str">
        <f t="shared" si="226"/>
        <v/>
      </c>
      <c r="AO372" s="114" t="str">
        <f t="shared" si="227"/>
        <v/>
      </c>
    </row>
    <row r="373" spans="1:41" x14ac:dyDescent="0.3">
      <c r="A373" s="146">
        <f t="shared" si="198"/>
        <v>351</v>
      </c>
      <c r="B373" s="147" t="str">
        <f t="shared" si="191"/>
        <v/>
      </c>
      <c r="C373" s="147" t="str">
        <f t="shared" si="190"/>
        <v/>
      </c>
      <c r="D373" s="149" t="str">
        <f t="shared" si="199"/>
        <v/>
      </c>
      <c r="E373" s="149" t="str">
        <f t="shared" si="200"/>
        <v/>
      </c>
      <c r="F373" s="149" t="str">
        <f t="shared" si="192"/>
        <v/>
      </c>
      <c r="G373" s="149" t="str">
        <f t="shared" si="193"/>
        <v/>
      </c>
      <c r="H373" s="149" t="str">
        <f t="shared" si="201"/>
        <v/>
      </c>
      <c r="I373" s="149" t="str">
        <f t="shared" si="202"/>
        <v/>
      </c>
      <c r="J373" s="147" t="str">
        <f t="shared" si="203"/>
        <v/>
      </c>
      <c r="K373" s="175" t="str">
        <f t="shared" si="194"/>
        <v/>
      </c>
      <c r="L373" s="149" t="str">
        <f t="shared" si="204"/>
        <v/>
      </c>
      <c r="M373" s="149" t="str">
        <f t="shared" si="205"/>
        <v/>
      </c>
      <c r="N373" s="149" t="str">
        <f t="shared" si="206"/>
        <v/>
      </c>
      <c r="P373" s="149" t="str">
        <f t="shared" si="207"/>
        <v/>
      </c>
      <c r="Q373" s="149" t="str">
        <f t="shared" si="208"/>
        <v/>
      </c>
      <c r="R373" s="176" t="str">
        <f t="shared" si="209"/>
        <v/>
      </c>
      <c r="S373" s="113" t="str">
        <f t="shared" si="210"/>
        <v/>
      </c>
      <c r="T373" s="113" t="str">
        <f t="shared" si="195"/>
        <v/>
      </c>
      <c r="U373" s="114" t="str">
        <f t="shared" si="211"/>
        <v/>
      </c>
      <c r="V373" s="114" t="str">
        <f t="shared" si="212"/>
        <v/>
      </c>
      <c r="W373" s="114" t="str">
        <f t="shared" si="213"/>
        <v/>
      </c>
      <c r="X373" s="114"/>
      <c r="Y373" s="149" t="str">
        <f t="shared" si="214"/>
        <v/>
      </c>
      <c r="Z373" s="149" t="str">
        <f t="shared" si="215"/>
        <v/>
      </c>
      <c r="AA373" s="176" t="str">
        <f t="shared" si="216"/>
        <v/>
      </c>
      <c r="AB373" s="113" t="str">
        <f t="shared" si="217"/>
        <v/>
      </c>
      <c r="AC373" s="113" t="str">
        <f t="shared" si="196"/>
        <v/>
      </c>
      <c r="AD373" s="114" t="str">
        <f t="shared" si="218"/>
        <v/>
      </c>
      <c r="AE373" s="114" t="str">
        <f t="shared" si="219"/>
        <v/>
      </c>
      <c r="AF373" s="114" t="str">
        <f t="shared" si="220"/>
        <v/>
      </c>
      <c r="AG373" s="114"/>
      <c r="AH373" s="176" t="str">
        <f t="shared" si="221"/>
        <v/>
      </c>
      <c r="AI373" s="176" t="str">
        <f t="shared" si="222"/>
        <v/>
      </c>
      <c r="AJ373" s="176" t="str">
        <f t="shared" si="223"/>
        <v/>
      </c>
      <c r="AK373" s="113" t="str">
        <f t="shared" si="224"/>
        <v/>
      </c>
      <c r="AL373" s="113" t="str">
        <f t="shared" si="197"/>
        <v/>
      </c>
      <c r="AM373" s="114" t="str">
        <f t="shared" si="225"/>
        <v/>
      </c>
      <c r="AN373" s="114" t="str">
        <f t="shared" si="226"/>
        <v/>
      </c>
      <c r="AO373" s="114" t="str">
        <f t="shared" si="227"/>
        <v/>
      </c>
    </row>
    <row r="374" spans="1:41" x14ac:dyDescent="0.3">
      <c r="A374" s="146">
        <f t="shared" si="198"/>
        <v>352</v>
      </c>
      <c r="B374" s="147" t="str">
        <f t="shared" si="191"/>
        <v/>
      </c>
      <c r="C374" s="147" t="str">
        <f t="shared" si="190"/>
        <v/>
      </c>
      <c r="D374" s="149" t="str">
        <f t="shared" si="199"/>
        <v/>
      </c>
      <c r="E374" s="149" t="str">
        <f t="shared" si="200"/>
        <v/>
      </c>
      <c r="F374" s="149" t="str">
        <f t="shared" si="192"/>
        <v/>
      </c>
      <c r="G374" s="149" t="str">
        <f t="shared" si="193"/>
        <v/>
      </c>
      <c r="H374" s="149" t="str">
        <f t="shared" si="201"/>
        <v/>
      </c>
      <c r="I374" s="149" t="str">
        <f t="shared" si="202"/>
        <v/>
      </c>
      <c r="J374" s="147" t="str">
        <f t="shared" si="203"/>
        <v/>
      </c>
      <c r="K374" s="175" t="str">
        <f t="shared" si="194"/>
        <v/>
      </c>
      <c r="L374" s="149" t="str">
        <f t="shared" si="204"/>
        <v/>
      </c>
      <c r="M374" s="149" t="str">
        <f t="shared" si="205"/>
        <v/>
      </c>
      <c r="N374" s="149" t="str">
        <f t="shared" si="206"/>
        <v/>
      </c>
      <c r="P374" s="149" t="str">
        <f t="shared" si="207"/>
        <v/>
      </c>
      <c r="Q374" s="149" t="str">
        <f t="shared" si="208"/>
        <v/>
      </c>
      <c r="R374" s="176" t="str">
        <f t="shared" si="209"/>
        <v/>
      </c>
      <c r="S374" s="113" t="str">
        <f t="shared" si="210"/>
        <v/>
      </c>
      <c r="T374" s="113" t="str">
        <f t="shared" si="195"/>
        <v/>
      </c>
      <c r="U374" s="114" t="str">
        <f t="shared" si="211"/>
        <v/>
      </c>
      <c r="V374" s="114" t="str">
        <f t="shared" si="212"/>
        <v/>
      </c>
      <c r="W374" s="114" t="str">
        <f t="shared" si="213"/>
        <v/>
      </c>
      <c r="X374" s="114"/>
      <c r="Y374" s="149" t="str">
        <f t="shared" si="214"/>
        <v/>
      </c>
      <c r="Z374" s="149" t="str">
        <f t="shared" si="215"/>
        <v/>
      </c>
      <c r="AA374" s="176" t="str">
        <f t="shared" si="216"/>
        <v/>
      </c>
      <c r="AB374" s="113" t="str">
        <f t="shared" si="217"/>
        <v/>
      </c>
      <c r="AC374" s="113" t="str">
        <f t="shared" si="196"/>
        <v/>
      </c>
      <c r="AD374" s="114" t="str">
        <f t="shared" si="218"/>
        <v/>
      </c>
      <c r="AE374" s="114" t="str">
        <f t="shared" si="219"/>
        <v/>
      </c>
      <c r="AF374" s="114" t="str">
        <f t="shared" si="220"/>
        <v/>
      </c>
      <c r="AG374" s="114"/>
      <c r="AH374" s="176" t="str">
        <f t="shared" si="221"/>
        <v/>
      </c>
      <c r="AI374" s="176" t="str">
        <f t="shared" si="222"/>
        <v/>
      </c>
      <c r="AJ374" s="176" t="str">
        <f t="shared" si="223"/>
        <v/>
      </c>
      <c r="AK374" s="113" t="str">
        <f t="shared" si="224"/>
        <v/>
      </c>
      <c r="AL374" s="113" t="str">
        <f t="shared" si="197"/>
        <v/>
      </c>
      <c r="AM374" s="114" t="str">
        <f t="shared" si="225"/>
        <v/>
      </c>
      <c r="AN374" s="114" t="str">
        <f t="shared" si="226"/>
        <v/>
      </c>
      <c r="AO374" s="114" t="str">
        <f t="shared" si="227"/>
        <v/>
      </c>
    </row>
    <row r="375" spans="1:41" x14ac:dyDescent="0.3">
      <c r="A375" s="146">
        <f t="shared" si="198"/>
        <v>353</v>
      </c>
      <c r="B375" s="147" t="str">
        <f t="shared" si="191"/>
        <v/>
      </c>
      <c r="C375" s="147" t="str">
        <f t="shared" si="190"/>
        <v/>
      </c>
      <c r="D375" s="149" t="str">
        <f t="shared" si="199"/>
        <v/>
      </c>
      <c r="E375" s="149" t="str">
        <f t="shared" si="200"/>
        <v/>
      </c>
      <c r="F375" s="149" t="str">
        <f t="shared" si="192"/>
        <v/>
      </c>
      <c r="G375" s="149" t="str">
        <f t="shared" si="193"/>
        <v/>
      </c>
      <c r="H375" s="149" t="str">
        <f t="shared" si="201"/>
        <v/>
      </c>
      <c r="I375" s="149" t="str">
        <f t="shared" si="202"/>
        <v/>
      </c>
      <c r="J375" s="147" t="str">
        <f t="shared" si="203"/>
        <v/>
      </c>
      <c r="K375" s="175" t="str">
        <f t="shared" si="194"/>
        <v/>
      </c>
      <c r="L375" s="149" t="str">
        <f t="shared" si="204"/>
        <v/>
      </c>
      <c r="M375" s="149" t="str">
        <f t="shared" si="205"/>
        <v/>
      </c>
      <c r="N375" s="149" t="str">
        <f t="shared" si="206"/>
        <v/>
      </c>
      <c r="P375" s="149" t="str">
        <f t="shared" si="207"/>
        <v/>
      </c>
      <c r="Q375" s="149" t="str">
        <f t="shared" si="208"/>
        <v/>
      </c>
      <c r="R375" s="176" t="str">
        <f t="shared" si="209"/>
        <v/>
      </c>
      <c r="S375" s="113" t="str">
        <f t="shared" si="210"/>
        <v/>
      </c>
      <c r="T375" s="113" t="str">
        <f t="shared" si="195"/>
        <v/>
      </c>
      <c r="U375" s="114" t="str">
        <f t="shared" si="211"/>
        <v/>
      </c>
      <c r="V375" s="114" t="str">
        <f t="shared" si="212"/>
        <v/>
      </c>
      <c r="W375" s="114" t="str">
        <f t="shared" si="213"/>
        <v/>
      </c>
      <c r="X375" s="114"/>
      <c r="Y375" s="149" t="str">
        <f t="shared" si="214"/>
        <v/>
      </c>
      <c r="Z375" s="149" t="str">
        <f t="shared" si="215"/>
        <v/>
      </c>
      <c r="AA375" s="176" t="str">
        <f t="shared" si="216"/>
        <v/>
      </c>
      <c r="AB375" s="113" t="str">
        <f t="shared" si="217"/>
        <v/>
      </c>
      <c r="AC375" s="113" t="str">
        <f t="shared" si="196"/>
        <v/>
      </c>
      <c r="AD375" s="114" t="str">
        <f t="shared" si="218"/>
        <v/>
      </c>
      <c r="AE375" s="114" t="str">
        <f t="shared" si="219"/>
        <v/>
      </c>
      <c r="AF375" s="114" t="str">
        <f t="shared" si="220"/>
        <v/>
      </c>
      <c r="AG375" s="114"/>
      <c r="AH375" s="176" t="str">
        <f t="shared" si="221"/>
        <v/>
      </c>
      <c r="AI375" s="176" t="str">
        <f t="shared" si="222"/>
        <v/>
      </c>
      <c r="AJ375" s="176" t="str">
        <f t="shared" si="223"/>
        <v/>
      </c>
      <c r="AK375" s="113" t="str">
        <f t="shared" si="224"/>
        <v/>
      </c>
      <c r="AL375" s="113" t="str">
        <f t="shared" si="197"/>
        <v/>
      </c>
      <c r="AM375" s="114" t="str">
        <f t="shared" si="225"/>
        <v/>
      </c>
      <c r="AN375" s="114" t="str">
        <f t="shared" si="226"/>
        <v/>
      </c>
      <c r="AO375" s="114" t="str">
        <f t="shared" si="227"/>
        <v/>
      </c>
    </row>
    <row r="376" spans="1:41" x14ac:dyDescent="0.3">
      <c r="A376" s="146">
        <f t="shared" si="198"/>
        <v>354</v>
      </c>
      <c r="B376" s="147" t="str">
        <f t="shared" si="191"/>
        <v/>
      </c>
      <c r="C376" s="147" t="str">
        <f t="shared" si="190"/>
        <v/>
      </c>
      <c r="D376" s="149" t="str">
        <f t="shared" si="199"/>
        <v/>
      </c>
      <c r="E376" s="149" t="str">
        <f t="shared" si="200"/>
        <v/>
      </c>
      <c r="F376" s="149" t="str">
        <f t="shared" si="192"/>
        <v/>
      </c>
      <c r="G376" s="149" t="str">
        <f t="shared" si="193"/>
        <v/>
      </c>
      <c r="H376" s="149" t="str">
        <f t="shared" si="201"/>
        <v/>
      </c>
      <c r="I376" s="149" t="str">
        <f t="shared" si="202"/>
        <v/>
      </c>
      <c r="J376" s="147" t="str">
        <f t="shared" si="203"/>
        <v/>
      </c>
      <c r="K376" s="175" t="str">
        <f t="shared" si="194"/>
        <v/>
      </c>
      <c r="L376" s="149" t="str">
        <f t="shared" si="204"/>
        <v/>
      </c>
      <c r="M376" s="149" t="str">
        <f t="shared" si="205"/>
        <v/>
      </c>
      <c r="N376" s="149" t="str">
        <f t="shared" si="206"/>
        <v/>
      </c>
      <c r="P376" s="149" t="str">
        <f t="shared" si="207"/>
        <v/>
      </c>
      <c r="Q376" s="149" t="str">
        <f t="shared" si="208"/>
        <v/>
      </c>
      <c r="R376" s="176" t="str">
        <f t="shared" si="209"/>
        <v/>
      </c>
      <c r="S376" s="113" t="str">
        <f t="shared" si="210"/>
        <v/>
      </c>
      <c r="T376" s="113" t="str">
        <f t="shared" si="195"/>
        <v/>
      </c>
      <c r="U376" s="114" t="str">
        <f t="shared" si="211"/>
        <v/>
      </c>
      <c r="V376" s="114" t="str">
        <f t="shared" si="212"/>
        <v/>
      </c>
      <c r="W376" s="114" t="str">
        <f t="shared" si="213"/>
        <v/>
      </c>
      <c r="X376" s="114"/>
      <c r="Y376" s="149" t="str">
        <f t="shared" si="214"/>
        <v/>
      </c>
      <c r="Z376" s="149" t="str">
        <f t="shared" si="215"/>
        <v/>
      </c>
      <c r="AA376" s="176" t="str">
        <f t="shared" si="216"/>
        <v/>
      </c>
      <c r="AB376" s="113" t="str">
        <f t="shared" si="217"/>
        <v/>
      </c>
      <c r="AC376" s="113" t="str">
        <f t="shared" si="196"/>
        <v/>
      </c>
      <c r="AD376" s="114" t="str">
        <f t="shared" si="218"/>
        <v/>
      </c>
      <c r="AE376" s="114" t="str">
        <f t="shared" si="219"/>
        <v/>
      </c>
      <c r="AF376" s="114" t="str">
        <f t="shared" si="220"/>
        <v/>
      </c>
      <c r="AG376" s="114"/>
      <c r="AH376" s="176" t="str">
        <f t="shared" si="221"/>
        <v/>
      </c>
      <c r="AI376" s="176" t="str">
        <f t="shared" si="222"/>
        <v/>
      </c>
      <c r="AJ376" s="176" t="str">
        <f t="shared" si="223"/>
        <v/>
      </c>
      <c r="AK376" s="113" t="str">
        <f t="shared" si="224"/>
        <v/>
      </c>
      <c r="AL376" s="113" t="str">
        <f t="shared" si="197"/>
        <v/>
      </c>
      <c r="AM376" s="114" t="str">
        <f t="shared" si="225"/>
        <v/>
      </c>
      <c r="AN376" s="114" t="str">
        <f t="shared" si="226"/>
        <v/>
      </c>
      <c r="AO376" s="114" t="str">
        <f t="shared" si="227"/>
        <v/>
      </c>
    </row>
    <row r="377" spans="1:41" x14ac:dyDescent="0.3">
      <c r="A377" s="146">
        <f t="shared" si="198"/>
        <v>355</v>
      </c>
      <c r="B377" s="147" t="str">
        <f t="shared" si="191"/>
        <v/>
      </c>
      <c r="C377" s="147" t="str">
        <f t="shared" si="190"/>
        <v/>
      </c>
      <c r="D377" s="149" t="str">
        <f t="shared" si="199"/>
        <v/>
      </c>
      <c r="E377" s="149" t="str">
        <f t="shared" si="200"/>
        <v/>
      </c>
      <c r="F377" s="149" t="str">
        <f t="shared" si="192"/>
        <v/>
      </c>
      <c r="G377" s="149" t="str">
        <f t="shared" si="193"/>
        <v/>
      </c>
      <c r="H377" s="149" t="str">
        <f t="shared" si="201"/>
        <v/>
      </c>
      <c r="I377" s="149" t="str">
        <f t="shared" si="202"/>
        <v/>
      </c>
      <c r="J377" s="147" t="str">
        <f t="shared" si="203"/>
        <v/>
      </c>
      <c r="K377" s="175" t="str">
        <f t="shared" si="194"/>
        <v/>
      </c>
      <c r="L377" s="149" t="str">
        <f t="shared" si="204"/>
        <v/>
      </c>
      <c r="M377" s="149" t="str">
        <f t="shared" si="205"/>
        <v/>
      </c>
      <c r="N377" s="149" t="str">
        <f t="shared" si="206"/>
        <v/>
      </c>
      <c r="P377" s="149" t="str">
        <f t="shared" si="207"/>
        <v/>
      </c>
      <c r="Q377" s="149" t="str">
        <f t="shared" si="208"/>
        <v/>
      </c>
      <c r="R377" s="176" t="str">
        <f t="shared" si="209"/>
        <v/>
      </c>
      <c r="S377" s="113" t="str">
        <f t="shared" si="210"/>
        <v/>
      </c>
      <c r="T377" s="113" t="str">
        <f t="shared" si="195"/>
        <v/>
      </c>
      <c r="U377" s="114" t="str">
        <f t="shared" si="211"/>
        <v/>
      </c>
      <c r="V377" s="114" t="str">
        <f t="shared" si="212"/>
        <v/>
      </c>
      <c r="W377" s="114" t="str">
        <f t="shared" si="213"/>
        <v/>
      </c>
      <c r="X377" s="114"/>
      <c r="Y377" s="149" t="str">
        <f t="shared" si="214"/>
        <v/>
      </c>
      <c r="Z377" s="149" t="str">
        <f t="shared" si="215"/>
        <v/>
      </c>
      <c r="AA377" s="176" t="str">
        <f t="shared" si="216"/>
        <v/>
      </c>
      <c r="AB377" s="113" t="str">
        <f t="shared" si="217"/>
        <v/>
      </c>
      <c r="AC377" s="113" t="str">
        <f t="shared" si="196"/>
        <v/>
      </c>
      <c r="AD377" s="114" t="str">
        <f t="shared" si="218"/>
        <v/>
      </c>
      <c r="AE377" s="114" t="str">
        <f t="shared" si="219"/>
        <v/>
      </c>
      <c r="AF377" s="114" t="str">
        <f t="shared" si="220"/>
        <v/>
      </c>
      <c r="AG377" s="114"/>
      <c r="AH377" s="176" t="str">
        <f t="shared" si="221"/>
        <v/>
      </c>
      <c r="AI377" s="176" t="str">
        <f t="shared" si="222"/>
        <v/>
      </c>
      <c r="AJ377" s="176" t="str">
        <f t="shared" si="223"/>
        <v/>
      </c>
      <c r="AK377" s="113" t="str">
        <f t="shared" si="224"/>
        <v/>
      </c>
      <c r="AL377" s="113" t="str">
        <f t="shared" si="197"/>
        <v/>
      </c>
      <c r="AM377" s="114" t="str">
        <f t="shared" si="225"/>
        <v/>
      </c>
      <c r="AN377" s="114" t="str">
        <f t="shared" si="226"/>
        <v/>
      </c>
      <c r="AO377" s="114" t="str">
        <f t="shared" si="227"/>
        <v/>
      </c>
    </row>
    <row r="378" spans="1:41" x14ac:dyDescent="0.3">
      <c r="A378" s="146">
        <f t="shared" si="198"/>
        <v>356</v>
      </c>
      <c r="B378" s="147" t="str">
        <f t="shared" si="191"/>
        <v/>
      </c>
      <c r="C378" s="147" t="str">
        <f t="shared" si="190"/>
        <v/>
      </c>
      <c r="D378" s="149" t="str">
        <f t="shared" si="199"/>
        <v/>
      </c>
      <c r="E378" s="149" t="str">
        <f t="shared" si="200"/>
        <v/>
      </c>
      <c r="F378" s="149" t="str">
        <f t="shared" si="192"/>
        <v/>
      </c>
      <c r="G378" s="149" t="str">
        <f t="shared" si="193"/>
        <v/>
      </c>
      <c r="H378" s="149" t="str">
        <f t="shared" si="201"/>
        <v/>
      </c>
      <c r="I378" s="149" t="str">
        <f t="shared" si="202"/>
        <v/>
      </c>
      <c r="J378" s="147" t="str">
        <f t="shared" si="203"/>
        <v/>
      </c>
      <c r="K378" s="175" t="str">
        <f t="shared" si="194"/>
        <v/>
      </c>
      <c r="L378" s="149" t="str">
        <f t="shared" si="204"/>
        <v/>
      </c>
      <c r="M378" s="149" t="str">
        <f t="shared" si="205"/>
        <v/>
      </c>
      <c r="N378" s="149" t="str">
        <f t="shared" si="206"/>
        <v/>
      </c>
      <c r="P378" s="149" t="str">
        <f t="shared" si="207"/>
        <v/>
      </c>
      <c r="Q378" s="149" t="str">
        <f t="shared" si="208"/>
        <v/>
      </c>
      <c r="R378" s="176" t="str">
        <f t="shared" si="209"/>
        <v/>
      </c>
      <c r="S378" s="113" t="str">
        <f t="shared" si="210"/>
        <v/>
      </c>
      <c r="T378" s="113" t="str">
        <f t="shared" si="195"/>
        <v/>
      </c>
      <c r="U378" s="114" t="str">
        <f t="shared" si="211"/>
        <v/>
      </c>
      <c r="V378" s="114" t="str">
        <f t="shared" si="212"/>
        <v/>
      </c>
      <c r="W378" s="114" t="str">
        <f t="shared" si="213"/>
        <v/>
      </c>
      <c r="X378" s="114"/>
      <c r="Y378" s="149" t="str">
        <f t="shared" si="214"/>
        <v/>
      </c>
      <c r="Z378" s="149" t="str">
        <f t="shared" si="215"/>
        <v/>
      </c>
      <c r="AA378" s="176" t="str">
        <f t="shared" si="216"/>
        <v/>
      </c>
      <c r="AB378" s="113" t="str">
        <f t="shared" si="217"/>
        <v/>
      </c>
      <c r="AC378" s="113" t="str">
        <f t="shared" si="196"/>
        <v/>
      </c>
      <c r="AD378" s="114" t="str">
        <f t="shared" si="218"/>
        <v/>
      </c>
      <c r="AE378" s="114" t="str">
        <f t="shared" si="219"/>
        <v/>
      </c>
      <c r="AF378" s="114" t="str">
        <f t="shared" si="220"/>
        <v/>
      </c>
      <c r="AG378" s="114"/>
      <c r="AH378" s="176" t="str">
        <f t="shared" si="221"/>
        <v/>
      </c>
      <c r="AI378" s="176" t="str">
        <f t="shared" si="222"/>
        <v/>
      </c>
      <c r="AJ378" s="176" t="str">
        <f t="shared" si="223"/>
        <v/>
      </c>
      <c r="AK378" s="113" t="str">
        <f t="shared" si="224"/>
        <v/>
      </c>
      <c r="AL378" s="113" t="str">
        <f t="shared" si="197"/>
        <v/>
      </c>
      <c r="AM378" s="114" t="str">
        <f t="shared" si="225"/>
        <v/>
      </c>
      <c r="AN378" s="114" t="str">
        <f t="shared" si="226"/>
        <v/>
      </c>
      <c r="AO378" s="114" t="str">
        <f t="shared" si="227"/>
        <v/>
      </c>
    </row>
    <row r="379" spans="1:41" x14ac:dyDescent="0.3">
      <c r="A379" s="146">
        <f t="shared" si="198"/>
        <v>357</v>
      </c>
      <c r="B379" s="147" t="str">
        <f t="shared" si="191"/>
        <v/>
      </c>
      <c r="C379" s="147" t="str">
        <f t="shared" si="190"/>
        <v/>
      </c>
      <c r="D379" s="149" t="str">
        <f t="shared" si="199"/>
        <v/>
      </c>
      <c r="E379" s="149" t="str">
        <f t="shared" si="200"/>
        <v/>
      </c>
      <c r="F379" s="149" t="str">
        <f t="shared" si="192"/>
        <v/>
      </c>
      <c r="G379" s="149" t="str">
        <f t="shared" si="193"/>
        <v/>
      </c>
      <c r="H379" s="149" t="str">
        <f t="shared" si="201"/>
        <v/>
      </c>
      <c r="I379" s="149" t="str">
        <f t="shared" si="202"/>
        <v/>
      </c>
      <c r="J379" s="147" t="str">
        <f t="shared" si="203"/>
        <v/>
      </c>
      <c r="K379" s="175" t="str">
        <f t="shared" si="194"/>
        <v/>
      </c>
      <c r="L379" s="149" t="str">
        <f t="shared" si="204"/>
        <v/>
      </c>
      <c r="M379" s="149" t="str">
        <f t="shared" si="205"/>
        <v/>
      </c>
      <c r="N379" s="149" t="str">
        <f t="shared" si="206"/>
        <v/>
      </c>
      <c r="P379" s="149" t="str">
        <f t="shared" si="207"/>
        <v/>
      </c>
      <c r="Q379" s="149" t="str">
        <f t="shared" si="208"/>
        <v/>
      </c>
      <c r="R379" s="176" t="str">
        <f t="shared" si="209"/>
        <v/>
      </c>
      <c r="S379" s="113" t="str">
        <f t="shared" si="210"/>
        <v/>
      </c>
      <c r="T379" s="113" t="str">
        <f t="shared" si="195"/>
        <v/>
      </c>
      <c r="U379" s="114" t="str">
        <f t="shared" si="211"/>
        <v/>
      </c>
      <c r="V379" s="114" t="str">
        <f t="shared" si="212"/>
        <v/>
      </c>
      <c r="W379" s="114" t="str">
        <f t="shared" si="213"/>
        <v/>
      </c>
      <c r="X379" s="114"/>
      <c r="Y379" s="149" t="str">
        <f t="shared" si="214"/>
        <v/>
      </c>
      <c r="Z379" s="149" t="str">
        <f t="shared" si="215"/>
        <v/>
      </c>
      <c r="AA379" s="176" t="str">
        <f t="shared" si="216"/>
        <v/>
      </c>
      <c r="AB379" s="113" t="str">
        <f t="shared" si="217"/>
        <v/>
      </c>
      <c r="AC379" s="113" t="str">
        <f t="shared" si="196"/>
        <v/>
      </c>
      <c r="AD379" s="114" t="str">
        <f t="shared" si="218"/>
        <v/>
      </c>
      <c r="AE379" s="114" t="str">
        <f t="shared" si="219"/>
        <v/>
      </c>
      <c r="AF379" s="114" t="str">
        <f t="shared" si="220"/>
        <v/>
      </c>
      <c r="AG379" s="114"/>
      <c r="AH379" s="176" t="str">
        <f t="shared" si="221"/>
        <v/>
      </c>
      <c r="AI379" s="176" t="str">
        <f t="shared" si="222"/>
        <v/>
      </c>
      <c r="AJ379" s="176" t="str">
        <f t="shared" si="223"/>
        <v/>
      </c>
      <c r="AK379" s="113" t="str">
        <f t="shared" si="224"/>
        <v/>
      </c>
      <c r="AL379" s="113" t="str">
        <f t="shared" si="197"/>
        <v/>
      </c>
      <c r="AM379" s="114" t="str">
        <f t="shared" si="225"/>
        <v/>
      </c>
      <c r="AN379" s="114" t="str">
        <f t="shared" si="226"/>
        <v/>
      </c>
      <c r="AO379" s="114" t="str">
        <f t="shared" si="227"/>
        <v/>
      </c>
    </row>
    <row r="380" spans="1:41" x14ac:dyDescent="0.3">
      <c r="A380" s="146">
        <f>A379+1</f>
        <v>358</v>
      </c>
      <c r="B380" s="147" t="str">
        <f t="shared" si="191"/>
        <v/>
      </c>
      <c r="C380" s="147" t="str">
        <f t="shared" si="190"/>
        <v/>
      </c>
      <c r="D380" s="149" t="str">
        <f t="shared" si="199"/>
        <v/>
      </c>
      <c r="E380" s="149" t="str">
        <f t="shared" si="200"/>
        <v/>
      </c>
      <c r="F380" s="149" t="str">
        <f t="shared" si="192"/>
        <v/>
      </c>
      <c r="G380" s="149" t="str">
        <f t="shared" si="193"/>
        <v/>
      </c>
      <c r="H380" s="149" t="str">
        <f t="shared" si="201"/>
        <v/>
      </c>
      <c r="I380" s="149" t="str">
        <f t="shared" si="202"/>
        <v/>
      </c>
      <c r="J380" s="147" t="str">
        <f t="shared" si="203"/>
        <v/>
      </c>
      <c r="K380" s="175" t="str">
        <f t="shared" si="194"/>
        <v/>
      </c>
      <c r="L380" s="149" t="str">
        <f t="shared" si="204"/>
        <v/>
      </c>
      <c r="M380" s="149" t="str">
        <f t="shared" si="205"/>
        <v/>
      </c>
      <c r="N380" s="149" t="str">
        <f t="shared" si="206"/>
        <v/>
      </c>
      <c r="P380" s="149" t="str">
        <f t="shared" si="207"/>
        <v/>
      </c>
      <c r="Q380" s="149" t="str">
        <f t="shared" si="208"/>
        <v/>
      </c>
      <c r="R380" s="176" t="str">
        <f t="shared" si="209"/>
        <v/>
      </c>
      <c r="S380" s="113" t="str">
        <f t="shared" si="210"/>
        <v/>
      </c>
      <c r="T380" s="113" t="str">
        <f t="shared" si="195"/>
        <v/>
      </c>
      <c r="U380" s="114" t="str">
        <f t="shared" si="211"/>
        <v/>
      </c>
      <c r="V380" s="114" t="str">
        <f t="shared" si="212"/>
        <v/>
      </c>
      <c r="W380" s="114" t="str">
        <f t="shared" si="213"/>
        <v/>
      </c>
      <c r="X380" s="114"/>
      <c r="Y380" s="149" t="str">
        <f t="shared" si="214"/>
        <v/>
      </c>
      <c r="Z380" s="149" t="str">
        <f t="shared" si="215"/>
        <v/>
      </c>
      <c r="AA380" s="176" t="str">
        <f t="shared" si="216"/>
        <v/>
      </c>
      <c r="AB380" s="113" t="str">
        <f t="shared" si="217"/>
        <v/>
      </c>
      <c r="AC380" s="113" t="str">
        <f t="shared" si="196"/>
        <v/>
      </c>
      <c r="AD380" s="114" t="str">
        <f t="shared" si="218"/>
        <v/>
      </c>
      <c r="AE380" s="114" t="str">
        <f t="shared" si="219"/>
        <v/>
      </c>
      <c r="AF380" s="114" t="str">
        <f t="shared" si="220"/>
        <v/>
      </c>
      <c r="AG380" s="114"/>
      <c r="AH380" s="176" t="str">
        <f t="shared" si="221"/>
        <v/>
      </c>
      <c r="AI380" s="176" t="str">
        <f t="shared" si="222"/>
        <v/>
      </c>
      <c r="AJ380" s="176" t="str">
        <f t="shared" si="223"/>
        <v/>
      </c>
      <c r="AK380" s="113" t="str">
        <f t="shared" si="224"/>
        <v/>
      </c>
      <c r="AL380" s="113" t="str">
        <f t="shared" si="197"/>
        <v/>
      </c>
      <c r="AM380" s="114" t="str">
        <f t="shared" si="225"/>
        <v/>
      </c>
      <c r="AN380" s="114" t="str">
        <f t="shared" si="226"/>
        <v/>
      </c>
      <c r="AO380" s="114" t="str">
        <f t="shared" si="227"/>
        <v/>
      </c>
    </row>
    <row r="381" spans="1:41" x14ac:dyDescent="0.3">
      <c r="A381" s="146">
        <f>A380+1</f>
        <v>359</v>
      </c>
      <c r="B381" s="147" t="str">
        <f t="shared" si="191"/>
        <v/>
      </c>
      <c r="C381" s="147" t="str">
        <f t="shared" si="190"/>
        <v/>
      </c>
      <c r="D381" s="149" t="str">
        <f t="shared" si="199"/>
        <v/>
      </c>
      <c r="E381" s="149" t="str">
        <f t="shared" si="200"/>
        <v/>
      </c>
      <c r="F381" s="149" t="str">
        <f t="shared" si="192"/>
        <v/>
      </c>
      <c r="G381" s="149" t="str">
        <f t="shared" si="193"/>
        <v/>
      </c>
      <c r="H381" s="149" t="str">
        <f t="shared" si="201"/>
        <v/>
      </c>
      <c r="I381" s="149" t="str">
        <f t="shared" si="202"/>
        <v/>
      </c>
      <c r="J381" s="147" t="str">
        <f t="shared" si="203"/>
        <v/>
      </c>
      <c r="K381" s="175" t="str">
        <f t="shared" si="194"/>
        <v/>
      </c>
      <c r="L381" s="149" t="str">
        <f t="shared" si="204"/>
        <v/>
      </c>
      <c r="M381" s="149" t="str">
        <f t="shared" si="205"/>
        <v/>
      </c>
      <c r="N381" s="149" t="str">
        <f t="shared" si="206"/>
        <v/>
      </c>
      <c r="P381" s="149" t="str">
        <f t="shared" si="207"/>
        <v/>
      </c>
      <c r="Q381" s="149" t="str">
        <f t="shared" si="208"/>
        <v/>
      </c>
      <c r="R381" s="176" t="str">
        <f t="shared" si="209"/>
        <v/>
      </c>
      <c r="S381" s="113" t="str">
        <f t="shared" si="210"/>
        <v/>
      </c>
      <c r="T381" s="113" t="str">
        <f t="shared" si="195"/>
        <v/>
      </c>
      <c r="U381" s="114" t="str">
        <f t="shared" si="211"/>
        <v/>
      </c>
      <c r="V381" s="114" t="str">
        <f t="shared" si="212"/>
        <v/>
      </c>
      <c r="W381" s="114" t="str">
        <f t="shared" si="213"/>
        <v/>
      </c>
      <c r="X381" s="114"/>
      <c r="Y381" s="149" t="str">
        <f t="shared" si="214"/>
        <v/>
      </c>
      <c r="Z381" s="149" t="str">
        <f t="shared" si="215"/>
        <v/>
      </c>
      <c r="AA381" s="176" t="str">
        <f t="shared" si="216"/>
        <v/>
      </c>
      <c r="AB381" s="113" t="str">
        <f t="shared" si="217"/>
        <v/>
      </c>
      <c r="AC381" s="113" t="str">
        <f t="shared" si="196"/>
        <v/>
      </c>
      <c r="AD381" s="114" t="str">
        <f t="shared" si="218"/>
        <v/>
      </c>
      <c r="AE381" s="114" t="str">
        <f t="shared" si="219"/>
        <v/>
      </c>
      <c r="AF381" s="114" t="str">
        <f t="shared" si="220"/>
        <v/>
      </c>
      <c r="AG381" s="114"/>
      <c r="AH381" s="176" t="str">
        <f t="shared" si="221"/>
        <v/>
      </c>
      <c r="AI381" s="176" t="str">
        <f t="shared" si="222"/>
        <v/>
      </c>
      <c r="AJ381" s="176" t="str">
        <f t="shared" si="223"/>
        <v/>
      </c>
      <c r="AK381" s="113" t="str">
        <f t="shared" si="224"/>
        <v/>
      </c>
      <c r="AL381" s="113" t="str">
        <f t="shared" si="197"/>
        <v/>
      </c>
      <c r="AM381" s="114" t="str">
        <f t="shared" si="225"/>
        <v/>
      </c>
      <c r="AN381" s="114" t="str">
        <f t="shared" si="226"/>
        <v/>
      </c>
      <c r="AO381" s="114" t="str">
        <f t="shared" si="227"/>
        <v/>
      </c>
    </row>
    <row r="382" spans="1:41" x14ac:dyDescent="0.3">
      <c r="A382" s="146">
        <f>A381+1</f>
        <v>360</v>
      </c>
      <c r="B382" s="147" t="str">
        <f t="shared" si="191"/>
        <v/>
      </c>
      <c r="C382" s="147" t="str">
        <f>IF($A382&gt;$B$4,"",$B$11*$B$13-B382)</f>
        <v/>
      </c>
      <c r="D382" s="149" t="str">
        <f t="shared" si="199"/>
        <v/>
      </c>
      <c r="E382" s="149" t="str">
        <f t="shared" si="200"/>
        <v/>
      </c>
      <c r="F382" s="149" t="str">
        <f t="shared" si="192"/>
        <v/>
      </c>
      <c r="G382" s="149" t="str">
        <f t="shared" si="193"/>
        <v/>
      </c>
      <c r="H382" s="149" t="str">
        <f t="shared" si="201"/>
        <v/>
      </c>
      <c r="I382" s="149" t="str">
        <f t="shared" si="202"/>
        <v/>
      </c>
      <c r="J382" s="147" t="str">
        <f t="shared" si="203"/>
        <v/>
      </c>
      <c r="K382" s="175" t="str">
        <f>IF(A382&gt;$B$4,"",1-(1-J382)^(1/$B$11))</f>
        <v/>
      </c>
      <c r="L382" s="149" t="str">
        <f t="shared" si="204"/>
        <v/>
      </c>
      <c r="M382" s="149" t="str">
        <f t="shared" si="205"/>
        <v/>
      </c>
      <c r="N382" s="149" t="str">
        <f t="shared" si="206"/>
        <v/>
      </c>
      <c r="P382" s="149" t="str">
        <f t="shared" si="207"/>
        <v/>
      </c>
      <c r="Q382" s="149" t="str">
        <f t="shared" si="208"/>
        <v/>
      </c>
      <c r="R382" s="176" t="str">
        <f t="shared" si="209"/>
        <v/>
      </c>
      <c r="Y382" s="149" t="str">
        <f t="shared" si="214"/>
        <v/>
      </c>
      <c r="Z382" s="149" t="str">
        <f t="shared" ref="Z382" si="228">IF($A382&gt;$B$4,"",IF(Y381&gt;0,$H$7*Y381,""))</f>
        <v/>
      </c>
      <c r="AA382" s="176" t="str">
        <f t="shared" si="216"/>
        <v/>
      </c>
      <c r="AH382" s="176" t="str">
        <f t="shared" si="221"/>
        <v/>
      </c>
      <c r="AI382" s="176" t="str">
        <f t="shared" si="222"/>
        <v/>
      </c>
      <c r="AJ382" s="176" t="str">
        <f t="shared" si="223"/>
        <v/>
      </c>
    </row>
  </sheetData>
  <mergeCells count="7">
    <mergeCell ref="AH19:AO19"/>
    <mergeCell ref="E18:M18"/>
    <mergeCell ref="E19:I19"/>
    <mergeCell ref="J19:L19"/>
    <mergeCell ref="M19:N19"/>
    <mergeCell ref="P19:W19"/>
    <mergeCell ref="Y19:AF19"/>
  </mergeCells>
  <pageMargins left="0.7" right="0.7" top="0.75" bottom="0.75" header="0.3" footer="0.3"/>
  <pageSetup orientation="portrait" horizontalDpi="360" verticalDpi="360"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62734-6163-47DC-990F-4850A4BC8F10}">
  <sheetPr codeName="Sheet10"/>
  <dimension ref="A2:AZ382"/>
  <sheetViews>
    <sheetView tabSelected="1" topLeftCell="F13" zoomScaleNormal="100" workbookViewId="0">
      <selection activeCell="AO18" sqref="AO18"/>
    </sheetView>
  </sheetViews>
  <sheetFormatPr defaultColWidth="9.1796875" defaultRowHeight="13" outlineLevelRow="1" x14ac:dyDescent="0.3"/>
  <cols>
    <col min="1" max="1" width="32.1796875" style="146" customWidth="1"/>
    <col min="2" max="2" width="11.81640625" style="147" customWidth="1"/>
    <col min="3" max="3" width="8.54296875" style="147" bestFit="1" customWidth="1"/>
    <col min="4" max="4" width="12.26953125" style="147" bestFit="1" customWidth="1"/>
    <col min="5" max="5" width="10.26953125" style="147" bestFit="1" customWidth="1"/>
    <col min="6" max="6" width="12.26953125" style="147" bestFit="1" customWidth="1"/>
    <col min="7" max="7" width="10.7265625" style="147" customWidth="1"/>
    <col min="8" max="8" width="9.26953125" style="147" bestFit="1" customWidth="1"/>
    <col min="9" max="9" width="10.26953125" style="147" bestFit="1" customWidth="1"/>
    <col min="10" max="10" width="6.1796875" style="147" bestFit="1" customWidth="1"/>
    <col min="11" max="11" width="7.7265625" style="147" bestFit="1" customWidth="1"/>
    <col min="12" max="14" width="10.26953125" style="147" bestFit="1" customWidth="1"/>
    <col min="15" max="15" width="3" style="147" customWidth="1"/>
    <col min="16" max="16" width="12.26953125" style="147" bestFit="1" customWidth="1"/>
    <col min="17" max="17" width="10.7265625" style="147" bestFit="1" customWidth="1"/>
    <col min="18" max="18" width="10.26953125" style="147" bestFit="1" customWidth="1"/>
    <col min="19" max="19" width="10.26953125" style="113" bestFit="1" customWidth="1"/>
    <col min="20" max="20" width="12.26953125" style="113" bestFit="1" customWidth="1"/>
    <col min="21" max="21" width="11" style="113" bestFit="1" customWidth="1"/>
    <col min="22" max="22" width="8.81640625" style="113" bestFit="1" customWidth="1"/>
    <col min="23" max="23" width="11.26953125" style="113" bestFit="1" customWidth="1"/>
    <col min="24" max="24" width="2.81640625" style="113" customWidth="1"/>
    <col min="25" max="25" width="12.26953125" style="147" bestFit="1" customWidth="1"/>
    <col min="26" max="26" width="10.7265625" style="147" bestFit="1" customWidth="1"/>
    <col min="27" max="27" width="10.26953125" style="147" bestFit="1" customWidth="1"/>
    <col min="28" max="28" width="10.26953125" style="113" bestFit="1" customWidth="1"/>
    <col min="29" max="29" width="12.26953125" style="113" bestFit="1" customWidth="1"/>
    <col min="30" max="30" width="11" style="113" bestFit="1" customWidth="1"/>
    <col min="31" max="31" width="8.81640625" style="113" bestFit="1" customWidth="1"/>
    <col min="32" max="32" width="11.26953125" style="113" bestFit="1" customWidth="1"/>
    <col min="33" max="33" width="2.7265625" style="113" customWidth="1"/>
    <col min="34" max="34" width="12.26953125" style="147" bestFit="1" customWidth="1"/>
    <col min="35" max="35" width="10.7265625" style="147" bestFit="1" customWidth="1"/>
    <col min="36" max="36" width="10.26953125" style="147" bestFit="1" customWidth="1"/>
    <col min="37" max="37" width="10.26953125" style="113" bestFit="1" customWidth="1"/>
    <col min="38" max="38" width="12.26953125" style="113" bestFit="1" customWidth="1"/>
    <col min="39" max="39" width="11" style="113" bestFit="1" customWidth="1"/>
    <col min="40" max="40" width="8.81640625" style="113" bestFit="1" customWidth="1"/>
    <col min="41" max="41" width="11.26953125" style="113" bestFit="1" customWidth="1"/>
    <col min="42" max="52" width="9.1796875" style="4"/>
    <col min="53" max="16384" width="9.1796875" style="147"/>
  </cols>
  <sheetData>
    <row r="2" spans="1:41" x14ac:dyDescent="0.3">
      <c r="E2" s="146"/>
    </row>
    <row r="3" spans="1:41" x14ac:dyDescent="0.3">
      <c r="A3" s="146" t="s">
        <v>227</v>
      </c>
      <c r="B3" s="148">
        <v>500000000</v>
      </c>
      <c r="C3" s="149"/>
    </row>
    <row r="4" spans="1:41" x14ac:dyDescent="0.3">
      <c r="A4" s="146" t="s">
        <v>231</v>
      </c>
      <c r="B4" s="150">
        <v>285</v>
      </c>
      <c r="H4" s="151" t="s">
        <v>226</v>
      </c>
      <c r="I4" s="146"/>
      <c r="J4" s="146"/>
      <c r="K4" s="146"/>
      <c r="L4" s="146"/>
    </row>
    <row r="5" spans="1:41" x14ac:dyDescent="0.3">
      <c r="A5" s="146" t="s">
        <v>233</v>
      </c>
      <c r="B5" s="152">
        <v>0.06</v>
      </c>
      <c r="C5" s="147" t="s">
        <v>234</v>
      </c>
      <c r="E5" s="151" t="s">
        <v>228</v>
      </c>
      <c r="F5" s="151" t="s">
        <v>229</v>
      </c>
      <c r="G5" s="151" t="s">
        <v>122</v>
      </c>
      <c r="H5" s="151" t="s">
        <v>230</v>
      </c>
      <c r="I5" s="146"/>
      <c r="J5" s="146"/>
      <c r="K5" s="146"/>
      <c r="L5" s="146"/>
    </row>
    <row r="6" spans="1:41" x14ac:dyDescent="0.3">
      <c r="A6" s="146" t="s">
        <v>236</v>
      </c>
      <c r="B6" s="152">
        <v>5.8000000000000003E-2</v>
      </c>
      <c r="C6" s="147" t="s">
        <v>237</v>
      </c>
      <c r="E6" s="151" t="s">
        <v>232</v>
      </c>
      <c r="F6" s="148">
        <v>200000000</v>
      </c>
      <c r="G6" s="147">
        <f>$B$6</f>
        <v>5.8000000000000003E-2</v>
      </c>
      <c r="H6" s="153">
        <f>IF(B$7=1,(1+G6/B$8)^(B$8/12)-1,G6/12)</f>
        <v>4.8333333333333336E-3</v>
      </c>
      <c r="I6" s="146"/>
      <c r="J6" s="146"/>
      <c r="K6" s="146"/>
      <c r="L6" s="146"/>
    </row>
    <row r="7" spans="1:41" x14ac:dyDescent="0.3">
      <c r="A7" s="146" t="s">
        <v>239</v>
      </c>
      <c r="B7" s="150">
        <v>0</v>
      </c>
      <c r="E7" s="151" t="s">
        <v>235</v>
      </c>
      <c r="F7" s="148">
        <v>200000000</v>
      </c>
      <c r="G7" s="147">
        <f>$B$6</f>
        <v>5.8000000000000003E-2</v>
      </c>
      <c r="H7" s="153">
        <f>IF(B$7=1,(1+G7/B$8)^(B$8/12)-1,G7/12)</f>
        <v>4.8333333333333336E-3</v>
      </c>
      <c r="I7" s="146"/>
      <c r="J7" s="146"/>
      <c r="K7" s="146"/>
      <c r="L7" s="146"/>
    </row>
    <row r="8" spans="1:41" x14ac:dyDescent="0.3">
      <c r="A8" s="146" t="s">
        <v>240</v>
      </c>
      <c r="B8" s="150">
        <v>12</v>
      </c>
      <c r="E8" s="151" t="s">
        <v>238</v>
      </c>
      <c r="F8" s="148">
        <v>100000000</v>
      </c>
      <c r="G8" s="147">
        <f>$B$6</f>
        <v>5.8000000000000003E-2</v>
      </c>
      <c r="H8" s="153">
        <f>IF(B$7=1,(1+G8/B$8)^(B$8/12)-1,G8/12)</f>
        <v>4.8333333333333336E-3</v>
      </c>
    </row>
    <row r="9" spans="1:41" x14ac:dyDescent="0.3">
      <c r="A9" s="146" t="s">
        <v>241</v>
      </c>
      <c r="B9" s="150">
        <v>75</v>
      </c>
      <c r="E9" s="151" t="s">
        <v>212</v>
      </c>
      <c r="F9" s="149">
        <f>SUM(F6:F8)</f>
        <v>500000000</v>
      </c>
      <c r="G9" s="154">
        <f ca="1">SUMPRODUCT(F6:F9,G6:G9)/F9</f>
        <v>3.7999999999999999E-2</v>
      </c>
      <c r="H9" s="153"/>
    </row>
    <row r="10" spans="1:41" x14ac:dyDescent="0.3">
      <c r="A10" s="146" t="s">
        <v>242</v>
      </c>
      <c r="B10" s="152">
        <v>5.8500000000000003E-2</v>
      </c>
    </row>
    <row r="11" spans="1:41" x14ac:dyDescent="0.3">
      <c r="A11" s="146" t="s">
        <v>243</v>
      </c>
      <c r="B11" s="150">
        <v>12</v>
      </c>
    </row>
    <row r="13" spans="1:41" x14ac:dyDescent="0.3">
      <c r="A13" s="146" t="s">
        <v>244</v>
      </c>
      <c r="B13" s="155">
        <f>IF(B7=1,25,30)</f>
        <v>30</v>
      </c>
      <c r="V13" s="147"/>
      <c r="W13" s="114"/>
      <c r="X13" s="114"/>
      <c r="AB13" s="114"/>
      <c r="AK13" s="114"/>
    </row>
    <row r="14" spans="1:41" x14ac:dyDescent="0.3">
      <c r="A14" s="156" t="s">
        <v>293</v>
      </c>
      <c r="B14" s="155">
        <f>(1+B10/2)^(1/6)-1</f>
        <v>4.8166264420947957E-3</v>
      </c>
      <c r="U14" s="157"/>
      <c r="V14" s="158" t="s">
        <v>294</v>
      </c>
      <c r="W14" s="159"/>
      <c r="X14" s="114"/>
      <c r="AB14" s="114"/>
      <c r="AD14" s="157"/>
      <c r="AE14" s="158" t="s">
        <v>294</v>
      </c>
      <c r="AF14" s="159"/>
      <c r="AG14" s="114"/>
      <c r="AK14" s="114"/>
      <c r="AM14" s="157"/>
      <c r="AN14" s="158" t="s">
        <v>294</v>
      </c>
      <c r="AO14" s="159"/>
    </row>
    <row r="15" spans="1:41" x14ac:dyDescent="0.3">
      <c r="A15" s="146" t="s">
        <v>245</v>
      </c>
      <c r="B15" s="153">
        <f>IF(B$7=1,(1+B$5/B$8)^(B$8/12)-1,B$5/12)</f>
        <v>5.0000000000000001E-3</v>
      </c>
      <c r="C15" s="153"/>
      <c r="U15" s="160"/>
      <c r="V15" s="161" t="s">
        <v>295</v>
      </c>
      <c r="W15" s="160" t="s">
        <v>296</v>
      </c>
      <c r="X15" s="147"/>
      <c r="AB15" s="114"/>
      <c r="AD15" s="160"/>
      <c r="AE15" s="161" t="s">
        <v>295</v>
      </c>
      <c r="AF15" s="160" t="s">
        <v>296</v>
      </c>
      <c r="AG15" s="147"/>
      <c r="AK15" s="114"/>
      <c r="AM15" s="160"/>
      <c r="AN15" s="161" t="s">
        <v>295</v>
      </c>
      <c r="AO15" s="160" t="s">
        <v>296</v>
      </c>
    </row>
    <row r="16" spans="1:41" x14ac:dyDescent="0.3">
      <c r="A16" s="146" t="s">
        <v>246</v>
      </c>
      <c r="B16" s="153">
        <f>IF(B$7=1,(1+B$6/B$8)^(B$8/12)-1,B$6/12)</f>
        <v>4.8333333333333336E-3</v>
      </c>
      <c r="C16" s="153"/>
      <c r="U16" s="160" t="s">
        <v>297</v>
      </c>
      <c r="V16" s="162">
        <f>SUMPRODUCT(V$23:V$1048576,U$23:U$1048576)*6</f>
        <v>30.035051169368089</v>
      </c>
      <c r="W16" s="160"/>
      <c r="X16" s="147"/>
      <c r="AB16" s="115"/>
      <c r="AD16" s="160" t="s">
        <v>297</v>
      </c>
      <c r="AE16" s="162">
        <f>SUMPRODUCT(AE$23:AE$1048576,AD$23:AD$1048576)*6</f>
        <v>81.275210897994697</v>
      </c>
      <c r="AF16" s="160"/>
      <c r="AG16" s="147"/>
      <c r="AK16" s="115"/>
      <c r="AM16" s="160" t="s">
        <v>297</v>
      </c>
      <c r="AN16" s="162">
        <f>SUMPRODUCT(AN$23:AN$1048576,AM$23:AM$1048576)*6</f>
        <v>195.49172570127999</v>
      </c>
      <c r="AO16" s="160"/>
    </row>
    <row r="17" spans="1:41" x14ac:dyDescent="0.3">
      <c r="A17" s="146" t="s">
        <v>298</v>
      </c>
      <c r="B17" s="149">
        <f>B3/((1-1/(1+$B$15)^B4)/$B$15)</f>
        <v>3295387.8087847102</v>
      </c>
      <c r="C17" s="149"/>
      <c r="U17" s="160" t="s">
        <v>299</v>
      </c>
      <c r="V17" s="157"/>
      <c r="W17" s="162">
        <f>SUMPRODUCT(V$23:V$1000,W$23:W$1000)/((1+(B10/2))^2)</f>
        <v>37.8995653527166</v>
      </c>
      <c r="X17" s="163"/>
      <c r="AB17" s="114"/>
      <c r="AD17" s="160" t="s">
        <v>299</v>
      </c>
      <c r="AE17" s="157"/>
      <c r="AF17" s="162">
        <f>SUMPRODUCT(AE$23:AE$1000,AF$23:AF$1000)/((1+(B10/2))^2)</f>
        <v>221.1276574706344</v>
      </c>
      <c r="AG17" s="163"/>
      <c r="AK17" s="114"/>
      <c r="AM17" s="160" t="s">
        <v>299</v>
      </c>
      <c r="AN17" s="157"/>
      <c r="AO17" s="162">
        <f>SUMPRODUCT(AN$23:AN$1000,AO$23:AO$1000)/((1+(B10/2))^2)</f>
        <v>1072.9878052740985</v>
      </c>
    </row>
    <row r="18" spans="1:41" ht="15.5" x14ac:dyDescent="0.35">
      <c r="E18" s="221" t="s">
        <v>247</v>
      </c>
      <c r="F18" s="221"/>
      <c r="G18" s="221"/>
      <c r="H18" s="221"/>
      <c r="I18" s="221"/>
      <c r="J18" s="221"/>
      <c r="K18" s="221"/>
      <c r="L18" s="221"/>
      <c r="M18" s="221"/>
      <c r="N18" s="164"/>
      <c r="U18" s="160" t="s">
        <v>300</v>
      </c>
      <c r="V18" s="162">
        <f>SUMPRODUCT(V$23:V$1000,U$23:U$1000)/2</f>
        <v>2.5029209307806739</v>
      </c>
      <c r="W18" s="162">
        <f>W17/4</f>
        <v>9.47489133817915</v>
      </c>
      <c r="X18" s="115"/>
      <c r="AB18" s="115"/>
      <c r="AD18" s="160" t="s">
        <v>300</v>
      </c>
      <c r="AE18" s="162">
        <f>SUMPRODUCT(AE$23:AE$1000,AD$23:AD$1000)/2</f>
        <v>6.7729342414995575</v>
      </c>
      <c r="AF18" s="162">
        <f>AF17/4</f>
        <v>55.281914367658601</v>
      </c>
      <c r="AG18" s="115"/>
      <c r="AK18" s="115"/>
      <c r="AM18" s="160" t="s">
        <v>300</v>
      </c>
      <c r="AN18" s="162">
        <f>SUMPRODUCT(AN$23:AN$1000,AM$23:AM$1000)/2</f>
        <v>16.290977141773332</v>
      </c>
      <c r="AO18" s="162">
        <f>AO17/4</f>
        <v>268.24695131852462</v>
      </c>
    </row>
    <row r="19" spans="1:41" ht="15" customHeight="1" x14ac:dyDescent="0.3">
      <c r="B19" s="151" t="s">
        <v>248</v>
      </c>
      <c r="C19" s="151" t="s">
        <v>248</v>
      </c>
      <c r="E19" s="220" t="s">
        <v>249</v>
      </c>
      <c r="F19" s="220"/>
      <c r="G19" s="220"/>
      <c r="H19" s="220"/>
      <c r="I19" s="220"/>
      <c r="J19" s="222" t="s">
        <v>250</v>
      </c>
      <c r="K19" s="222"/>
      <c r="L19" s="222"/>
      <c r="M19" s="223" t="s">
        <v>212</v>
      </c>
      <c r="N19" s="223"/>
      <c r="P19" s="220" t="s">
        <v>251</v>
      </c>
      <c r="Q19" s="220"/>
      <c r="R19" s="220"/>
      <c r="S19" s="220"/>
      <c r="T19" s="220"/>
      <c r="U19" s="220"/>
      <c r="V19" s="220"/>
      <c r="W19" s="220"/>
      <c r="X19" s="151"/>
      <c r="Y19" s="224" t="s">
        <v>252</v>
      </c>
      <c r="Z19" s="224"/>
      <c r="AA19" s="224"/>
      <c r="AB19" s="224"/>
      <c r="AC19" s="224"/>
      <c r="AD19" s="224"/>
      <c r="AE19" s="224"/>
      <c r="AF19" s="224"/>
      <c r="AG19" s="151"/>
      <c r="AH19" s="220" t="s">
        <v>253</v>
      </c>
      <c r="AI19" s="220"/>
      <c r="AJ19" s="220"/>
      <c r="AK19" s="220"/>
      <c r="AL19" s="220"/>
      <c r="AM19" s="220"/>
      <c r="AN19" s="220"/>
      <c r="AO19" s="220"/>
    </row>
    <row r="20" spans="1:41" s="146" customFormat="1" x14ac:dyDescent="0.3">
      <c r="A20" s="146" t="s">
        <v>254</v>
      </c>
      <c r="B20" s="151" t="s">
        <v>255</v>
      </c>
      <c r="C20" s="151" t="s">
        <v>256</v>
      </c>
      <c r="D20" s="146" t="s">
        <v>257</v>
      </c>
      <c r="E20" s="165" t="s">
        <v>212</v>
      </c>
      <c r="F20" s="165" t="s">
        <v>258</v>
      </c>
      <c r="G20" s="165" t="s">
        <v>259</v>
      </c>
      <c r="H20" s="165" t="s">
        <v>260</v>
      </c>
      <c r="I20" s="165" t="s">
        <v>261</v>
      </c>
      <c r="J20" s="166" t="s">
        <v>262</v>
      </c>
      <c r="K20" s="166" t="s">
        <v>263</v>
      </c>
      <c r="L20" s="166" t="s">
        <v>264</v>
      </c>
      <c r="M20" s="167" t="s">
        <v>265</v>
      </c>
      <c r="N20" s="167" t="s">
        <v>266</v>
      </c>
      <c r="P20" s="169" t="s">
        <v>257</v>
      </c>
      <c r="Q20" s="165" t="s">
        <v>259</v>
      </c>
      <c r="R20" s="177" t="s">
        <v>267</v>
      </c>
      <c r="S20" s="118" t="s">
        <v>268</v>
      </c>
      <c r="T20" s="118" t="s">
        <v>65</v>
      </c>
      <c r="U20" s="118" t="s">
        <v>269</v>
      </c>
      <c r="V20" s="118" t="s">
        <v>270</v>
      </c>
      <c r="W20" s="118" t="s">
        <v>271</v>
      </c>
      <c r="X20" s="171"/>
      <c r="Y20" s="172" t="s">
        <v>257</v>
      </c>
      <c r="Z20" s="168" t="s">
        <v>259</v>
      </c>
      <c r="AA20" s="168" t="s">
        <v>267</v>
      </c>
      <c r="AB20" s="119" t="s">
        <v>268</v>
      </c>
      <c r="AC20" s="117" t="s">
        <v>65</v>
      </c>
      <c r="AD20" s="117" t="s">
        <v>269</v>
      </c>
      <c r="AE20" s="117" t="s">
        <v>270</v>
      </c>
      <c r="AF20" s="117" t="s">
        <v>271</v>
      </c>
      <c r="AG20" s="173"/>
      <c r="AH20" s="169" t="s">
        <v>257</v>
      </c>
      <c r="AI20" s="165" t="s">
        <v>259</v>
      </c>
      <c r="AJ20" s="165" t="s">
        <v>267</v>
      </c>
      <c r="AK20" s="118" t="s">
        <v>268</v>
      </c>
      <c r="AL20" s="116" t="s">
        <v>65</v>
      </c>
      <c r="AM20" s="116" t="s">
        <v>269</v>
      </c>
      <c r="AN20" s="116" t="s">
        <v>270</v>
      </c>
      <c r="AO20" s="116" t="s">
        <v>271</v>
      </c>
    </row>
    <row r="21" spans="1:41" x14ac:dyDescent="0.3">
      <c r="T21" s="174">
        <f>SUM(T23:T1000)</f>
        <v>200099891.46548027</v>
      </c>
      <c r="AC21" s="174">
        <f>SUM(AC23:AC1000)</f>
        <v>200270412.78959379</v>
      </c>
      <c r="AL21" s="174">
        <f>SUM(AL23:AL1000)</f>
        <v>100325545.20056547</v>
      </c>
    </row>
    <row r="22" spans="1:41" x14ac:dyDescent="0.3">
      <c r="A22" s="146">
        <v>0</v>
      </c>
      <c r="B22" s="147">
        <f>IF(A22&gt;$B$4,"",B$4-A22)</f>
        <v>285</v>
      </c>
      <c r="C22" s="147">
        <f t="shared" ref="C22:C85" si="0">IF($A22&gt;$B$4,"",$B$11*$B$13-B22)</f>
        <v>75</v>
      </c>
      <c r="D22" s="149">
        <f>B3</f>
        <v>500000000</v>
      </c>
      <c r="E22" s="149"/>
      <c r="F22" s="149"/>
      <c r="G22" s="149"/>
      <c r="H22" s="149"/>
      <c r="I22" s="149"/>
      <c r="P22" s="149">
        <f>$F6</f>
        <v>200000000</v>
      </c>
      <c r="Y22" s="149">
        <f>$F7</f>
        <v>200000000</v>
      </c>
      <c r="AH22" s="149">
        <f>$F8</f>
        <v>100000000</v>
      </c>
    </row>
    <row r="23" spans="1:41" x14ac:dyDescent="0.3">
      <c r="A23" s="146">
        <f>A22+1</f>
        <v>1</v>
      </c>
      <c r="B23" s="147">
        <f t="shared" ref="B23:B86" si="1">IF(A23&gt;$B$4,"",B$4-A23)</f>
        <v>284</v>
      </c>
      <c r="C23" s="147">
        <f t="shared" si="0"/>
        <v>76</v>
      </c>
      <c r="D23" s="149">
        <f>IF(A23&gt;$B$4,"",D22-I23-L23)</f>
        <v>497292836.73443139</v>
      </c>
      <c r="E23" s="149">
        <f>IF(A23&gt;$B$4,"",$B$17)</f>
        <v>3295387.8087847102</v>
      </c>
      <c r="F23" s="149">
        <f t="shared" ref="F23:F86" si="2">IF(A23&gt;$B$4,"",D22*$B$15)</f>
        <v>2500000</v>
      </c>
      <c r="G23" s="149">
        <f t="shared" ref="G23:G86" si="3">IF(A23&gt;$B$4,"",D22*$B$16)</f>
        <v>2416666.666666667</v>
      </c>
      <c r="H23" s="149">
        <f>IF(A23&gt;$B$4,"",F23-G23)</f>
        <v>83333.333333333023</v>
      </c>
      <c r="I23" s="149">
        <f>IF(A23&gt;$B$4,"",E23-F23)</f>
        <v>795387.80878471024</v>
      </c>
      <c r="J23" s="147">
        <f>IF(A23&gt;$B$4,"",$B$9/100*MIN(C23/30,1)*0.06)</f>
        <v>4.4999999999999998E-2</v>
      </c>
      <c r="K23" s="175">
        <f t="shared" ref="K23:K86" si="4">IF(A23&gt;$B$4,"",1-(1-J23)^(1/$B$11))</f>
        <v>3.8296430163020645E-3</v>
      </c>
      <c r="L23" s="149">
        <f>IF(A23&gt;$B$4,"",(D22-I23)*K23)</f>
        <v>1911775.4567838681</v>
      </c>
      <c r="M23" s="149">
        <f>IF(A23&gt;$B$4,"",G23+I23+L23)</f>
        <v>5123829.9322352456</v>
      </c>
      <c r="N23" s="149">
        <f>IF($A23&gt;$B$4,"",I23+L23)</f>
        <v>2707163.2655685786</v>
      </c>
      <c r="P23" s="149">
        <f>IF($A23&gt;$B$4,"",MAX(0,P22-R23))</f>
        <v>196809503.4010981</v>
      </c>
      <c r="Q23" s="149">
        <f>IF($A23&gt;$B$4,"",IF(P22&gt;0,$H$6*P22,0))</f>
        <v>966666.66666666674</v>
      </c>
      <c r="R23" s="178">
        <f>IF($A23&gt;$B$4,"",MIN(P22,$N23+AI23))</f>
        <v>3190496.5989019121</v>
      </c>
      <c r="S23" s="113">
        <f>IF($A23&gt;$B$4,"",Q23+R23)</f>
        <v>4157163.2655685786</v>
      </c>
      <c r="T23" s="113">
        <f t="shared" ref="T23:T86" si="5">IF(A23&gt;$B$4,"",S23/(1+$B$14)^(A23/$B$11*$B$8))</f>
        <v>4137235.7464749278</v>
      </c>
      <c r="U23" s="114">
        <f>IF($A23&gt;$B$4,"",A23/6)</f>
        <v>0.16666666666666666</v>
      </c>
      <c r="V23" s="114">
        <f>IF($A23&gt;$B$4,"",T23/$T$21)</f>
        <v>2.0675852026579698E-2</v>
      </c>
      <c r="W23" s="114">
        <f>IF($A23&gt;$B$4,"",U23*(U23+1))</f>
        <v>0.19444444444444445</v>
      </c>
      <c r="X23" s="114"/>
      <c r="Y23" s="149">
        <f>IF($A23&gt;$B$4,"",MAX(0,Y22-AA23))</f>
        <v>200000000</v>
      </c>
      <c r="Z23" s="149">
        <f>IF($A23&gt;$B$4,"",IF(Y22&gt;0,$H$7*Y22,0))</f>
        <v>966666.66666666674</v>
      </c>
      <c r="AA23" s="178">
        <f>IF($A23&gt;$B$4,"",IF(P23&gt;0,0,MIN(Y22,$N23-R23+AI23)))</f>
        <v>0</v>
      </c>
      <c r="AB23" s="113">
        <f>IF($A23&gt;$B$4,"",Z23+AA23)</f>
        <v>966666.66666666674</v>
      </c>
      <c r="AC23" s="113">
        <f t="shared" ref="AC23:AC86" si="6">IF(A23&gt;$B$4,"",AB23/(1+$B$14)^(A23/$B$11*$B$8))</f>
        <v>962032.91349734995</v>
      </c>
      <c r="AD23" s="114">
        <f>IF($A23&gt;$B$4,"",A23/6)</f>
        <v>0.16666666666666666</v>
      </c>
      <c r="AE23" s="114">
        <f>IF($A23&gt;$B$4,"",AC23/$AC$21)</f>
        <v>4.8036696988689584E-3</v>
      </c>
      <c r="AF23" s="114">
        <f>IF($A23&gt;$B$4,"",AD23*(AD23+1))</f>
        <v>0.19444444444444445</v>
      </c>
      <c r="AG23" s="114"/>
      <c r="AH23" s="176">
        <f>IF($A23&gt;$B$4,"",MAX(0,AH22-AJ23))</f>
        <v>100483333.33333333</v>
      </c>
      <c r="AI23" s="176">
        <f>IF($A23&gt;$B$4,"",IF(AH22&gt;0,$H$8*AH22,0))</f>
        <v>483333.33333333337</v>
      </c>
      <c r="AJ23" s="178">
        <f>IF($A23&gt;$B$4,"",IF(Y23&gt;0,-AI23,MIN(AH22,$N23-AA23)))</f>
        <v>-483333.33333333337</v>
      </c>
      <c r="AK23" s="113">
        <f>IF($A23&gt;$B$4,"",AI23+AJ23)</f>
        <v>0</v>
      </c>
      <c r="AL23" s="113">
        <f t="shared" ref="AL23:AL86" si="7">IF(A23&gt;$B$4,"",AK23/(1+$B$14)^(A23/$B$11*$B$8))</f>
        <v>0</v>
      </c>
      <c r="AM23" s="114">
        <f>IF($A23&gt;$B$4,"",A23/6)</f>
        <v>0.16666666666666666</v>
      </c>
      <c r="AN23" s="114">
        <f>IF($A23&gt;$B$4,"",AL23/$AL$21)</f>
        <v>0</v>
      </c>
      <c r="AO23" s="114">
        <f>IF($A23&gt;$B$4,"",AM23*(AM23+1))</f>
        <v>0.19444444444444445</v>
      </c>
    </row>
    <row r="24" spans="1:41" x14ac:dyDescent="0.3">
      <c r="A24" s="146">
        <f t="shared" ref="A24:A87" si="8">A23+1</f>
        <v>2</v>
      </c>
      <c r="B24" s="147">
        <f t="shared" si="1"/>
        <v>283</v>
      </c>
      <c r="C24" s="147">
        <f t="shared" si="0"/>
        <v>77</v>
      </c>
      <c r="D24" s="149">
        <f t="shared" ref="D24:D87" si="9">IF(A24&gt;$B$4,"",D23-I24-L24)</f>
        <v>494595128.78697789</v>
      </c>
      <c r="E24" s="149">
        <f t="shared" ref="E24:E87" si="10">IF(A24&gt;$B$4,"",MIN(E23*(1-K23),D23*(1+$B$15)))</f>
        <v>3282767.6498767911</v>
      </c>
      <c r="F24" s="149">
        <f t="shared" si="2"/>
        <v>2486464.1836721571</v>
      </c>
      <c r="G24" s="149">
        <f t="shared" si="3"/>
        <v>2403582.0442164186</v>
      </c>
      <c r="H24" s="149">
        <f t="shared" ref="H24:H87" si="11">IF(A24&gt;$B$4,"",F24-G24)</f>
        <v>82882.139455738477</v>
      </c>
      <c r="I24" s="149">
        <f t="shared" ref="I24:I87" si="12">IF(A24&gt;$B$4,"",E24-F24)</f>
        <v>796303.46620463394</v>
      </c>
      <c r="J24" s="147">
        <f t="shared" ref="J24:J87" si="13">IF(A24&gt;$B$4,"",$B$9/100*MIN(C24/30,1)*0.06)</f>
        <v>4.4999999999999998E-2</v>
      </c>
      <c r="K24" s="175">
        <f t="shared" si="4"/>
        <v>3.8296430163020645E-3</v>
      </c>
      <c r="L24" s="149">
        <f t="shared" ref="L24:L87" si="14">IF(A24&gt;$B$4,"",(D23-I24)*K24)</f>
        <v>1901404.4812488502</v>
      </c>
      <c r="M24" s="149">
        <f t="shared" ref="M24:M87" si="15">IF(A24&gt;$B$4,"",G24+I24+L24)</f>
        <v>5101289.9916699026</v>
      </c>
      <c r="N24" s="149">
        <f t="shared" ref="N24:N87" si="16">IF($A24&gt;$B$4,"",I24+L24)</f>
        <v>2697707.9474534839</v>
      </c>
      <c r="P24" s="149">
        <f t="shared" ref="P24:P87" si="17">IF($A24&gt;$B$4,"",MAX(0,P23-R24))</f>
        <v>193626126.00920019</v>
      </c>
      <c r="Q24" s="149">
        <f t="shared" ref="Q24:Q87" si="18">IF($A24&gt;$B$4,"",IF(P23&gt;0,$H$6*P23,0))</f>
        <v>951245.93310530751</v>
      </c>
      <c r="R24" s="178">
        <f t="shared" ref="R24:R87" si="19">IF($A24&gt;$B$4,"",MIN(P23,$N24+AI24))</f>
        <v>3183377.3918979284</v>
      </c>
      <c r="S24" s="113">
        <f t="shared" ref="S24:S87" si="20">IF($A24&gt;$B$4,"",Q24+R24)</f>
        <v>4134623.3250032361</v>
      </c>
      <c r="T24" s="113">
        <f t="shared" si="5"/>
        <v>4095079.3843208272</v>
      </c>
      <c r="U24" s="114">
        <f t="shared" ref="U24:U87" si="21">IF($A24&gt;$B$4,"",A24/6)</f>
        <v>0.33333333333333331</v>
      </c>
      <c r="V24" s="114">
        <f t="shared" ref="V24:V87" si="22">IF($A24&gt;$B$4,"",T24/$T$21)</f>
        <v>2.0465175439774188E-2</v>
      </c>
      <c r="W24" s="114">
        <f t="shared" ref="W24:W87" si="23">IF($A24&gt;$B$4,"",U24*(U24+1))</f>
        <v>0.44444444444444442</v>
      </c>
      <c r="X24" s="114"/>
      <c r="Y24" s="149">
        <f t="shared" ref="Y24:Y87" si="24">IF($A24&gt;$B$4,"",MAX(0,Y23-AA24))</f>
        <v>200000000</v>
      </c>
      <c r="Z24" s="149">
        <f t="shared" ref="Z24:Z87" si="25">IF($A24&gt;$B$4,"",IF(Y23&gt;0,$H$7*Y23,0))</f>
        <v>966666.66666666674</v>
      </c>
      <c r="AA24" s="178">
        <f t="shared" ref="AA24:AA87" si="26">IF($A24&gt;$B$4,"",IF(P24&gt;0,0,MIN(Y23,$N24-R24+AI24)))</f>
        <v>0</v>
      </c>
      <c r="AB24" s="113">
        <f t="shared" ref="AB24:AB87" si="27">IF($A24&gt;$B$4,"",Z24+AA24)</f>
        <v>966666.66666666674</v>
      </c>
      <c r="AC24" s="113">
        <f t="shared" si="6"/>
        <v>957421.37239882711</v>
      </c>
      <c r="AD24" s="114">
        <f t="shared" ref="AD24:AD87" si="28">IF($A24&gt;$B$4,"",A24/6)</f>
        <v>0.33333333333333331</v>
      </c>
      <c r="AE24" s="114">
        <f t="shared" ref="AE24:AE87" si="29">IF($A24&gt;$B$4,"",AC24/$AC$21)</f>
        <v>4.7806431267743187E-3</v>
      </c>
      <c r="AF24" s="114">
        <f t="shared" ref="AF24:AF87" si="30">IF($A24&gt;$B$4,"",AD24*(AD24+1))</f>
        <v>0.44444444444444442</v>
      </c>
      <c r="AG24" s="114"/>
      <c r="AH24" s="176">
        <f t="shared" ref="AH24:AH87" si="31">IF($A24&gt;$B$4,"",MAX(0,AH23-AJ24))</f>
        <v>100969002.77777778</v>
      </c>
      <c r="AI24" s="176">
        <f t="shared" ref="AI24:AI87" si="32">IF($A24&gt;$B$4,"",IF(AH23&gt;0,$H$8*AH23,0))</f>
        <v>485669.44444444444</v>
      </c>
      <c r="AJ24" s="178">
        <f t="shared" ref="AJ24:AJ87" si="33">IF($A24&gt;$B$4,"",IF(Y24&gt;0,-AI24,MIN(AH23,$N24-AA24)))</f>
        <v>-485669.44444444444</v>
      </c>
      <c r="AK24" s="113">
        <f t="shared" ref="AK24:AK87" si="34">IF($A24&gt;$B$4,"",AI24+AJ24)</f>
        <v>0</v>
      </c>
      <c r="AL24" s="113">
        <f t="shared" si="7"/>
        <v>0</v>
      </c>
      <c r="AM24" s="114">
        <f t="shared" ref="AM24:AM87" si="35">IF($A24&gt;$B$4,"",A24/6)</f>
        <v>0.33333333333333331</v>
      </c>
      <c r="AN24" s="114">
        <f t="shared" ref="AN24:AN87" si="36">IF($A24&gt;$B$4,"",AL24/$AL$21)</f>
        <v>0</v>
      </c>
      <c r="AO24" s="114">
        <f t="shared" ref="AO24:AO87" si="37">IF($A24&gt;$B$4,"",AM24*(AM24+1))</f>
        <v>0.44444444444444442</v>
      </c>
    </row>
    <row r="25" spans="1:41" x14ac:dyDescent="0.3">
      <c r="A25" s="146">
        <f t="shared" si="8"/>
        <v>3</v>
      </c>
      <c r="B25" s="147">
        <f t="shared" si="1"/>
        <v>282</v>
      </c>
      <c r="C25" s="147">
        <f t="shared" si="0"/>
        <v>78</v>
      </c>
      <c r="D25" s="149">
        <f t="shared" si="9"/>
        <v>491906838.89707053</v>
      </c>
      <c r="E25" s="149">
        <f t="shared" si="10"/>
        <v>3270195.821672298</v>
      </c>
      <c r="F25" s="149">
        <f t="shared" si="2"/>
        <v>2472975.6439348897</v>
      </c>
      <c r="G25" s="149">
        <f t="shared" si="3"/>
        <v>2390543.1224703933</v>
      </c>
      <c r="H25" s="149">
        <f t="shared" si="11"/>
        <v>82432.521464496385</v>
      </c>
      <c r="I25" s="149">
        <f t="shared" si="12"/>
        <v>797220.17773740832</v>
      </c>
      <c r="J25" s="147">
        <f t="shared" si="13"/>
        <v>4.4999999999999998E-2</v>
      </c>
      <c r="K25" s="175">
        <f t="shared" si="4"/>
        <v>3.8296430163020645E-3</v>
      </c>
      <c r="L25" s="149">
        <f t="shared" si="14"/>
        <v>1891069.7121699429</v>
      </c>
      <c r="M25" s="149">
        <f t="shared" si="15"/>
        <v>5078833.0123777445</v>
      </c>
      <c r="N25" s="149">
        <f t="shared" si="16"/>
        <v>2688289.8899073512</v>
      </c>
      <c r="P25" s="149">
        <f t="shared" si="17"/>
        <v>190449819.27253357</v>
      </c>
      <c r="Q25" s="149">
        <f t="shared" si="18"/>
        <v>935859.60904446756</v>
      </c>
      <c r="R25" s="178">
        <f t="shared" si="19"/>
        <v>3176306.7366666105</v>
      </c>
      <c r="S25" s="113">
        <f t="shared" si="20"/>
        <v>4112166.345711078</v>
      </c>
      <c r="T25" s="113">
        <f t="shared" si="5"/>
        <v>4053313.8869227269</v>
      </c>
      <c r="U25" s="114">
        <f t="shared" si="21"/>
        <v>0.5</v>
      </c>
      <c r="V25" s="114">
        <f t="shared" si="22"/>
        <v>2.0256452201134624E-2</v>
      </c>
      <c r="W25" s="114">
        <f t="shared" si="23"/>
        <v>0.75</v>
      </c>
      <c r="X25" s="114"/>
      <c r="Y25" s="149">
        <f t="shared" si="24"/>
        <v>200000000</v>
      </c>
      <c r="Z25" s="149">
        <f t="shared" si="25"/>
        <v>966666.66666666674</v>
      </c>
      <c r="AA25" s="178">
        <f t="shared" si="26"/>
        <v>0</v>
      </c>
      <c r="AB25" s="113">
        <f t="shared" si="27"/>
        <v>966666.66666666674</v>
      </c>
      <c r="AC25" s="113">
        <f t="shared" si="6"/>
        <v>952831.93689669797</v>
      </c>
      <c r="AD25" s="114">
        <f t="shared" si="28"/>
        <v>0.5</v>
      </c>
      <c r="AE25" s="114">
        <f t="shared" si="29"/>
        <v>4.7577269334225288E-3</v>
      </c>
      <c r="AF25" s="114">
        <f t="shared" si="30"/>
        <v>0.75</v>
      </c>
      <c r="AG25" s="114"/>
      <c r="AH25" s="176">
        <f t="shared" si="31"/>
        <v>101457019.62453704</v>
      </c>
      <c r="AI25" s="176">
        <f t="shared" si="32"/>
        <v>488016.84675925929</v>
      </c>
      <c r="AJ25" s="178">
        <f t="shared" si="33"/>
        <v>-488016.84675925929</v>
      </c>
      <c r="AK25" s="113">
        <f t="shared" si="34"/>
        <v>0</v>
      </c>
      <c r="AL25" s="113">
        <f t="shared" si="7"/>
        <v>0</v>
      </c>
      <c r="AM25" s="114">
        <f t="shared" si="35"/>
        <v>0.5</v>
      </c>
      <c r="AN25" s="114">
        <f t="shared" si="36"/>
        <v>0</v>
      </c>
      <c r="AO25" s="114">
        <f t="shared" si="37"/>
        <v>0.75</v>
      </c>
    </row>
    <row r="26" spans="1:41" x14ac:dyDescent="0.3">
      <c r="A26" s="146">
        <f t="shared" si="8"/>
        <v>4</v>
      </c>
      <c r="B26" s="147">
        <f t="shared" si="1"/>
        <v>281</v>
      </c>
      <c r="C26" s="147">
        <f t="shared" si="0"/>
        <v>79</v>
      </c>
      <c r="D26" s="149">
        <f t="shared" si="9"/>
        <v>489227929.9456262</v>
      </c>
      <c r="E26" s="149">
        <f t="shared" si="10"/>
        <v>3257672.1390818907</v>
      </c>
      <c r="F26" s="149">
        <f t="shared" si="2"/>
        <v>2459534.1944853528</v>
      </c>
      <c r="G26" s="149">
        <f t="shared" si="3"/>
        <v>2377549.7213358409</v>
      </c>
      <c r="H26" s="149">
        <f t="shared" si="11"/>
        <v>81984.473149511963</v>
      </c>
      <c r="I26" s="149">
        <f t="shared" si="12"/>
        <v>798137.94459653785</v>
      </c>
      <c r="J26" s="147">
        <f t="shared" si="13"/>
        <v>4.4999999999999998E-2</v>
      </c>
      <c r="K26" s="175">
        <f t="shared" si="4"/>
        <v>3.8296430163020645E-3</v>
      </c>
      <c r="L26" s="149">
        <f t="shared" si="14"/>
        <v>1880771.0068478212</v>
      </c>
      <c r="M26" s="149">
        <f t="shared" si="15"/>
        <v>5056458.6727801999</v>
      </c>
      <c r="N26" s="149">
        <f t="shared" si="16"/>
        <v>2678908.951444359</v>
      </c>
      <c r="P26" s="149">
        <f t="shared" si="17"/>
        <v>187280534.72623727</v>
      </c>
      <c r="Q26" s="149">
        <f t="shared" si="18"/>
        <v>920507.4598172456</v>
      </c>
      <c r="R26" s="178">
        <f t="shared" si="19"/>
        <v>3169284.5462962883</v>
      </c>
      <c r="S26" s="113">
        <f t="shared" si="20"/>
        <v>4089792.0061135339</v>
      </c>
      <c r="T26" s="113">
        <f t="shared" si="5"/>
        <v>4011935.7682564827</v>
      </c>
      <c r="U26" s="114">
        <f t="shared" si="21"/>
        <v>0.66666666666666663</v>
      </c>
      <c r="V26" s="114">
        <f t="shared" si="22"/>
        <v>2.004966488924154E-2</v>
      </c>
      <c r="W26" s="114">
        <f t="shared" si="23"/>
        <v>1.1111111111111109</v>
      </c>
      <c r="X26" s="114"/>
      <c r="Y26" s="149">
        <f t="shared" si="24"/>
        <v>200000000</v>
      </c>
      <c r="Z26" s="149">
        <f t="shared" si="25"/>
        <v>966666.66666666674</v>
      </c>
      <c r="AA26" s="178">
        <f t="shared" si="26"/>
        <v>0</v>
      </c>
      <c r="AB26" s="113">
        <f t="shared" si="27"/>
        <v>966666.66666666674</v>
      </c>
      <c r="AC26" s="113">
        <f t="shared" si="6"/>
        <v>948264.50102695182</v>
      </c>
      <c r="AD26" s="114">
        <f t="shared" si="28"/>
        <v>0.66666666666666663</v>
      </c>
      <c r="AE26" s="114">
        <f t="shared" si="29"/>
        <v>4.7349205897089181E-3</v>
      </c>
      <c r="AF26" s="114">
        <f t="shared" si="30"/>
        <v>1.1111111111111109</v>
      </c>
      <c r="AG26" s="114"/>
      <c r="AH26" s="176">
        <f t="shared" si="31"/>
        <v>101947395.21938896</v>
      </c>
      <c r="AI26" s="176">
        <f t="shared" si="32"/>
        <v>490375.59485192905</v>
      </c>
      <c r="AJ26" s="178">
        <f t="shared" si="33"/>
        <v>-490375.59485192905</v>
      </c>
      <c r="AK26" s="113">
        <f t="shared" si="34"/>
        <v>0</v>
      </c>
      <c r="AL26" s="113">
        <f t="shared" si="7"/>
        <v>0</v>
      </c>
      <c r="AM26" s="114">
        <f t="shared" si="35"/>
        <v>0.66666666666666663</v>
      </c>
      <c r="AN26" s="114">
        <f t="shared" si="36"/>
        <v>0</v>
      </c>
      <c r="AO26" s="114">
        <f t="shared" si="37"/>
        <v>1.1111111111111109</v>
      </c>
    </row>
    <row r="27" spans="1:41" x14ac:dyDescent="0.3">
      <c r="A27" s="146">
        <f t="shared" si="8"/>
        <v>5</v>
      </c>
      <c r="B27" s="147">
        <f t="shared" si="1"/>
        <v>280</v>
      </c>
      <c r="C27" s="147">
        <f t="shared" si="0"/>
        <v>80</v>
      </c>
      <c r="D27" s="149">
        <f t="shared" si="9"/>
        <v>486558364.95450431</v>
      </c>
      <c r="E27" s="149">
        <f t="shared" si="10"/>
        <v>3245196.4177250541</v>
      </c>
      <c r="F27" s="149">
        <f t="shared" si="2"/>
        <v>2446139.649728131</v>
      </c>
      <c r="G27" s="149">
        <f t="shared" si="3"/>
        <v>2364601.66140386</v>
      </c>
      <c r="H27" s="149">
        <f t="shared" si="11"/>
        <v>81537.988324271049</v>
      </c>
      <c r="I27" s="149">
        <f t="shared" si="12"/>
        <v>799056.76799692307</v>
      </c>
      <c r="J27" s="147">
        <f t="shared" si="13"/>
        <v>4.4999999999999998E-2</v>
      </c>
      <c r="K27" s="175">
        <f t="shared" si="4"/>
        <v>3.8296430163020645E-3</v>
      </c>
      <c r="L27" s="149">
        <f t="shared" si="14"/>
        <v>1870508.2231249947</v>
      </c>
      <c r="M27" s="149">
        <f t="shared" si="15"/>
        <v>5034166.6525257779</v>
      </c>
      <c r="N27" s="149">
        <f t="shared" si="16"/>
        <v>2669564.991121918</v>
      </c>
      <c r="P27" s="149">
        <f t="shared" si="17"/>
        <v>184118223.99155498</v>
      </c>
      <c r="Q27" s="149">
        <f t="shared" si="18"/>
        <v>905189.2511768135</v>
      </c>
      <c r="R27" s="178">
        <f t="shared" si="19"/>
        <v>3162310.7346822978</v>
      </c>
      <c r="S27" s="113">
        <f t="shared" si="20"/>
        <v>4067499.9858591114</v>
      </c>
      <c r="T27" s="113">
        <f t="shared" si="5"/>
        <v>3970941.5728386906</v>
      </c>
      <c r="U27" s="114">
        <f t="shared" si="21"/>
        <v>0.83333333333333337</v>
      </c>
      <c r="V27" s="114">
        <f t="shared" si="22"/>
        <v>1.9844796235302945E-2</v>
      </c>
      <c r="W27" s="114">
        <f t="shared" si="23"/>
        <v>1.5277777777777779</v>
      </c>
      <c r="X27" s="114"/>
      <c r="Y27" s="149">
        <f t="shared" si="24"/>
        <v>200000000</v>
      </c>
      <c r="Z27" s="149">
        <f t="shared" si="25"/>
        <v>966666.66666666674</v>
      </c>
      <c r="AA27" s="178">
        <f t="shared" si="26"/>
        <v>0</v>
      </c>
      <c r="AB27" s="113">
        <f t="shared" si="27"/>
        <v>966666.66666666674</v>
      </c>
      <c r="AC27" s="113">
        <f t="shared" si="6"/>
        <v>943718.95933351992</v>
      </c>
      <c r="AD27" s="114">
        <f t="shared" si="28"/>
        <v>0.83333333333333337</v>
      </c>
      <c r="AE27" s="114">
        <f t="shared" si="29"/>
        <v>4.7122235690650969E-3</v>
      </c>
      <c r="AF27" s="114">
        <f t="shared" si="30"/>
        <v>1.5277777777777779</v>
      </c>
      <c r="AG27" s="114"/>
      <c r="AH27" s="176">
        <f t="shared" si="31"/>
        <v>102440140.96294934</v>
      </c>
      <c r="AI27" s="176">
        <f t="shared" si="32"/>
        <v>492745.74356038001</v>
      </c>
      <c r="AJ27" s="178">
        <f t="shared" si="33"/>
        <v>-492745.74356038001</v>
      </c>
      <c r="AK27" s="113">
        <f t="shared" si="34"/>
        <v>0</v>
      </c>
      <c r="AL27" s="113">
        <f t="shared" si="7"/>
        <v>0</v>
      </c>
      <c r="AM27" s="114">
        <f t="shared" si="35"/>
        <v>0.83333333333333337</v>
      </c>
      <c r="AN27" s="114">
        <f t="shared" si="36"/>
        <v>0</v>
      </c>
      <c r="AO27" s="114">
        <f t="shared" si="37"/>
        <v>1.5277777777777779</v>
      </c>
    </row>
    <row r="28" spans="1:41" hidden="1" outlineLevel="1" x14ac:dyDescent="0.3">
      <c r="A28" s="146">
        <f t="shared" si="8"/>
        <v>6</v>
      </c>
      <c r="B28" s="147">
        <f t="shared" si="1"/>
        <v>279</v>
      </c>
      <c r="C28" s="147">
        <f t="shared" si="0"/>
        <v>81</v>
      </c>
      <c r="D28" s="149">
        <f t="shared" si="9"/>
        <v>483898107.08596575</v>
      </c>
      <c r="E28" s="149">
        <f t="shared" si="10"/>
        <v>3232768.4739273847</v>
      </c>
      <c r="F28" s="149">
        <f t="shared" si="2"/>
        <v>2432791.8247725214</v>
      </c>
      <c r="G28" s="149">
        <f t="shared" si="3"/>
        <v>2351698.7639467712</v>
      </c>
      <c r="H28" s="149">
        <f t="shared" si="11"/>
        <v>81093.060825750232</v>
      </c>
      <c r="I28" s="149">
        <f t="shared" si="12"/>
        <v>799976.64915486332</v>
      </c>
      <c r="J28" s="147">
        <f t="shared" si="13"/>
        <v>4.4999999999999998E-2</v>
      </c>
      <c r="K28" s="175">
        <f t="shared" si="4"/>
        <v>3.8296430163020645E-3</v>
      </c>
      <c r="L28" s="149">
        <f t="shared" si="14"/>
        <v>1860281.219383728</v>
      </c>
      <c r="M28" s="149">
        <f t="shared" si="15"/>
        <v>5011956.6324853627</v>
      </c>
      <c r="N28" s="149">
        <f t="shared" si="16"/>
        <v>2660257.8685385911</v>
      </c>
      <c r="P28" s="149">
        <f t="shared" si="17"/>
        <v>180962838.7750288</v>
      </c>
      <c r="Q28" s="149">
        <f t="shared" si="18"/>
        <v>889904.7492925158</v>
      </c>
      <c r="R28" s="178">
        <f t="shared" si="19"/>
        <v>3155385.2165261796</v>
      </c>
      <c r="S28" s="113">
        <f t="shared" si="20"/>
        <v>4045289.9658186953</v>
      </c>
      <c r="T28" s="113">
        <f t="shared" si="5"/>
        <v>3930327.8754614489</v>
      </c>
      <c r="U28" s="114">
        <f t="shared" si="21"/>
        <v>1</v>
      </c>
      <c r="V28" s="114">
        <f t="shared" si="22"/>
        <v>1.9641829121828783E-2</v>
      </c>
      <c r="W28" s="114">
        <f t="shared" si="23"/>
        <v>2</v>
      </c>
      <c r="X28" s="114"/>
      <c r="Y28" s="149">
        <f t="shared" si="24"/>
        <v>200000000</v>
      </c>
      <c r="Z28" s="149">
        <f t="shared" si="25"/>
        <v>966666.66666666674</v>
      </c>
      <c r="AA28" s="178">
        <f t="shared" si="26"/>
        <v>0</v>
      </c>
      <c r="AB28" s="113">
        <f t="shared" si="27"/>
        <v>966666.66666666674</v>
      </c>
      <c r="AC28" s="113">
        <f t="shared" si="6"/>
        <v>939195.20686584106</v>
      </c>
      <c r="AD28" s="114">
        <f t="shared" si="28"/>
        <v>1</v>
      </c>
      <c r="AE28" s="114">
        <f t="shared" si="29"/>
        <v>4.6896353474468015E-3</v>
      </c>
      <c r="AF28" s="114">
        <f t="shared" si="30"/>
        <v>2</v>
      </c>
      <c r="AG28" s="114"/>
      <c r="AH28" s="176">
        <f t="shared" si="31"/>
        <v>102935268.31093693</v>
      </c>
      <c r="AI28" s="176">
        <f t="shared" si="32"/>
        <v>495127.3479875885</v>
      </c>
      <c r="AJ28" s="178">
        <f t="shared" si="33"/>
        <v>-495127.3479875885</v>
      </c>
      <c r="AK28" s="113">
        <f t="shared" si="34"/>
        <v>0</v>
      </c>
      <c r="AL28" s="113">
        <f t="shared" si="7"/>
        <v>0</v>
      </c>
      <c r="AM28" s="114">
        <f t="shared" si="35"/>
        <v>1</v>
      </c>
      <c r="AN28" s="114">
        <f t="shared" si="36"/>
        <v>0</v>
      </c>
      <c r="AO28" s="114">
        <f t="shared" si="37"/>
        <v>2</v>
      </c>
    </row>
    <row r="29" spans="1:41" hidden="1" outlineLevel="1" x14ac:dyDescent="0.3">
      <c r="A29" s="146">
        <f t="shared" si="8"/>
        <v>7</v>
      </c>
      <c r="B29" s="147">
        <f t="shared" si="1"/>
        <v>278</v>
      </c>
      <c r="C29" s="147">
        <f t="shared" si="0"/>
        <v>82</v>
      </c>
      <c r="D29" s="149">
        <f t="shared" si="9"/>
        <v>481247119.64213371</v>
      </c>
      <c r="E29" s="149">
        <f t="shared" si="10"/>
        <v>3220388.124717887</v>
      </c>
      <c r="F29" s="149">
        <f t="shared" si="2"/>
        <v>2419490.5354298288</v>
      </c>
      <c r="G29" s="149">
        <f t="shared" si="3"/>
        <v>2338840.8509155014</v>
      </c>
      <c r="H29" s="149">
        <f t="shared" si="11"/>
        <v>80649.68451432744</v>
      </c>
      <c r="I29" s="149">
        <f t="shared" si="12"/>
        <v>800897.58928805823</v>
      </c>
      <c r="J29" s="147">
        <f t="shared" si="13"/>
        <v>4.4999999999999998E-2</v>
      </c>
      <c r="K29" s="175">
        <f t="shared" si="4"/>
        <v>3.8296430163020645E-3</v>
      </c>
      <c r="L29" s="149">
        <f t="shared" si="14"/>
        <v>1850089.8545439672</v>
      </c>
      <c r="M29" s="149">
        <f t="shared" si="15"/>
        <v>4989828.2947475268</v>
      </c>
      <c r="N29" s="149">
        <f t="shared" si="16"/>
        <v>2650987.4438320254</v>
      </c>
      <c r="P29" s="149">
        <f t="shared" si="17"/>
        <v>177814330.8676939</v>
      </c>
      <c r="Q29" s="149">
        <f t="shared" si="18"/>
        <v>874653.72074597259</v>
      </c>
      <c r="R29" s="178">
        <f t="shared" si="19"/>
        <v>3148507.9073348874</v>
      </c>
      <c r="S29" s="113">
        <f t="shared" si="20"/>
        <v>4023161.6280808598</v>
      </c>
      <c r="T29" s="113">
        <f t="shared" si="5"/>
        <v>3890091.2809294071</v>
      </c>
      <c r="U29" s="114">
        <f t="shared" si="21"/>
        <v>1.1666666666666667</v>
      </c>
      <c r="V29" s="114">
        <f t="shared" si="22"/>
        <v>1.9440746581316844E-2</v>
      </c>
      <c r="W29" s="114">
        <f t="shared" si="23"/>
        <v>2.5277777777777781</v>
      </c>
      <c r="X29" s="114"/>
      <c r="Y29" s="149">
        <f t="shared" si="24"/>
        <v>200000000</v>
      </c>
      <c r="Z29" s="149">
        <f t="shared" si="25"/>
        <v>966666.66666666674</v>
      </c>
      <c r="AA29" s="178">
        <f t="shared" si="26"/>
        <v>0</v>
      </c>
      <c r="AB29" s="113">
        <f t="shared" si="27"/>
        <v>966666.66666666674</v>
      </c>
      <c r="AC29" s="113">
        <f t="shared" si="6"/>
        <v>934693.13917643938</v>
      </c>
      <c r="AD29" s="114">
        <f t="shared" si="28"/>
        <v>1.1666666666666667</v>
      </c>
      <c r="AE29" s="114">
        <f t="shared" si="29"/>
        <v>4.6671554033217971E-3</v>
      </c>
      <c r="AF29" s="114">
        <f t="shared" si="30"/>
        <v>2.5277777777777781</v>
      </c>
      <c r="AG29" s="114"/>
      <c r="AH29" s="176">
        <f t="shared" si="31"/>
        <v>103432788.7744398</v>
      </c>
      <c r="AI29" s="176">
        <f t="shared" si="32"/>
        <v>497520.46350286185</v>
      </c>
      <c r="AJ29" s="178">
        <f t="shared" si="33"/>
        <v>-497520.46350286185</v>
      </c>
      <c r="AK29" s="113">
        <f t="shared" si="34"/>
        <v>0</v>
      </c>
      <c r="AL29" s="113">
        <f t="shared" si="7"/>
        <v>0</v>
      </c>
      <c r="AM29" s="114">
        <f t="shared" si="35"/>
        <v>1.1666666666666667</v>
      </c>
      <c r="AN29" s="114">
        <f t="shared" si="36"/>
        <v>0</v>
      </c>
      <c r="AO29" s="114">
        <f t="shared" si="37"/>
        <v>2.5277777777777781</v>
      </c>
    </row>
    <row r="30" spans="1:41" hidden="1" outlineLevel="1" x14ac:dyDescent="0.3">
      <c r="A30" s="146">
        <f t="shared" si="8"/>
        <v>8</v>
      </c>
      <c r="B30" s="147">
        <f t="shared" si="1"/>
        <v>277</v>
      </c>
      <c r="C30" s="147">
        <f t="shared" si="0"/>
        <v>83</v>
      </c>
      <c r="D30" s="149">
        <f t="shared" si="9"/>
        <v>478605366.06445688</v>
      </c>
      <c r="E30" s="149">
        <f t="shared" si="10"/>
        <v>3208055.1878262791</v>
      </c>
      <c r="F30" s="149">
        <f t="shared" si="2"/>
        <v>2406235.5982106687</v>
      </c>
      <c r="G30" s="149">
        <f t="shared" si="3"/>
        <v>2326027.7449369798</v>
      </c>
      <c r="H30" s="149">
        <f t="shared" si="11"/>
        <v>80207.853273688816</v>
      </c>
      <c r="I30" s="149">
        <f t="shared" si="12"/>
        <v>801819.58961561043</v>
      </c>
      <c r="J30" s="147">
        <f t="shared" si="13"/>
        <v>4.4999999999999998E-2</v>
      </c>
      <c r="K30" s="175">
        <f t="shared" si="4"/>
        <v>3.8296430163020645E-3</v>
      </c>
      <c r="L30" s="149">
        <f t="shared" si="14"/>
        <v>1839933.988061276</v>
      </c>
      <c r="M30" s="149">
        <f t="shared" si="15"/>
        <v>4967781.3226138661</v>
      </c>
      <c r="N30" s="149">
        <f t="shared" si="16"/>
        <v>2641753.5776768867</v>
      </c>
      <c r="P30" s="149">
        <f t="shared" si="17"/>
        <v>174672652.14427388</v>
      </c>
      <c r="Q30" s="149">
        <f t="shared" si="18"/>
        <v>859435.93252718728</v>
      </c>
      <c r="R30" s="178">
        <f t="shared" si="19"/>
        <v>3141678.7234200123</v>
      </c>
      <c r="S30" s="113">
        <f t="shared" si="20"/>
        <v>4001114.6559471996</v>
      </c>
      <c r="T30" s="113">
        <f t="shared" si="5"/>
        <v>3850228.4237990798</v>
      </c>
      <c r="U30" s="114">
        <f t="shared" si="21"/>
        <v>1.3333333333333333</v>
      </c>
      <c r="V30" s="114">
        <f t="shared" si="22"/>
        <v>1.9241531794949987E-2</v>
      </c>
      <c r="W30" s="114">
        <f t="shared" si="23"/>
        <v>3.1111111111111107</v>
      </c>
      <c r="X30" s="114"/>
      <c r="Y30" s="149">
        <f t="shared" si="24"/>
        <v>200000000</v>
      </c>
      <c r="Z30" s="149">
        <f t="shared" si="25"/>
        <v>966666.66666666674</v>
      </c>
      <c r="AA30" s="178">
        <f t="shared" si="26"/>
        <v>0</v>
      </c>
      <c r="AB30" s="113">
        <f t="shared" si="27"/>
        <v>966666.66666666674</v>
      </c>
      <c r="AC30" s="113">
        <f t="shared" si="6"/>
        <v>930212.65231851093</v>
      </c>
      <c r="AD30" s="114">
        <f t="shared" si="28"/>
        <v>1.3333333333333333</v>
      </c>
      <c r="AE30" s="114">
        <f t="shared" si="29"/>
        <v>4.6447832176578279E-3</v>
      </c>
      <c r="AF30" s="114">
        <f t="shared" si="30"/>
        <v>3.1111111111111107</v>
      </c>
      <c r="AG30" s="114"/>
      <c r="AH30" s="176">
        <f t="shared" si="31"/>
        <v>103932713.92018293</v>
      </c>
      <c r="AI30" s="176">
        <f t="shared" si="32"/>
        <v>499925.1457431257</v>
      </c>
      <c r="AJ30" s="178">
        <f t="shared" si="33"/>
        <v>-499925.1457431257</v>
      </c>
      <c r="AK30" s="113">
        <f t="shared" si="34"/>
        <v>0</v>
      </c>
      <c r="AL30" s="113">
        <f t="shared" si="7"/>
        <v>0</v>
      </c>
      <c r="AM30" s="114">
        <f t="shared" si="35"/>
        <v>1.3333333333333333</v>
      </c>
      <c r="AN30" s="114">
        <f t="shared" si="36"/>
        <v>0</v>
      </c>
      <c r="AO30" s="114">
        <f t="shared" si="37"/>
        <v>3.1111111111111107</v>
      </c>
    </row>
    <row r="31" spans="1:41" hidden="1" outlineLevel="1" x14ac:dyDescent="0.3">
      <c r="A31" s="146">
        <f t="shared" si="8"/>
        <v>9</v>
      </c>
      <c r="B31" s="147">
        <f t="shared" si="1"/>
        <v>276</v>
      </c>
      <c r="C31" s="147">
        <f t="shared" si="0"/>
        <v>84</v>
      </c>
      <c r="D31" s="149">
        <f t="shared" si="9"/>
        <v>475972809.93317407</v>
      </c>
      <c r="E31" s="149">
        <f t="shared" si="10"/>
        <v>3195769.4816803085</v>
      </c>
      <c r="F31" s="149">
        <f t="shared" si="2"/>
        <v>2393026.8303222843</v>
      </c>
      <c r="G31" s="149">
        <f t="shared" si="3"/>
        <v>2313259.2693115417</v>
      </c>
      <c r="H31" s="149">
        <f t="shared" si="11"/>
        <v>79767.56101074256</v>
      </c>
      <c r="I31" s="149">
        <f t="shared" si="12"/>
        <v>802742.65135802422</v>
      </c>
      <c r="J31" s="147">
        <f t="shared" si="13"/>
        <v>4.4999999999999998E-2</v>
      </c>
      <c r="K31" s="175">
        <f t="shared" si="4"/>
        <v>3.8296430163020645E-3</v>
      </c>
      <c r="L31" s="149">
        <f t="shared" si="14"/>
        <v>1829813.4799247794</v>
      </c>
      <c r="M31" s="149">
        <f t="shared" si="15"/>
        <v>4945815.4005943453</v>
      </c>
      <c r="N31" s="149">
        <f t="shared" si="16"/>
        <v>2632556.1312828036</v>
      </c>
      <c r="P31" s="149">
        <f t="shared" si="17"/>
        <v>171537754.56237686</v>
      </c>
      <c r="Q31" s="149">
        <f t="shared" si="18"/>
        <v>844251.15203065716</v>
      </c>
      <c r="R31" s="178">
        <f t="shared" si="19"/>
        <v>3134897.5818970213</v>
      </c>
      <c r="S31" s="113">
        <f t="shared" si="20"/>
        <v>3979148.7339276783</v>
      </c>
      <c r="T31" s="113">
        <f t="shared" si="5"/>
        <v>3810735.9681204301</v>
      </c>
      <c r="U31" s="114">
        <f t="shared" si="21"/>
        <v>1.5</v>
      </c>
      <c r="V31" s="114">
        <f t="shared" si="22"/>
        <v>1.9044168091304686E-2</v>
      </c>
      <c r="W31" s="114">
        <f t="shared" si="23"/>
        <v>3.75</v>
      </c>
      <c r="X31" s="114"/>
      <c r="Y31" s="149">
        <f t="shared" si="24"/>
        <v>200000000</v>
      </c>
      <c r="Z31" s="149">
        <f t="shared" si="25"/>
        <v>966666.66666666674</v>
      </c>
      <c r="AA31" s="178">
        <f t="shared" si="26"/>
        <v>0</v>
      </c>
      <c r="AB31" s="113">
        <f t="shared" si="27"/>
        <v>966666.66666666674</v>
      </c>
      <c r="AC31" s="113">
        <f t="shared" si="6"/>
        <v>925753.64284352516</v>
      </c>
      <c r="AD31" s="114">
        <f t="shared" si="28"/>
        <v>1.5</v>
      </c>
      <c r="AE31" s="114">
        <f t="shared" si="29"/>
        <v>4.6225182739106432E-3</v>
      </c>
      <c r="AF31" s="114">
        <f t="shared" si="30"/>
        <v>3.75</v>
      </c>
      <c r="AG31" s="114"/>
      <c r="AH31" s="176">
        <f t="shared" si="31"/>
        <v>104435055.37079714</v>
      </c>
      <c r="AI31" s="176">
        <f t="shared" si="32"/>
        <v>502341.45061421749</v>
      </c>
      <c r="AJ31" s="178">
        <f t="shared" si="33"/>
        <v>-502341.45061421749</v>
      </c>
      <c r="AK31" s="113">
        <f t="shared" si="34"/>
        <v>0</v>
      </c>
      <c r="AL31" s="113">
        <f t="shared" si="7"/>
        <v>0</v>
      </c>
      <c r="AM31" s="114">
        <f t="shared" si="35"/>
        <v>1.5</v>
      </c>
      <c r="AN31" s="114">
        <f t="shared" si="36"/>
        <v>0</v>
      </c>
      <c r="AO31" s="114">
        <f t="shared" si="37"/>
        <v>3.75</v>
      </c>
    </row>
    <row r="32" spans="1:41" hidden="1" outlineLevel="1" x14ac:dyDescent="0.3">
      <c r="A32" s="146">
        <f t="shared" si="8"/>
        <v>10</v>
      </c>
      <c r="B32" s="147">
        <f t="shared" si="1"/>
        <v>275</v>
      </c>
      <c r="C32" s="147">
        <f t="shared" si="0"/>
        <v>85</v>
      </c>
      <c r="D32" s="149">
        <f t="shared" si="9"/>
        <v>473349414.96678174</v>
      </c>
      <c r="E32" s="149">
        <f t="shared" si="10"/>
        <v>3183530.8254030803</v>
      </c>
      <c r="F32" s="149">
        <f t="shared" si="2"/>
        <v>2379864.0496658706</v>
      </c>
      <c r="G32" s="149">
        <f t="shared" si="3"/>
        <v>2300535.2480103415</v>
      </c>
      <c r="H32" s="149">
        <f t="shared" si="11"/>
        <v>79328.801655529067</v>
      </c>
      <c r="I32" s="149">
        <f t="shared" si="12"/>
        <v>803666.77573720971</v>
      </c>
      <c r="J32" s="147">
        <f t="shared" si="13"/>
        <v>4.4999999999999998E-2</v>
      </c>
      <c r="K32" s="175">
        <f t="shared" si="4"/>
        <v>3.8296430163020645E-3</v>
      </c>
      <c r="L32" s="149">
        <f t="shared" si="14"/>
        <v>1819728.1906551139</v>
      </c>
      <c r="M32" s="149">
        <f t="shared" si="15"/>
        <v>4923930.2144026654</v>
      </c>
      <c r="N32" s="149">
        <f t="shared" si="16"/>
        <v>2623394.9663923234</v>
      </c>
      <c r="P32" s="149">
        <f t="shared" si="17"/>
        <v>168409590.16169235</v>
      </c>
      <c r="Q32" s="149">
        <f t="shared" si="18"/>
        <v>829099.14705148817</v>
      </c>
      <c r="R32" s="178">
        <f t="shared" si="19"/>
        <v>3128164.4006845094</v>
      </c>
      <c r="S32" s="113">
        <f t="shared" si="20"/>
        <v>3957263.5477359975</v>
      </c>
      <c r="T32" s="113">
        <f t="shared" si="5"/>
        <v>3771610.6071806774</v>
      </c>
      <c r="U32" s="114">
        <f t="shared" si="21"/>
        <v>1.6666666666666667</v>
      </c>
      <c r="V32" s="114">
        <f t="shared" si="22"/>
        <v>1.8848638945070727E-2</v>
      </c>
      <c r="W32" s="114">
        <f t="shared" si="23"/>
        <v>4.4444444444444455</v>
      </c>
      <c r="X32" s="114"/>
      <c r="Y32" s="149">
        <f t="shared" si="24"/>
        <v>200000000</v>
      </c>
      <c r="Z32" s="149">
        <f t="shared" si="25"/>
        <v>966666.66666666674</v>
      </c>
      <c r="AA32" s="178">
        <f t="shared" si="26"/>
        <v>0</v>
      </c>
      <c r="AB32" s="113">
        <f t="shared" si="27"/>
        <v>966666.66666666674</v>
      </c>
      <c r="AC32" s="113">
        <f t="shared" si="6"/>
        <v>921316.00779883622</v>
      </c>
      <c r="AD32" s="114">
        <f t="shared" si="28"/>
        <v>1.6666666666666667</v>
      </c>
      <c r="AE32" s="114">
        <f t="shared" si="29"/>
        <v>4.6003600580120669E-3</v>
      </c>
      <c r="AF32" s="114">
        <f t="shared" si="30"/>
        <v>4.4444444444444455</v>
      </c>
      <c r="AG32" s="114"/>
      <c r="AH32" s="176">
        <f t="shared" si="31"/>
        <v>104939824.80508932</v>
      </c>
      <c r="AI32" s="176">
        <f t="shared" si="32"/>
        <v>504769.43429218623</v>
      </c>
      <c r="AJ32" s="178">
        <f t="shared" si="33"/>
        <v>-504769.43429218623</v>
      </c>
      <c r="AK32" s="113">
        <f t="shared" si="34"/>
        <v>0</v>
      </c>
      <c r="AL32" s="113">
        <f t="shared" si="7"/>
        <v>0</v>
      </c>
      <c r="AM32" s="114">
        <f t="shared" si="35"/>
        <v>1.6666666666666667</v>
      </c>
      <c r="AN32" s="114">
        <f t="shared" si="36"/>
        <v>0</v>
      </c>
      <c r="AO32" s="114">
        <f t="shared" si="37"/>
        <v>4.4444444444444455</v>
      </c>
    </row>
    <row r="33" spans="1:41" hidden="1" outlineLevel="1" x14ac:dyDescent="0.3">
      <c r="A33" s="146">
        <f t="shared" si="8"/>
        <v>11</v>
      </c>
      <c r="B33" s="147">
        <f t="shared" si="1"/>
        <v>274</v>
      </c>
      <c r="C33" s="147">
        <f t="shared" si="0"/>
        <v>86</v>
      </c>
      <c r="D33" s="149">
        <f t="shared" si="9"/>
        <v>470735145.02150285</v>
      </c>
      <c r="E33" s="149">
        <f t="shared" si="10"/>
        <v>3171339.0388103928</v>
      </c>
      <c r="F33" s="149">
        <f t="shared" si="2"/>
        <v>2366747.0748339086</v>
      </c>
      <c r="G33" s="149">
        <f t="shared" si="3"/>
        <v>2287855.5056727785</v>
      </c>
      <c r="H33" s="149">
        <f t="shared" si="11"/>
        <v>78891.569161130115</v>
      </c>
      <c r="I33" s="149">
        <f t="shared" si="12"/>
        <v>804591.96397648426</v>
      </c>
      <c r="J33" s="147">
        <f t="shared" si="13"/>
        <v>4.4999999999999998E-2</v>
      </c>
      <c r="K33" s="175">
        <f t="shared" si="4"/>
        <v>3.8296430163020645E-3</v>
      </c>
      <c r="L33" s="149">
        <f t="shared" si="14"/>
        <v>1809677.9813023882</v>
      </c>
      <c r="M33" s="149">
        <f t="shared" si="15"/>
        <v>4902125.4509516507</v>
      </c>
      <c r="N33" s="149">
        <f t="shared" si="16"/>
        <v>2614269.9452788727</v>
      </c>
      <c r="P33" s="149">
        <f t="shared" si="17"/>
        <v>165288111.06318888</v>
      </c>
      <c r="Q33" s="149">
        <f t="shared" si="18"/>
        <v>813979.68578151311</v>
      </c>
      <c r="R33" s="178">
        <f t="shared" si="19"/>
        <v>3121479.0985034714</v>
      </c>
      <c r="S33" s="113">
        <f t="shared" si="20"/>
        <v>3935458.7842849847</v>
      </c>
      <c r="T33" s="113">
        <f t="shared" si="5"/>
        <v>3732849.0632503266</v>
      </c>
      <c r="U33" s="114">
        <f t="shared" si="21"/>
        <v>1.8333333333333333</v>
      </c>
      <c r="V33" s="114">
        <f t="shared" si="22"/>
        <v>1.8654927975781985E-2</v>
      </c>
      <c r="W33" s="114">
        <f t="shared" si="23"/>
        <v>5.1944444444444438</v>
      </c>
      <c r="X33" s="114"/>
      <c r="Y33" s="149">
        <f t="shared" si="24"/>
        <v>200000000</v>
      </c>
      <c r="Z33" s="149">
        <f t="shared" si="25"/>
        <v>966666.66666666674</v>
      </c>
      <c r="AA33" s="178">
        <f t="shared" si="26"/>
        <v>0</v>
      </c>
      <c r="AB33" s="113">
        <f t="shared" si="27"/>
        <v>966666.66666666674</v>
      </c>
      <c r="AC33" s="113">
        <f t="shared" si="6"/>
        <v>916899.6447253048</v>
      </c>
      <c r="AD33" s="114">
        <f t="shared" si="28"/>
        <v>1.8333333333333333</v>
      </c>
      <c r="AE33" s="114">
        <f t="shared" si="29"/>
        <v>4.5783080583581227E-3</v>
      </c>
      <c r="AF33" s="114">
        <f t="shared" si="30"/>
        <v>5.1944444444444438</v>
      </c>
      <c r="AG33" s="114"/>
      <c r="AH33" s="176">
        <f t="shared" si="31"/>
        <v>105447033.95831393</v>
      </c>
      <c r="AI33" s="176">
        <f t="shared" si="32"/>
        <v>507209.15322459844</v>
      </c>
      <c r="AJ33" s="178">
        <f t="shared" si="33"/>
        <v>-507209.15322459844</v>
      </c>
      <c r="AK33" s="113">
        <f t="shared" si="34"/>
        <v>0</v>
      </c>
      <c r="AL33" s="113">
        <f t="shared" si="7"/>
        <v>0</v>
      </c>
      <c r="AM33" s="114">
        <f t="shared" si="35"/>
        <v>1.8333333333333333</v>
      </c>
      <c r="AN33" s="114">
        <f t="shared" si="36"/>
        <v>0</v>
      </c>
      <c r="AO33" s="114">
        <f t="shared" si="37"/>
        <v>5.1944444444444438</v>
      </c>
    </row>
    <row r="34" spans="1:41" hidden="1" outlineLevel="1" x14ac:dyDescent="0.3">
      <c r="A34" s="146">
        <f t="shared" si="8"/>
        <v>12</v>
      </c>
      <c r="B34" s="147">
        <f t="shared" si="1"/>
        <v>273</v>
      </c>
      <c r="C34" s="147">
        <f t="shared" si="0"/>
        <v>87</v>
      </c>
      <c r="D34" s="149">
        <f t="shared" si="9"/>
        <v>468129964.09075809</v>
      </c>
      <c r="E34" s="149">
        <f t="shared" si="10"/>
        <v>3159193.9424080867</v>
      </c>
      <c r="F34" s="149">
        <f t="shared" si="2"/>
        <v>2353675.7251075143</v>
      </c>
      <c r="G34" s="149">
        <f t="shared" si="3"/>
        <v>2275219.8676039306</v>
      </c>
      <c r="H34" s="149">
        <f t="shared" si="11"/>
        <v>78455.857503583655</v>
      </c>
      <c r="I34" s="149">
        <f t="shared" si="12"/>
        <v>805518.21730057243</v>
      </c>
      <c r="J34" s="147">
        <f t="shared" si="13"/>
        <v>4.4999999999999998E-2</v>
      </c>
      <c r="K34" s="175">
        <f t="shared" si="4"/>
        <v>3.8296430163020645E-3</v>
      </c>
      <c r="L34" s="149">
        <f t="shared" si="14"/>
        <v>1799662.7134441487</v>
      </c>
      <c r="M34" s="149">
        <f t="shared" si="15"/>
        <v>4880400.7983486522</v>
      </c>
      <c r="N34" s="149">
        <f t="shared" si="16"/>
        <v>2605180.9307447211</v>
      </c>
      <c r="P34" s="149">
        <f t="shared" si="17"/>
        <v>162173269.46831232</v>
      </c>
      <c r="Q34" s="149">
        <f t="shared" si="18"/>
        <v>798892.53680541296</v>
      </c>
      <c r="R34" s="178">
        <f t="shared" si="19"/>
        <v>3114841.5948765716</v>
      </c>
      <c r="S34" s="113">
        <f t="shared" si="20"/>
        <v>3913734.1316819843</v>
      </c>
      <c r="T34" s="113">
        <f t="shared" si="5"/>
        <v>3694448.0873313835</v>
      </c>
      <c r="U34" s="114">
        <f t="shared" si="21"/>
        <v>2</v>
      </c>
      <c r="V34" s="114">
        <f t="shared" si="22"/>
        <v>1.8463018946558111E-2</v>
      </c>
      <c r="W34" s="114">
        <f t="shared" si="23"/>
        <v>6</v>
      </c>
      <c r="X34" s="114"/>
      <c r="Y34" s="149">
        <f t="shared" si="24"/>
        <v>200000000</v>
      </c>
      <c r="Z34" s="149">
        <f t="shared" si="25"/>
        <v>966666.66666666674</v>
      </c>
      <c r="AA34" s="178">
        <f t="shared" si="26"/>
        <v>0</v>
      </c>
      <c r="AB34" s="113">
        <f t="shared" si="27"/>
        <v>966666.66666666674</v>
      </c>
      <c r="AC34" s="113">
        <f t="shared" si="6"/>
        <v>912504.45165493467</v>
      </c>
      <c r="AD34" s="114">
        <f t="shared" si="28"/>
        <v>2</v>
      </c>
      <c r="AE34" s="114">
        <f t="shared" si="29"/>
        <v>4.5563617657972347E-3</v>
      </c>
      <c r="AF34" s="114">
        <f t="shared" si="30"/>
        <v>6</v>
      </c>
      <c r="AG34" s="114"/>
      <c r="AH34" s="176">
        <f t="shared" si="31"/>
        <v>105956694.62244578</v>
      </c>
      <c r="AI34" s="176">
        <f t="shared" si="32"/>
        <v>509660.66413185064</v>
      </c>
      <c r="AJ34" s="178">
        <f t="shared" si="33"/>
        <v>-509660.66413185064</v>
      </c>
      <c r="AK34" s="113">
        <f t="shared" si="34"/>
        <v>0</v>
      </c>
      <c r="AL34" s="113">
        <f t="shared" si="7"/>
        <v>0</v>
      </c>
      <c r="AM34" s="114">
        <f t="shared" si="35"/>
        <v>2</v>
      </c>
      <c r="AN34" s="114">
        <f t="shared" si="36"/>
        <v>0</v>
      </c>
      <c r="AO34" s="114">
        <f t="shared" si="37"/>
        <v>6</v>
      </c>
    </row>
    <row r="35" spans="1:41" hidden="1" outlineLevel="1" x14ac:dyDescent="0.3">
      <c r="A35" s="146">
        <f t="shared" si="8"/>
        <v>13</v>
      </c>
      <c r="B35" s="147">
        <f t="shared" si="1"/>
        <v>272</v>
      </c>
      <c r="C35" s="147">
        <f t="shared" si="0"/>
        <v>88</v>
      </c>
      <c r="D35" s="149">
        <f t="shared" si="9"/>
        <v>465533836.3046391</v>
      </c>
      <c r="E35" s="149">
        <f t="shared" si="10"/>
        <v>3147095.3573893998</v>
      </c>
      <c r="F35" s="149">
        <f t="shared" si="2"/>
        <v>2340649.8204537905</v>
      </c>
      <c r="G35" s="149">
        <f t="shared" si="3"/>
        <v>2262628.1597719975</v>
      </c>
      <c r="H35" s="149">
        <f t="shared" si="11"/>
        <v>78021.660681793001</v>
      </c>
      <c r="I35" s="149">
        <f t="shared" si="12"/>
        <v>806445.5369356093</v>
      </c>
      <c r="J35" s="147">
        <f t="shared" si="13"/>
        <v>4.4999999999999998E-2</v>
      </c>
      <c r="K35" s="175">
        <f t="shared" si="4"/>
        <v>3.8296430163020645E-3</v>
      </c>
      <c r="L35" s="149">
        <f t="shared" si="14"/>
        <v>1789682.2491833544</v>
      </c>
      <c r="M35" s="149">
        <f t="shared" si="15"/>
        <v>4858755.9458909612</v>
      </c>
      <c r="N35" s="149">
        <f t="shared" si="16"/>
        <v>2596127.7861189637</v>
      </c>
      <c r="P35" s="149">
        <f t="shared" si="17"/>
        <v>159065017.65818489</v>
      </c>
      <c r="Q35" s="149">
        <f t="shared" si="18"/>
        <v>783837.46909684292</v>
      </c>
      <c r="R35" s="178">
        <f t="shared" si="19"/>
        <v>3108251.8101274516</v>
      </c>
      <c r="S35" s="113">
        <f t="shared" si="20"/>
        <v>3892089.2792242942</v>
      </c>
      <c r="T35" s="113">
        <f t="shared" si="5"/>
        <v>3656404.4589077639</v>
      </c>
      <c r="U35" s="114">
        <f t="shared" si="21"/>
        <v>2.1666666666666665</v>
      </c>
      <c r="V35" s="114">
        <f t="shared" si="22"/>
        <v>1.8272895762857219E-2</v>
      </c>
      <c r="W35" s="114">
        <f t="shared" si="23"/>
        <v>6.8611111111111107</v>
      </c>
      <c r="X35" s="114"/>
      <c r="Y35" s="149">
        <f t="shared" si="24"/>
        <v>200000000</v>
      </c>
      <c r="Z35" s="149">
        <f t="shared" si="25"/>
        <v>966666.66666666674</v>
      </c>
      <c r="AA35" s="178">
        <f t="shared" si="26"/>
        <v>0</v>
      </c>
      <c r="AB35" s="113">
        <f t="shared" si="27"/>
        <v>966666.66666666674</v>
      </c>
      <c r="AC35" s="113">
        <f t="shared" si="6"/>
        <v>908130.32710851566</v>
      </c>
      <c r="AD35" s="114">
        <f t="shared" si="28"/>
        <v>2.1666666666666665</v>
      </c>
      <c r="AE35" s="114">
        <f t="shared" si="29"/>
        <v>4.534520673618459E-3</v>
      </c>
      <c r="AF35" s="114">
        <f t="shared" si="30"/>
        <v>6.8611111111111107</v>
      </c>
      <c r="AG35" s="114"/>
      <c r="AH35" s="176">
        <f t="shared" si="31"/>
        <v>106468818.64645426</v>
      </c>
      <c r="AI35" s="176">
        <f t="shared" si="32"/>
        <v>512124.02400848793</v>
      </c>
      <c r="AJ35" s="178">
        <f t="shared" si="33"/>
        <v>-512124.02400848793</v>
      </c>
      <c r="AK35" s="113">
        <f t="shared" si="34"/>
        <v>0</v>
      </c>
      <c r="AL35" s="113">
        <f t="shared" si="7"/>
        <v>0</v>
      </c>
      <c r="AM35" s="114">
        <f t="shared" si="35"/>
        <v>2.1666666666666665</v>
      </c>
      <c r="AN35" s="114">
        <f t="shared" si="36"/>
        <v>0</v>
      </c>
      <c r="AO35" s="114">
        <f t="shared" si="37"/>
        <v>6.8611111111111107</v>
      </c>
    </row>
    <row r="36" spans="1:41" hidden="1" outlineLevel="1" x14ac:dyDescent="0.3">
      <c r="A36" s="146">
        <f t="shared" si="8"/>
        <v>14</v>
      </c>
      <c r="B36" s="147">
        <f t="shared" si="1"/>
        <v>271</v>
      </c>
      <c r="C36" s="147">
        <f t="shared" si="0"/>
        <v>89</v>
      </c>
      <c r="D36" s="149">
        <f t="shared" si="9"/>
        <v>462946725.92938358</v>
      </c>
      <c r="E36" s="149">
        <f t="shared" si="10"/>
        <v>3135043.1056323368</v>
      </c>
      <c r="F36" s="149">
        <f t="shared" si="2"/>
        <v>2327669.1815231955</v>
      </c>
      <c r="G36" s="149">
        <f t="shared" si="3"/>
        <v>2250080.2088057557</v>
      </c>
      <c r="H36" s="149">
        <f t="shared" si="11"/>
        <v>77588.972717439756</v>
      </c>
      <c r="I36" s="149">
        <f t="shared" si="12"/>
        <v>807373.92410914134</v>
      </c>
      <c r="J36" s="147">
        <f t="shared" si="13"/>
        <v>4.4999999999999998E-2</v>
      </c>
      <c r="K36" s="175">
        <f t="shared" si="4"/>
        <v>3.8296430163020645E-3</v>
      </c>
      <c r="L36" s="149">
        <f t="shared" si="14"/>
        <v>1779736.4511463605</v>
      </c>
      <c r="M36" s="149">
        <f t="shared" si="15"/>
        <v>4837190.5840612575</v>
      </c>
      <c r="N36" s="149">
        <f t="shared" si="16"/>
        <v>2587110.3752555018</v>
      </c>
      <c r="P36" s="149">
        <f t="shared" si="17"/>
        <v>155963307.99280486</v>
      </c>
      <c r="Q36" s="149">
        <f t="shared" si="18"/>
        <v>768814.25201456028</v>
      </c>
      <c r="R36" s="178">
        <f t="shared" si="19"/>
        <v>3101709.6653800309</v>
      </c>
      <c r="S36" s="113">
        <f t="shared" si="20"/>
        <v>3870523.917394591</v>
      </c>
      <c r="T36" s="113">
        <f t="shared" si="5"/>
        <v>3618714.9856978441</v>
      </c>
      <c r="U36" s="114">
        <f t="shared" si="21"/>
        <v>2.3333333333333335</v>
      </c>
      <c r="V36" s="114">
        <f t="shared" si="22"/>
        <v>1.8084542471239258E-2</v>
      </c>
      <c r="W36" s="114">
        <f t="shared" si="23"/>
        <v>7.7777777777777786</v>
      </c>
      <c r="X36" s="114"/>
      <c r="Y36" s="149">
        <f t="shared" si="24"/>
        <v>200000000</v>
      </c>
      <c r="Z36" s="149">
        <f t="shared" si="25"/>
        <v>966666.66666666674</v>
      </c>
      <c r="AA36" s="178">
        <f t="shared" si="26"/>
        <v>0</v>
      </c>
      <c r="AB36" s="113">
        <f t="shared" si="27"/>
        <v>966666.66666666674</v>
      </c>
      <c r="AC36" s="113">
        <f t="shared" si="6"/>
        <v>903777.17009328259</v>
      </c>
      <c r="AD36" s="114">
        <f t="shared" si="28"/>
        <v>2.3333333333333335</v>
      </c>
      <c r="AE36" s="114">
        <f t="shared" si="29"/>
        <v>4.5127842775397903E-3</v>
      </c>
      <c r="AF36" s="114">
        <f t="shared" si="30"/>
        <v>7.7777777777777786</v>
      </c>
      <c r="AG36" s="114"/>
      <c r="AH36" s="176">
        <f t="shared" si="31"/>
        <v>106983417.9365788</v>
      </c>
      <c r="AI36" s="176">
        <f t="shared" si="32"/>
        <v>514599.29012452892</v>
      </c>
      <c r="AJ36" s="178">
        <f t="shared" si="33"/>
        <v>-514599.29012452892</v>
      </c>
      <c r="AK36" s="113">
        <f t="shared" si="34"/>
        <v>0</v>
      </c>
      <c r="AL36" s="113">
        <f t="shared" si="7"/>
        <v>0</v>
      </c>
      <c r="AM36" s="114">
        <f t="shared" si="35"/>
        <v>2.3333333333333335</v>
      </c>
      <c r="AN36" s="114">
        <f t="shared" si="36"/>
        <v>0</v>
      </c>
      <c r="AO36" s="114">
        <f t="shared" si="37"/>
        <v>7.7777777777777786</v>
      </c>
    </row>
    <row r="37" spans="1:41" hidden="1" outlineLevel="1" x14ac:dyDescent="0.3">
      <c r="A37" s="146">
        <f t="shared" si="8"/>
        <v>15</v>
      </c>
      <c r="B37" s="147">
        <f t="shared" si="1"/>
        <v>270</v>
      </c>
      <c r="C37" s="147">
        <f t="shared" si="0"/>
        <v>90</v>
      </c>
      <c r="D37" s="149">
        <f t="shared" si="9"/>
        <v>460368597.36685252</v>
      </c>
      <c r="E37" s="149">
        <f t="shared" si="10"/>
        <v>3123037.0096970461</v>
      </c>
      <c r="F37" s="149">
        <f t="shared" si="2"/>
        <v>2314733.6296469178</v>
      </c>
      <c r="G37" s="149">
        <f t="shared" si="3"/>
        <v>2237575.8419920206</v>
      </c>
      <c r="H37" s="149">
        <f t="shared" si="11"/>
        <v>77157.787654897198</v>
      </c>
      <c r="I37" s="149">
        <f t="shared" si="12"/>
        <v>808303.38005012833</v>
      </c>
      <c r="J37" s="147">
        <f t="shared" si="13"/>
        <v>4.4999999999999998E-2</v>
      </c>
      <c r="K37" s="175">
        <f t="shared" si="4"/>
        <v>3.8296430163020645E-3</v>
      </c>
      <c r="L37" s="149">
        <f t="shared" si="14"/>
        <v>1769825.1824809073</v>
      </c>
      <c r="M37" s="149">
        <f t="shared" si="15"/>
        <v>4815704.404523056</v>
      </c>
      <c r="N37" s="149">
        <f t="shared" si="16"/>
        <v>2578128.5625310354</v>
      </c>
      <c r="P37" s="149">
        <f t="shared" si="17"/>
        <v>152868092.91024703</v>
      </c>
      <c r="Q37" s="149">
        <f t="shared" si="18"/>
        <v>753822.65529855678</v>
      </c>
      <c r="R37" s="178">
        <f t="shared" si="19"/>
        <v>3095215.0825578328</v>
      </c>
      <c r="S37" s="113">
        <f t="shared" si="20"/>
        <v>3849037.7378563895</v>
      </c>
      <c r="T37" s="113">
        <f t="shared" si="5"/>
        <v>3581376.5034091668</v>
      </c>
      <c r="U37" s="114">
        <f t="shared" si="21"/>
        <v>2.5</v>
      </c>
      <c r="V37" s="114">
        <f t="shared" si="22"/>
        <v>1.7897943258140144E-2</v>
      </c>
      <c r="W37" s="114">
        <f t="shared" si="23"/>
        <v>8.75</v>
      </c>
      <c r="X37" s="114"/>
      <c r="Y37" s="149">
        <f t="shared" si="24"/>
        <v>200000000</v>
      </c>
      <c r="Z37" s="149">
        <f t="shared" si="25"/>
        <v>966666.66666666674</v>
      </c>
      <c r="AA37" s="178">
        <f t="shared" si="26"/>
        <v>0</v>
      </c>
      <c r="AB37" s="113">
        <f t="shared" si="27"/>
        <v>966666.66666666674</v>
      </c>
      <c r="AC37" s="113">
        <f t="shared" si="6"/>
        <v>899444.88010058354</v>
      </c>
      <c r="AD37" s="114">
        <f t="shared" si="28"/>
        <v>2.5</v>
      </c>
      <c r="AE37" s="114">
        <f t="shared" si="29"/>
        <v>4.4911520756965228E-3</v>
      </c>
      <c r="AF37" s="114">
        <f t="shared" si="30"/>
        <v>8.75</v>
      </c>
      <c r="AG37" s="114"/>
      <c r="AH37" s="176">
        <f t="shared" si="31"/>
        <v>107500504.4566056</v>
      </c>
      <c r="AI37" s="176">
        <f t="shared" si="32"/>
        <v>517086.52002679755</v>
      </c>
      <c r="AJ37" s="178">
        <f t="shared" si="33"/>
        <v>-517086.52002679755</v>
      </c>
      <c r="AK37" s="113">
        <f t="shared" si="34"/>
        <v>0</v>
      </c>
      <c r="AL37" s="113">
        <f t="shared" si="7"/>
        <v>0</v>
      </c>
      <c r="AM37" s="114">
        <f t="shared" si="35"/>
        <v>2.5</v>
      </c>
      <c r="AN37" s="114">
        <f t="shared" si="36"/>
        <v>0</v>
      </c>
      <c r="AO37" s="114">
        <f t="shared" si="37"/>
        <v>8.75</v>
      </c>
    </row>
    <row r="38" spans="1:41" hidden="1" outlineLevel="1" x14ac:dyDescent="0.3">
      <c r="A38" s="146">
        <f t="shared" si="8"/>
        <v>16</v>
      </c>
      <c r="B38" s="147">
        <f t="shared" si="1"/>
        <v>269</v>
      </c>
      <c r="C38" s="147">
        <f t="shared" si="0"/>
        <v>91</v>
      </c>
      <c r="D38" s="149">
        <f t="shared" si="9"/>
        <v>457799415.15400946</v>
      </c>
      <c r="E38" s="149">
        <f t="shared" si="10"/>
        <v>3111076.8928232067</v>
      </c>
      <c r="F38" s="149">
        <f t="shared" si="2"/>
        <v>2301842.9868342625</v>
      </c>
      <c r="G38" s="149">
        <f t="shared" si="3"/>
        <v>2225114.8872731207</v>
      </c>
      <c r="H38" s="149">
        <f t="shared" si="11"/>
        <v>76728.099561141804</v>
      </c>
      <c r="I38" s="149">
        <f t="shared" si="12"/>
        <v>809233.90598894423</v>
      </c>
      <c r="J38" s="147">
        <f t="shared" si="13"/>
        <v>4.4999999999999998E-2</v>
      </c>
      <c r="K38" s="175">
        <f t="shared" si="4"/>
        <v>3.8296430163020645E-3</v>
      </c>
      <c r="L38" s="149">
        <f t="shared" si="14"/>
        <v>1759948.3068541184</v>
      </c>
      <c r="M38" s="149">
        <f t="shared" si="15"/>
        <v>4794297.100116183</v>
      </c>
      <c r="N38" s="149">
        <f t="shared" si="16"/>
        <v>2569182.2128430624</v>
      </c>
      <c r="P38" s="149">
        <f t="shared" si="17"/>
        <v>149779324.92586371</v>
      </c>
      <c r="Q38" s="149">
        <f t="shared" si="18"/>
        <v>738862.44906619401</v>
      </c>
      <c r="R38" s="178">
        <f t="shared" si="19"/>
        <v>3088767.9843833228</v>
      </c>
      <c r="S38" s="113">
        <f t="shared" si="20"/>
        <v>3827630.433449517</v>
      </c>
      <c r="T38" s="113">
        <f t="shared" si="5"/>
        <v>3544385.8754952522</v>
      </c>
      <c r="U38" s="114">
        <f t="shared" si="21"/>
        <v>2.6666666666666665</v>
      </c>
      <c r="V38" s="114">
        <f t="shared" si="22"/>
        <v>1.7713082448656416E-2</v>
      </c>
      <c r="W38" s="114">
        <f t="shared" si="23"/>
        <v>9.7777777777777768</v>
      </c>
      <c r="X38" s="114"/>
      <c r="Y38" s="149">
        <f t="shared" si="24"/>
        <v>200000000</v>
      </c>
      <c r="Z38" s="149">
        <f t="shared" si="25"/>
        <v>966666.66666666674</v>
      </c>
      <c r="AA38" s="178">
        <f t="shared" si="26"/>
        <v>0</v>
      </c>
      <c r="AB38" s="113">
        <f t="shared" si="27"/>
        <v>966666.66666666674</v>
      </c>
      <c r="AC38" s="113">
        <f t="shared" si="6"/>
        <v>895133.35710355744</v>
      </c>
      <c r="AD38" s="114">
        <f t="shared" si="28"/>
        <v>2.6666666666666665</v>
      </c>
      <c r="AE38" s="114">
        <f t="shared" si="29"/>
        <v>4.469623568629651E-3</v>
      </c>
      <c r="AF38" s="114">
        <f t="shared" si="30"/>
        <v>9.7777777777777768</v>
      </c>
      <c r="AG38" s="114"/>
      <c r="AH38" s="176">
        <f t="shared" si="31"/>
        <v>108020090.22814585</v>
      </c>
      <c r="AI38" s="176">
        <f t="shared" si="32"/>
        <v>519585.77154026041</v>
      </c>
      <c r="AJ38" s="178">
        <f t="shared" si="33"/>
        <v>-519585.77154026041</v>
      </c>
      <c r="AK38" s="113">
        <f t="shared" si="34"/>
        <v>0</v>
      </c>
      <c r="AL38" s="113">
        <f t="shared" si="7"/>
        <v>0</v>
      </c>
      <c r="AM38" s="114">
        <f t="shared" si="35"/>
        <v>2.6666666666666665</v>
      </c>
      <c r="AN38" s="114">
        <f t="shared" si="36"/>
        <v>0</v>
      </c>
      <c r="AO38" s="114">
        <f t="shared" si="37"/>
        <v>9.7777777777777768</v>
      </c>
    </row>
    <row r="39" spans="1:41" hidden="1" outlineLevel="1" x14ac:dyDescent="0.3">
      <c r="A39" s="146">
        <f t="shared" si="8"/>
        <v>17</v>
      </c>
      <c r="B39" s="147">
        <f t="shared" si="1"/>
        <v>268</v>
      </c>
      <c r="C39" s="147">
        <f t="shared" si="0"/>
        <v>92</v>
      </c>
      <c r="D39" s="149">
        <f t="shared" si="9"/>
        <v>455239143.96240157</v>
      </c>
      <c r="E39" s="149">
        <f t="shared" si="10"/>
        <v>3099162.5789274275</v>
      </c>
      <c r="F39" s="149">
        <f t="shared" si="2"/>
        <v>2288997.0757700475</v>
      </c>
      <c r="G39" s="149">
        <f t="shared" si="3"/>
        <v>2212697.173244379</v>
      </c>
      <c r="H39" s="149">
        <f t="shared" si="11"/>
        <v>76299.902525668498</v>
      </c>
      <c r="I39" s="149">
        <f t="shared" si="12"/>
        <v>810165.50315738004</v>
      </c>
      <c r="J39" s="147">
        <f t="shared" si="13"/>
        <v>4.4999999999999998E-2</v>
      </c>
      <c r="K39" s="175">
        <f t="shared" si="4"/>
        <v>3.8296430163020645E-3</v>
      </c>
      <c r="L39" s="149">
        <f t="shared" si="14"/>
        <v>1750105.6884505064</v>
      </c>
      <c r="M39" s="149">
        <f t="shared" si="15"/>
        <v>4772968.3648522655</v>
      </c>
      <c r="N39" s="149">
        <f t="shared" si="16"/>
        <v>2560271.1916078865</v>
      </c>
      <c r="P39" s="149">
        <f t="shared" si="17"/>
        <v>146696956.63148645</v>
      </c>
      <c r="Q39" s="149">
        <f t="shared" si="18"/>
        <v>723933.40380834136</v>
      </c>
      <c r="R39" s="178">
        <f t="shared" si="19"/>
        <v>3082368.294377258</v>
      </c>
      <c r="S39" s="113">
        <f t="shared" si="20"/>
        <v>3806301.6981855994</v>
      </c>
      <c r="T39" s="113">
        <f t="shared" si="5"/>
        <v>3507739.9929145277</v>
      </c>
      <c r="U39" s="114">
        <f t="shared" si="21"/>
        <v>2.8333333333333335</v>
      </c>
      <c r="V39" s="114">
        <f t="shared" si="22"/>
        <v>1.7529944505340508E-2</v>
      </c>
      <c r="W39" s="114">
        <f t="shared" si="23"/>
        <v>10.861111111111112</v>
      </c>
      <c r="X39" s="114"/>
      <c r="Y39" s="149">
        <f t="shared" si="24"/>
        <v>200000000</v>
      </c>
      <c r="Z39" s="149">
        <f t="shared" si="25"/>
        <v>966666.66666666674</v>
      </c>
      <c r="AA39" s="178">
        <f t="shared" si="26"/>
        <v>0</v>
      </c>
      <c r="AB39" s="113">
        <f t="shared" si="27"/>
        <v>966666.66666666674</v>
      </c>
      <c r="AC39" s="113">
        <f t="shared" si="6"/>
        <v>890842.50155482651</v>
      </c>
      <c r="AD39" s="114">
        <f t="shared" si="28"/>
        <v>2.8333333333333335</v>
      </c>
      <c r="AE39" s="114">
        <f t="shared" si="29"/>
        <v>4.4481982592743498E-3</v>
      </c>
      <c r="AF39" s="114">
        <f t="shared" si="30"/>
        <v>10.861111111111112</v>
      </c>
      <c r="AG39" s="114"/>
      <c r="AH39" s="176">
        <f t="shared" si="31"/>
        <v>108542187.33091523</v>
      </c>
      <c r="AI39" s="176">
        <f t="shared" si="32"/>
        <v>522097.10276937165</v>
      </c>
      <c r="AJ39" s="178">
        <f t="shared" si="33"/>
        <v>-522097.10276937165</v>
      </c>
      <c r="AK39" s="113">
        <f t="shared" si="34"/>
        <v>0</v>
      </c>
      <c r="AL39" s="113">
        <f t="shared" si="7"/>
        <v>0</v>
      </c>
      <c r="AM39" s="114">
        <f t="shared" si="35"/>
        <v>2.8333333333333335</v>
      </c>
      <c r="AN39" s="114">
        <f t="shared" si="36"/>
        <v>0</v>
      </c>
      <c r="AO39" s="114">
        <f t="shared" si="37"/>
        <v>10.861111111111112</v>
      </c>
    </row>
    <row r="40" spans="1:41" hidden="1" outlineLevel="1" x14ac:dyDescent="0.3">
      <c r="A40" s="146">
        <f t="shared" si="8"/>
        <v>18</v>
      </c>
      <c r="B40" s="147">
        <f t="shared" si="1"/>
        <v>267</v>
      </c>
      <c r="C40" s="147">
        <f t="shared" si="0"/>
        <v>93</v>
      </c>
      <c r="D40" s="149">
        <f t="shared" si="9"/>
        <v>452687748.59764296</v>
      </c>
      <c r="E40" s="149">
        <f t="shared" si="10"/>
        <v>3087293.8926006532</v>
      </c>
      <c r="F40" s="149">
        <f t="shared" si="2"/>
        <v>2276195.7198120081</v>
      </c>
      <c r="G40" s="149">
        <f t="shared" si="3"/>
        <v>2200322.5291516078</v>
      </c>
      <c r="H40" s="149">
        <f t="shared" si="11"/>
        <v>75873.190660400316</v>
      </c>
      <c r="I40" s="149">
        <f t="shared" si="12"/>
        <v>811098.17278864514</v>
      </c>
      <c r="J40" s="147">
        <f t="shared" si="13"/>
        <v>4.4999999999999998E-2</v>
      </c>
      <c r="K40" s="175">
        <f t="shared" si="4"/>
        <v>3.8296430163020645E-3</v>
      </c>
      <c r="L40" s="149">
        <f t="shared" si="14"/>
        <v>1740297.1919699861</v>
      </c>
      <c r="M40" s="149">
        <f t="shared" si="15"/>
        <v>4751717.8939102385</v>
      </c>
      <c r="N40" s="149">
        <f t="shared" si="16"/>
        <v>2551395.3647586312</v>
      </c>
      <c r="P40" s="149">
        <f t="shared" si="17"/>
        <v>143620940.69462839</v>
      </c>
      <c r="Q40" s="149">
        <f t="shared" si="18"/>
        <v>709035.29038551787</v>
      </c>
      <c r="R40" s="178">
        <f t="shared" si="19"/>
        <v>3076015.9368580547</v>
      </c>
      <c r="S40" s="113">
        <f t="shared" si="20"/>
        <v>3785051.2272435725</v>
      </c>
      <c r="T40" s="113">
        <f t="shared" si="5"/>
        <v>3471435.7738913344</v>
      </c>
      <c r="U40" s="114">
        <f t="shared" si="21"/>
        <v>3</v>
      </c>
      <c r="V40" s="114">
        <f t="shared" si="22"/>
        <v>1.7348514027006358E-2</v>
      </c>
      <c r="W40" s="114">
        <f t="shared" si="23"/>
        <v>12</v>
      </c>
      <c r="X40" s="114"/>
      <c r="Y40" s="149">
        <f t="shared" si="24"/>
        <v>200000000</v>
      </c>
      <c r="Z40" s="149">
        <f t="shared" si="25"/>
        <v>966666.66666666674</v>
      </c>
      <c r="AA40" s="178">
        <f t="shared" si="26"/>
        <v>0</v>
      </c>
      <c r="AB40" s="113">
        <f t="shared" si="27"/>
        <v>966666.66666666674</v>
      </c>
      <c r="AC40" s="113">
        <f t="shared" si="6"/>
        <v>886572.21438419714</v>
      </c>
      <c r="AD40" s="114">
        <f t="shared" si="28"/>
        <v>3</v>
      </c>
      <c r="AE40" s="114">
        <f t="shared" si="29"/>
        <v>4.4268756529484924E-3</v>
      </c>
      <c r="AF40" s="114">
        <f t="shared" si="30"/>
        <v>12</v>
      </c>
      <c r="AG40" s="114"/>
      <c r="AH40" s="176">
        <f t="shared" si="31"/>
        <v>109066807.90301464</v>
      </c>
      <c r="AI40" s="176">
        <f t="shared" si="32"/>
        <v>524620.57209942362</v>
      </c>
      <c r="AJ40" s="178">
        <f t="shared" si="33"/>
        <v>-524620.57209942362</v>
      </c>
      <c r="AK40" s="113">
        <f t="shared" si="34"/>
        <v>0</v>
      </c>
      <c r="AL40" s="113">
        <f t="shared" si="7"/>
        <v>0</v>
      </c>
      <c r="AM40" s="114">
        <f t="shared" si="35"/>
        <v>3</v>
      </c>
      <c r="AN40" s="114">
        <f t="shared" si="36"/>
        <v>0</v>
      </c>
      <c r="AO40" s="114">
        <f t="shared" si="37"/>
        <v>12</v>
      </c>
    </row>
    <row r="41" spans="1:41" hidden="1" outlineLevel="1" x14ac:dyDescent="0.3">
      <c r="A41" s="146">
        <f t="shared" si="8"/>
        <v>19</v>
      </c>
      <c r="B41" s="147">
        <f t="shared" si="1"/>
        <v>266</v>
      </c>
      <c r="C41" s="147">
        <f t="shared" si="0"/>
        <v>94</v>
      </c>
      <c r="D41" s="149">
        <f t="shared" si="9"/>
        <v>450145193.9988997</v>
      </c>
      <c r="E41" s="149">
        <f t="shared" si="10"/>
        <v>3075470.6591055831</v>
      </c>
      <c r="F41" s="149">
        <f t="shared" si="2"/>
        <v>2263438.7429882148</v>
      </c>
      <c r="G41" s="149">
        <f t="shared" si="3"/>
        <v>2187990.7848886079</v>
      </c>
      <c r="H41" s="149">
        <f t="shared" si="11"/>
        <v>75447.958099606913</v>
      </c>
      <c r="I41" s="149">
        <f t="shared" si="12"/>
        <v>812031.91611736827</v>
      </c>
      <c r="J41" s="147">
        <f t="shared" si="13"/>
        <v>4.4999999999999998E-2</v>
      </c>
      <c r="K41" s="175">
        <f t="shared" si="4"/>
        <v>3.8296430163020645E-3</v>
      </c>
      <c r="L41" s="149">
        <f t="shared" si="14"/>
        <v>1730522.6826258947</v>
      </c>
      <c r="M41" s="149">
        <f t="shared" si="15"/>
        <v>4730545.3836318711</v>
      </c>
      <c r="N41" s="149">
        <f t="shared" si="16"/>
        <v>2542554.5987432627</v>
      </c>
      <c r="P41" s="149">
        <f t="shared" si="17"/>
        <v>140551229.85768723</v>
      </c>
      <c r="Q41" s="149">
        <f t="shared" si="18"/>
        <v>694167.88002403721</v>
      </c>
      <c r="R41" s="178">
        <f t="shared" si="19"/>
        <v>3069710.8369411668</v>
      </c>
      <c r="S41" s="113">
        <f t="shared" si="20"/>
        <v>3763878.7169652041</v>
      </c>
      <c r="T41" s="113">
        <f t="shared" si="5"/>
        <v>3435470.1636790009</v>
      </c>
      <c r="U41" s="114">
        <f t="shared" si="21"/>
        <v>3.1666666666666665</v>
      </c>
      <c r="V41" s="114">
        <f t="shared" si="22"/>
        <v>1.7168775747545384E-2</v>
      </c>
      <c r="W41" s="114">
        <f t="shared" si="23"/>
        <v>13.194444444444441</v>
      </c>
      <c r="X41" s="114"/>
      <c r="Y41" s="149">
        <f t="shared" si="24"/>
        <v>200000000</v>
      </c>
      <c r="Z41" s="149">
        <f t="shared" si="25"/>
        <v>966666.66666666674</v>
      </c>
      <c r="AA41" s="178">
        <f t="shared" si="26"/>
        <v>0</v>
      </c>
      <c r="AB41" s="113">
        <f t="shared" si="27"/>
        <v>966666.66666666674</v>
      </c>
      <c r="AC41" s="113">
        <f t="shared" si="6"/>
        <v>882322.39699637191</v>
      </c>
      <c r="AD41" s="114">
        <f t="shared" si="28"/>
        <v>3.1666666666666665</v>
      </c>
      <c r="AE41" s="114">
        <f t="shared" si="29"/>
        <v>4.4056552573412287E-3</v>
      </c>
      <c r="AF41" s="114">
        <f t="shared" si="30"/>
        <v>13.194444444444441</v>
      </c>
      <c r="AG41" s="114"/>
      <c r="AH41" s="176">
        <f t="shared" si="31"/>
        <v>109593964.14121255</v>
      </c>
      <c r="AI41" s="176">
        <f t="shared" si="32"/>
        <v>527156.2381979042</v>
      </c>
      <c r="AJ41" s="178">
        <f t="shared" si="33"/>
        <v>-527156.2381979042</v>
      </c>
      <c r="AK41" s="113">
        <f t="shared" si="34"/>
        <v>0</v>
      </c>
      <c r="AL41" s="113">
        <f t="shared" si="7"/>
        <v>0</v>
      </c>
      <c r="AM41" s="114">
        <f t="shared" si="35"/>
        <v>3.1666666666666665</v>
      </c>
      <c r="AN41" s="114">
        <f t="shared" si="36"/>
        <v>0</v>
      </c>
      <c r="AO41" s="114">
        <f t="shared" si="37"/>
        <v>13.194444444444441</v>
      </c>
    </row>
    <row r="42" spans="1:41" hidden="1" outlineLevel="1" x14ac:dyDescent="0.3">
      <c r="A42" s="146">
        <f t="shared" si="8"/>
        <v>20</v>
      </c>
      <c r="B42" s="147">
        <f t="shared" si="1"/>
        <v>265</v>
      </c>
      <c r="C42" s="147">
        <f t="shared" si="0"/>
        <v>95</v>
      </c>
      <c r="D42" s="149">
        <f t="shared" si="9"/>
        <v>447611445.23837709</v>
      </c>
      <c r="E42" s="149">
        <f t="shared" si="10"/>
        <v>3063692.7043740973</v>
      </c>
      <c r="F42" s="149">
        <f t="shared" si="2"/>
        <v>2250725.9699944984</v>
      </c>
      <c r="G42" s="149">
        <f t="shared" si="3"/>
        <v>2175701.7709946819</v>
      </c>
      <c r="H42" s="149">
        <f t="shared" si="11"/>
        <v>75024.198999816552</v>
      </c>
      <c r="I42" s="149">
        <f t="shared" si="12"/>
        <v>812966.73437959887</v>
      </c>
      <c r="J42" s="147">
        <f t="shared" si="13"/>
        <v>4.4999999999999998E-2</v>
      </c>
      <c r="K42" s="175">
        <f t="shared" si="4"/>
        <v>3.8296430163020645E-3</v>
      </c>
      <c r="L42" s="149">
        <f t="shared" si="14"/>
        <v>1720782.0261430214</v>
      </c>
      <c r="M42" s="149">
        <f t="shared" si="15"/>
        <v>4709450.5315173026</v>
      </c>
      <c r="N42" s="149">
        <f t="shared" si="16"/>
        <v>2533748.7605226203</v>
      </c>
      <c r="P42" s="149">
        <f t="shared" si="17"/>
        <v>137487776.93714875</v>
      </c>
      <c r="Q42" s="149">
        <f t="shared" si="18"/>
        <v>679330.94431215501</v>
      </c>
      <c r="R42" s="178">
        <f t="shared" si="19"/>
        <v>3063452.9205384809</v>
      </c>
      <c r="S42" s="113">
        <f t="shared" si="20"/>
        <v>3742783.8648506356</v>
      </c>
      <c r="T42" s="113">
        <f t="shared" si="5"/>
        <v>3399840.1343249683</v>
      </c>
      <c r="U42" s="114">
        <f t="shared" si="21"/>
        <v>3.3333333333333335</v>
      </c>
      <c r="V42" s="114">
        <f t="shared" si="22"/>
        <v>1.6990714534752677E-2</v>
      </c>
      <c r="W42" s="114">
        <f t="shared" si="23"/>
        <v>14.444444444444446</v>
      </c>
      <c r="X42" s="114"/>
      <c r="Y42" s="149">
        <f t="shared" si="24"/>
        <v>200000000</v>
      </c>
      <c r="Z42" s="149">
        <f t="shared" si="25"/>
        <v>966666.66666666674</v>
      </c>
      <c r="AA42" s="178">
        <f t="shared" si="26"/>
        <v>0</v>
      </c>
      <c r="AB42" s="113">
        <f t="shared" si="27"/>
        <v>966666.66666666674</v>
      </c>
      <c r="AC42" s="113">
        <f t="shared" si="6"/>
        <v>878092.95126867422</v>
      </c>
      <c r="AD42" s="114">
        <f t="shared" si="28"/>
        <v>3.3333333333333335</v>
      </c>
      <c r="AE42" s="114">
        <f t="shared" si="29"/>
        <v>4.3845365825016195E-3</v>
      </c>
      <c r="AF42" s="114">
        <f t="shared" si="30"/>
        <v>14.444444444444446</v>
      </c>
      <c r="AG42" s="114"/>
      <c r="AH42" s="176">
        <f t="shared" si="31"/>
        <v>110123668.30122842</v>
      </c>
      <c r="AI42" s="176">
        <f t="shared" si="32"/>
        <v>529704.16001586069</v>
      </c>
      <c r="AJ42" s="178">
        <f t="shared" si="33"/>
        <v>-529704.16001586069</v>
      </c>
      <c r="AK42" s="113">
        <f t="shared" si="34"/>
        <v>0</v>
      </c>
      <c r="AL42" s="113">
        <f t="shared" si="7"/>
        <v>0</v>
      </c>
      <c r="AM42" s="114">
        <f t="shared" si="35"/>
        <v>3.3333333333333335</v>
      </c>
      <c r="AN42" s="114">
        <f t="shared" si="36"/>
        <v>0</v>
      </c>
      <c r="AO42" s="114">
        <f t="shared" si="37"/>
        <v>14.444444444444446</v>
      </c>
    </row>
    <row r="43" spans="1:41" hidden="1" outlineLevel="1" x14ac:dyDescent="0.3">
      <c r="A43" s="146">
        <f t="shared" si="8"/>
        <v>21</v>
      </c>
      <c r="B43" s="147">
        <f t="shared" si="1"/>
        <v>264</v>
      </c>
      <c r="C43" s="147">
        <f t="shared" si="0"/>
        <v>96</v>
      </c>
      <c r="D43" s="149">
        <f t="shared" si="9"/>
        <v>445086467.52080864</v>
      </c>
      <c r="E43" s="149">
        <f t="shared" si="10"/>
        <v>3051959.8550046952</v>
      </c>
      <c r="F43" s="149">
        <f t="shared" si="2"/>
        <v>2238057.2261918853</v>
      </c>
      <c r="G43" s="149">
        <f t="shared" si="3"/>
        <v>2163455.3186521563</v>
      </c>
      <c r="H43" s="149">
        <f t="shared" si="11"/>
        <v>74601.907539729029</v>
      </c>
      <c r="I43" s="149">
        <f t="shared" si="12"/>
        <v>813902.62881280994</v>
      </c>
      <c r="J43" s="147">
        <f t="shared" si="13"/>
        <v>4.4999999999999998E-2</v>
      </c>
      <c r="K43" s="175">
        <f t="shared" si="4"/>
        <v>3.8296430163020645E-3</v>
      </c>
      <c r="L43" s="149">
        <f t="shared" si="14"/>
        <v>1711075.0887556421</v>
      </c>
      <c r="M43" s="149">
        <f t="shared" si="15"/>
        <v>4688433.0362206083</v>
      </c>
      <c r="N43" s="149">
        <f t="shared" si="16"/>
        <v>2524977.717568452</v>
      </c>
      <c r="P43" s="149">
        <f t="shared" si="17"/>
        <v>134430534.82279104</v>
      </c>
      <c r="Q43" s="149">
        <f t="shared" si="18"/>
        <v>664524.25519621896</v>
      </c>
      <c r="R43" s="178">
        <f t="shared" si="19"/>
        <v>3057242.1143577229</v>
      </c>
      <c r="S43" s="113">
        <f t="shared" si="20"/>
        <v>3721766.3695539418</v>
      </c>
      <c r="T43" s="113">
        <f t="shared" si="5"/>
        <v>3364542.6844379455</v>
      </c>
      <c r="U43" s="114">
        <f t="shared" si="21"/>
        <v>3.5</v>
      </c>
      <c r="V43" s="114">
        <f t="shared" si="22"/>
        <v>1.6814315389163371E-2</v>
      </c>
      <c r="W43" s="114">
        <f t="shared" si="23"/>
        <v>15.75</v>
      </c>
      <c r="X43" s="114"/>
      <c r="Y43" s="149">
        <f t="shared" si="24"/>
        <v>200000000</v>
      </c>
      <c r="Z43" s="149">
        <f t="shared" si="25"/>
        <v>966666.66666666674</v>
      </c>
      <c r="AA43" s="178">
        <f t="shared" si="26"/>
        <v>0</v>
      </c>
      <c r="AB43" s="113">
        <f t="shared" si="27"/>
        <v>966666.66666666674</v>
      </c>
      <c r="AC43" s="113">
        <f t="shared" si="6"/>
        <v>873883.77954878204</v>
      </c>
      <c r="AD43" s="114">
        <f t="shared" si="28"/>
        <v>3.5</v>
      </c>
      <c r="AE43" s="114">
        <f t="shared" si="29"/>
        <v>4.3635191408273252E-3</v>
      </c>
      <c r="AF43" s="114">
        <f t="shared" si="30"/>
        <v>15.75</v>
      </c>
      <c r="AG43" s="114"/>
      <c r="AH43" s="176">
        <f t="shared" si="31"/>
        <v>110655932.69801769</v>
      </c>
      <c r="AI43" s="176">
        <f t="shared" si="32"/>
        <v>532264.39678927069</v>
      </c>
      <c r="AJ43" s="178">
        <f t="shared" si="33"/>
        <v>-532264.39678927069</v>
      </c>
      <c r="AK43" s="113">
        <f t="shared" si="34"/>
        <v>0</v>
      </c>
      <c r="AL43" s="113">
        <f t="shared" si="7"/>
        <v>0</v>
      </c>
      <c r="AM43" s="114">
        <f t="shared" si="35"/>
        <v>3.5</v>
      </c>
      <c r="AN43" s="114">
        <f t="shared" si="36"/>
        <v>0</v>
      </c>
      <c r="AO43" s="114">
        <f t="shared" si="37"/>
        <v>15.75</v>
      </c>
    </row>
    <row r="44" spans="1:41" hidden="1" outlineLevel="1" x14ac:dyDescent="0.3">
      <c r="A44" s="146">
        <f t="shared" si="8"/>
        <v>22</v>
      </c>
      <c r="B44" s="147">
        <f t="shared" si="1"/>
        <v>263</v>
      </c>
      <c r="C44" s="147">
        <f t="shared" si="0"/>
        <v>97</v>
      </c>
      <c r="D44" s="149">
        <f t="shared" si="9"/>
        <v>442570226.18294716</v>
      </c>
      <c r="E44" s="149">
        <f t="shared" si="10"/>
        <v>3040271.9382599425</v>
      </c>
      <c r="F44" s="149">
        <f t="shared" si="2"/>
        <v>2225432.3376040431</v>
      </c>
      <c r="G44" s="149">
        <f t="shared" si="3"/>
        <v>2151251.2596839084</v>
      </c>
      <c r="H44" s="149">
        <f t="shared" si="11"/>
        <v>74181.077920134645</v>
      </c>
      <c r="I44" s="149">
        <f t="shared" si="12"/>
        <v>814839.60065589938</v>
      </c>
      <c r="J44" s="147">
        <f t="shared" si="13"/>
        <v>4.4999999999999998E-2</v>
      </c>
      <c r="K44" s="175">
        <f t="shared" si="4"/>
        <v>3.8296430163020645E-3</v>
      </c>
      <c r="L44" s="149">
        <f t="shared" si="14"/>
        <v>1701401.7372055622</v>
      </c>
      <c r="M44" s="149">
        <f t="shared" si="15"/>
        <v>4667492.5975453705</v>
      </c>
      <c r="N44" s="149">
        <f t="shared" si="16"/>
        <v>2516241.3378614616</v>
      </c>
      <c r="P44" s="149">
        <f t="shared" si="17"/>
        <v>131379456.47688916</v>
      </c>
      <c r="Q44" s="149">
        <f t="shared" si="18"/>
        <v>649747.58497682342</v>
      </c>
      <c r="R44" s="178">
        <f t="shared" si="19"/>
        <v>3051078.3459018804</v>
      </c>
      <c r="S44" s="113">
        <f t="shared" si="20"/>
        <v>3700825.9308787039</v>
      </c>
      <c r="T44" s="113">
        <f t="shared" si="5"/>
        <v>3329574.8389570769</v>
      </c>
      <c r="U44" s="114">
        <f t="shared" si="21"/>
        <v>3.6666666666666665</v>
      </c>
      <c r="V44" s="114">
        <f t="shared" si="22"/>
        <v>1.6639563442899068E-2</v>
      </c>
      <c r="W44" s="114">
        <f t="shared" si="23"/>
        <v>17.111111111111107</v>
      </c>
      <c r="X44" s="114"/>
      <c r="Y44" s="149">
        <f t="shared" si="24"/>
        <v>200000000</v>
      </c>
      <c r="Z44" s="149">
        <f t="shared" si="25"/>
        <v>966666.66666666674</v>
      </c>
      <c r="AA44" s="178">
        <f t="shared" si="26"/>
        <v>0</v>
      </c>
      <c r="AB44" s="113">
        <f t="shared" si="27"/>
        <v>966666.66666666674</v>
      </c>
      <c r="AC44" s="113">
        <f t="shared" si="6"/>
        <v>869694.78465247271</v>
      </c>
      <c r="AD44" s="114">
        <f t="shared" si="28"/>
        <v>3.6666666666666665</v>
      </c>
      <c r="AE44" s="114">
        <f t="shared" si="29"/>
        <v>4.3426024470533415E-3</v>
      </c>
      <c r="AF44" s="114">
        <f t="shared" si="30"/>
        <v>17.111111111111107</v>
      </c>
      <c r="AG44" s="114"/>
      <c r="AH44" s="176">
        <f t="shared" si="31"/>
        <v>111190769.7060581</v>
      </c>
      <c r="AI44" s="176">
        <f t="shared" si="32"/>
        <v>534837.00804041885</v>
      </c>
      <c r="AJ44" s="178">
        <f t="shared" si="33"/>
        <v>-534837.00804041885</v>
      </c>
      <c r="AK44" s="113">
        <f t="shared" si="34"/>
        <v>0</v>
      </c>
      <c r="AL44" s="113">
        <f t="shared" si="7"/>
        <v>0</v>
      </c>
      <c r="AM44" s="114">
        <f t="shared" si="35"/>
        <v>3.6666666666666665</v>
      </c>
      <c r="AN44" s="114">
        <f t="shared" si="36"/>
        <v>0</v>
      </c>
      <c r="AO44" s="114">
        <f t="shared" si="37"/>
        <v>17.111111111111107</v>
      </c>
    </row>
    <row r="45" spans="1:41" hidden="1" outlineLevel="1" x14ac:dyDescent="0.3">
      <c r="A45" s="146">
        <f t="shared" si="8"/>
        <v>23</v>
      </c>
      <c r="B45" s="147">
        <f t="shared" si="1"/>
        <v>262</v>
      </c>
      <c r="C45" s="147">
        <f t="shared" si="0"/>
        <v>98</v>
      </c>
      <c r="D45" s="149">
        <f t="shared" si="9"/>
        <v>440062686.69305778</v>
      </c>
      <c r="E45" s="149">
        <f t="shared" si="10"/>
        <v>3028628.7820639261</v>
      </c>
      <c r="F45" s="149">
        <f t="shared" si="2"/>
        <v>2212851.1309147356</v>
      </c>
      <c r="G45" s="149">
        <f t="shared" si="3"/>
        <v>2139089.4265509113</v>
      </c>
      <c r="H45" s="149">
        <f t="shared" si="11"/>
        <v>73761.704363824334</v>
      </c>
      <c r="I45" s="149">
        <f t="shared" si="12"/>
        <v>815777.6511491905</v>
      </c>
      <c r="J45" s="147">
        <f t="shared" si="13"/>
        <v>4.4999999999999998E-2</v>
      </c>
      <c r="K45" s="175">
        <f t="shared" si="4"/>
        <v>3.8296430163020645E-3</v>
      </c>
      <c r="L45" s="149">
        <f t="shared" si="14"/>
        <v>1691761.8387401698</v>
      </c>
      <c r="M45" s="149">
        <f t="shared" si="15"/>
        <v>4646628.9164402718</v>
      </c>
      <c r="N45" s="149">
        <f t="shared" si="16"/>
        <v>2507539.48988936</v>
      </c>
      <c r="P45" s="149">
        <f t="shared" si="17"/>
        <v>128334494.93342052</v>
      </c>
      <c r="Q45" s="149">
        <f t="shared" si="18"/>
        <v>635000.70630496438</v>
      </c>
      <c r="R45" s="178">
        <f t="shared" si="19"/>
        <v>3044961.5434686411</v>
      </c>
      <c r="S45" s="113">
        <f t="shared" si="20"/>
        <v>3679962.2497736057</v>
      </c>
      <c r="T45" s="113">
        <f t="shared" si="5"/>
        <v>3294933.6489231167</v>
      </c>
      <c r="U45" s="114">
        <f t="shared" si="21"/>
        <v>3.8333333333333335</v>
      </c>
      <c r="V45" s="114">
        <f t="shared" si="22"/>
        <v>1.6466443958524254E-2</v>
      </c>
      <c r="W45" s="114">
        <f t="shared" si="23"/>
        <v>18.527777777777782</v>
      </c>
      <c r="X45" s="114"/>
      <c r="Y45" s="149">
        <f t="shared" si="24"/>
        <v>200000000</v>
      </c>
      <c r="Z45" s="149">
        <f t="shared" si="25"/>
        <v>966666.66666666674</v>
      </c>
      <c r="AA45" s="178">
        <f t="shared" si="26"/>
        <v>0</v>
      </c>
      <c r="AB45" s="113">
        <f t="shared" si="27"/>
        <v>966666.66666666674</v>
      </c>
      <c r="AC45" s="113">
        <f t="shared" si="6"/>
        <v>865525.86986138148</v>
      </c>
      <c r="AD45" s="114">
        <f t="shared" si="28"/>
        <v>3.8333333333333335</v>
      </c>
      <c r="AE45" s="114">
        <f t="shared" si="29"/>
        <v>4.3217860182408075E-3</v>
      </c>
      <c r="AF45" s="114">
        <f t="shared" si="30"/>
        <v>18.527777777777782</v>
      </c>
      <c r="AG45" s="114"/>
      <c r="AH45" s="176">
        <f t="shared" si="31"/>
        <v>111728191.75963739</v>
      </c>
      <c r="AI45" s="176">
        <f t="shared" si="32"/>
        <v>537422.05357928085</v>
      </c>
      <c r="AJ45" s="178">
        <f t="shared" si="33"/>
        <v>-537422.05357928085</v>
      </c>
      <c r="AK45" s="113">
        <f t="shared" si="34"/>
        <v>0</v>
      </c>
      <c r="AL45" s="113">
        <f t="shared" si="7"/>
        <v>0</v>
      </c>
      <c r="AM45" s="114">
        <f t="shared" si="35"/>
        <v>3.8333333333333335</v>
      </c>
      <c r="AN45" s="114">
        <f t="shared" si="36"/>
        <v>0</v>
      </c>
      <c r="AO45" s="114">
        <f t="shared" si="37"/>
        <v>18.527777777777782</v>
      </c>
    </row>
    <row r="46" spans="1:41" hidden="1" outlineLevel="1" x14ac:dyDescent="0.3">
      <c r="A46" s="146">
        <f t="shared" si="8"/>
        <v>24</v>
      </c>
      <c r="B46" s="147">
        <f t="shared" si="1"/>
        <v>261</v>
      </c>
      <c r="C46" s="147">
        <f t="shared" si="0"/>
        <v>99</v>
      </c>
      <c r="D46" s="149">
        <f t="shared" si="9"/>
        <v>437563814.65041286</v>
      </c>
      <c r="E46" s="149">
        <f t="shared" si="10"/>
        <v>3017030.2149997237</v>
      </c>
      <c r="F46" s="149">
        <f t="shared" si="2"/>
        <v>2200313.433465289</v>
      </c>
      <c r="G46" s="149">
        <f t="shared" si="3"/>
        <v>2126969.6523497794</v>
      </c>
      <c r="H46" s="149">
        <f t="shared" si="11"/>
        <v>73343.78111550957</v>
      </c>
      <c r="I46" s="149">
        <f t="shared" si="12"/>
        <v>816716.78153443476</v>
      </c>
      <c r="J46" s="147">
        <f t="shared" si="13"/>
        <v>4.4999999999999998E-2</v>
      </c>
      <c r="K46" s="175">
        <f t="shared" si="4"/>
        <v>3.8296430163020645E-3</v>
      </c>
      <c r="L46" s="149">
        <f t="shared" si="14"/>
        <v>1682155.2611104921</v>
      </c>
      <c r="M46" s="149">
        <f t="shared" si="15"/>
        <v>4625841.6949947067</v>
      </c>
      <c r="N46" s="149">
        <f t="shared" si="16"/>
        <v>2498872.0426449268</v>
      </c>
      <c r="P46" s="149">
        <f t="shared" si="17"/>
        <v>125295603.29727069</v>
      </c>
      <c r="Q46" s="149">
        <f t="shared" si="18"/>
        <v>620283.39217819925</v>
      </c>
      <c r="R46" s="178">
        <f t="shared" si="19"/>
        <v>3038891.6361498409</v>
      </c>
      <c r="S46" s="113">
        <f t="shared" si="20"/>
        <v>3659175.0283280401</v>
      </c>
      <c r="T46" s="113">
        <f t="shared" si="5"/>
        <v>3260616.1912515624</v>
      </c>
      <c r="U46" s="114">
        <f t="shared" si="21"/>
        <v>4</v>
      </c>
      <c r="V46" s="114">
        <f t="shared" si="22"/>
        <v>1.6294942327912555E-2</v>
      </c>
      <c r="W46" s="114">
        <f t="shared" si="23"/>
        <v>20</v>
      </c>
      <c r="X46" s="114"/>
      <c r="Y46" s="149">
        <f t="shared" si="24"/>
        <v>200000000</v>
      </c>
      <c r="Z46" s="149">
        <f t="shared" si="25"/>
        <v>966666.66666666674</v>
      </c>
      <c r="AA46" s="178">
        <f t="shared" si="26"/>
        <v>0</v>
      </c>
      <c r="AB46" s="113">
        <f t="shared" si="27"/>
        <v>966666.66666666674</v>
      </c>
      <c r="AC46" s="113">
        <f t="shared" si="6"/>
        <v>861376.93892076495</v>
      </c>
      <c r="AD46" s="114">
        <f t="shared" si="28"/>
        <v>4</v>
      </c>
      <c r="AE46" s="114">
        <f t="shared" si="29"/>
        <v>4.3010693737658423E-3</v>
      </c>
      <c r="AF46" s="114">
        <f t="shared" si="30"/>
        <v>20</v>
      </c>
      <c r="AG46" s="114"/>
      <c r="AH46" s="176">
        <f t="shared" si="31"/>
        <v>112268211.35314231</v>
      </c>
      <c r="AI46" s="176">
        <f t="shared" si="32"/>
        <v>540019.59350491408</v>
      </c>
      <c r="AJ46" s="178">
        <f t="shared" si="33"/>
        <v>-540019.59350491408</v>
      </c>
      <c r="AK46" s="113">
        <f t="shared" si="34"/>
        <v>0</v>
      </c>
      <c r="AL46" s="113">
        <f t="shared" si="7"/>
        <v>0</v>
      </c>
      <c r="AM46" s="114">
        <f t="shared" si="35"/>
        <v>4</v>
      </c>
      <c r="AN46" s="114">
        <f t="shared" si="36"/>
        <v>0</v>
      </c>
      <c r="AO46" s="114">
        <f t="shared" si="37"/>
        <v>20</v>
      </c>
    </row>
    <row r="47" spans="1:41" hidden="1" outlineLevel="1" x14ac:dyDescent="0.3">
      <c r="A47" s="146">
        <f t="shared" si="8"/>
        <v>25</v>
      </c>
      <c r="B47" s="147">
        <f t="shared" si="1"/>
        <v>260</v>
      </c>
      <c r="C47" s="147">
        <f t="shared" si="0"/>
        <v>100</v>
      </c>
      <c r="D47" s="149">
        <f t="shared" si="9"/>
        <v>435073575.78478879</v>
      </c>
      <c r="E47" s="149">
        <f t="shared" si="10"/>
        <v>3005476.0663068779</v>
      </c>
      <c r="F47" s="149">
        <f t="shared" si="2"/>
        <v>2187819.0732520642</v>
      </c>
      <c r="G47" s="149">
        <f t="shared" si="3"/>
        <v>2114891.7708103289</v>
      </c>
      <c r="H47" s="149">
        <f t="shared" si="11"/>
        <v>72927.302441735286</v>
      </c>
      <c r="I47" s="149">
        <f t="shared" si="12"/>
        <v>817656.99305481371</v>
      </c>
      <c r="J47" s="147">
        <f t="shared" si="13"/>
        <v>4.4999999999999998E-2</v>
      </c>
      <c r="K47" s="175">
        <f t="shared" si="4"/>
        <v>3.8296430163020645E-3</v>
      </c>
      <c r="L47" s="149">
        <f t="shared" si="14"/>
        <v>1672581.8725692616</v>
      </c>
      <c r="M47" s="149">
        <f t="shared" si="15"/>
        <v>4605130.6364344042</v>
      </c>
      <c r="N47" s="149">
        <f t="shared" si="16"/>
        <v>2490238.8656240753</v>
      </c>
      <c r="P47" s="149">
        <f t="shared" si="17"/>
        <v>122262734.74343975</v>
      </c>
      <c r="Q47" s="149">
        <f t="shared" si="18"/>
        <v>605595.41593680833</v>
      </c>
      <c r="R47" s="178">
        <f t="shared" si="19"/>
        <v>3032868.55383093</v>
      </c>
      <c r="S47" s="113">
        <f t="shared" si="20"/>
        <v>3638463.9697677381</v>
      </c>
      <c r="T47" s="113">
        <f t="shared" si="5"/>
        <v>3226619.5685077747</v>
      </c>
      <c r="U47" s="114">
        <f t="shared" si="21"/>
        <v>4.166666666666667</v>
      </c>
      <c r="V47" s="114">
        <f t="shared" si="22"/>
        <v>1.6125044071122883E-2</v>
      </c>
      <c r="W47" s="114">
        <f t="shared" si="23"/>
        <v>21.527777777777782</v>
      </c>
      <c r="X47" s="114"/>
      <c r="Y47" s="149">
        <f t="shared" si="24"/>
        <v>200000000</v>
      </c>
      <c r="Z47" s="149">
        <f t="shared" si="25"/>
        <v>966666.66666666674</v>
      </c>
      <c r="AA47" s="178">
        <f t="shared" si="26"/>
        <v>0</v>
      </c>
      <c r="AB47" s="113">
        <f t="shared" si="27"/>
        <v>966666.66666666674</v>
      </c>
      <c r="AC47" s="113">
        <f t="shared" si="6"/>
        <v>857247.89603728172</v>
      </c>
      <c r="AD47" s="114">
        <f t="shared" si="28"/>
        <v>4.166666666666667</v>
      </c>
      <c r="AE47" s="114">
        <f t="shared" si="29"/>
        <v>4.2804520353084581E-3</v>
      </c>
      <c r="AF47" s="114">
        <f t="shared" si="30"/>
        <v>21.527777777777782</v>
      </c>
      <c r="AG47" s="114"/>
      <c r="AH47" s="176">
        <f t="shared" si="31"/>
        <v>112810841.04134916</v>
      </c>
      <c r="AI47" s="176">
        <f t="shared" si="32"/>
        <v>542629.68820685451</v>
      </c>
      <c r="AJ47" s="178">
        <f t="shared" si="33"/>
        <v>-542629.68820685451</v>
      </c>
      <c r="AK47" s="113">
        <f t="shared" si="34"/>
        <v>0</v>
      </c>
      <c r="AL47" s="113">
        <f t="shared" si="7"/>
        <v>0</v>
      </c>
      <c r="AM47" s="114">
        <f t="shared" si="35"/>
        <v>4.166666666666667</v>
      </c>
      <c r="AN47" s="114">
        <f t="shared" si="36"/>
        <v>0</v>
      </c>
      <c r="AO47" s="114">
        <f t="shared" si="37"/>
        <v>21.527777777777782</v>
      </c>
    </row>
    <row r="48" spans="1:41" hidden="1" outlineLevel="1" x14ac:dyDescent="0.3">
      <c r="A48" s="146">
        <f t="shared" si="8"/>
        <v>26</v>
      </c>
      <c r="B48" s="147">
        <f t="shared" si="1"/>
        <v>259</v>
      </c>
      <c r="C48" s="147">
        <f t="shared" si="0"/>
        <v>101</v>
      </c>
      <c r="D48" s="149">
        <f t="shared" si="9"/>
        <v>432591935.95596486</v>
      </c>
      <c r="E48" s="149">
        <f t="shared" si="10"/>
        <v>2993966.1658788826</v>
      </c>
      <c r="F48" s="149">
        <f t="shared" si="2"/>
        <v>2175367.8789239442</v>
      </c>
      <c r="G48" s="149">
        <f t="shared" si="3"/>
        <v>2102855.6162931458</v>
      </c>
      <c r="H48" s="149">
        <f t="shared" si="11"/>
        <v>72512.262630798388</v>
      </c>
      <c r="I48" s="149">
        <f t="shared" si="12"/>
        <v>818598.28695493843</v>
      </c>
      <c r="J48" s="147">
        <f t="shared" si="13"/>
        <v>4.4999999999999998E-2</v>
      </c>
      <c r="K48" s="175">
        <f t="shared" si="4"/>
        <v>3.8296430163020645E-3</v>
      </c>
      <c r="L48" s="149">
        <f t="shared" si="14"/>
        <v>1663041.5418689896</v>
      </c>
      <c r="M48" s="149">
        <f t="shared" si="15"/>
        <v>4584495.4451170741</v>
      </c>
      <c r="N48" s="149">
        <f t="shared" si="16"/>
        <v>2481639.8288239278</v>
      </c>
      <c r="P48" s="149">
        <f t="shared" si="17"/>
        <v>119235842.5162493</v>
      </c>
      <c r="Q48" s="149">
        <f t="shared" si="18"/>
        <v>590936.55125995877</v>
      </c>
      <c r="R48" s="178">
        <f t="shared" si="19"/>
        <v>3026892.2271904489</v>
      </c>
      <c r="S48" s="113">
        <f t="shared" si="20"/>
        <v>3617828.7784504076</v>
      </c>
      <c r="T48" s="113">
        <f t="shared" si="5"/>
        <v>3192940.9086840218</v>
      </c>
      <c r="U48" s="114">
        <f t="shared" si="21"/>
        <v>4.333333333333333</v>
      </c>
      <c r="V48" s="114">
        <f t="shared" si="22"/>
        <v>1.5956734835285227E-2</v>
      </c>
      <c r="W48" s="114">
        <f t="shared" si="23"/>
        <v>23.111111111111107</v>
      </c>
      <c r="X48" s="114"/>
      <c r="Y48" s="149">
        <f t="shared" si="24"/>
        <v>200000000</v>
      </c>
      <c r="Z48" s="149">
        <f t="shared" si="25"/>
        <v>966666.66666666674</v>
      </c>
      <c r="AA48" s="178">
        <f t="shared" si="26"/>
        <v>0</v>
      </c>
      <c r="AB48" s="113">
        <f t="shared" si="27"/>
        <v>966666.66666666674</v>
      </c>
      <c r="AC48" s="113">
        <f t="shared" si="6"/>
        <v>853138.64587677876</v>
      </c>
      <c r="AD48" s="114">
        <f t="shared" si="28"/>
        <v>4.333333333333333</v>
      </c>
      <c r="AE48" s="114">
        <f t="shared" si="29"/>
        <v>4.2599335268415075E-3</v>
      </c>
      <c r="AF48" s="114">
        <f t="shared" si="30"/>
        <v>23.111111111111107</v>
      </c>
      <c r="AG48" s="114"/>
      <c r="AH48" s="176">
        <f t="shared" si="31"/>
        <v>113356093.43971568</v>
      </c>
      <c r="AI48" s="176">
        <f t="shared" si="32"/>
        <v>545252.398366521</v>
      </c>
      <c r="AJ48" s="178">
        <f t="shared" si="33"/>
        <v>-545252.398366521</v>
      </c>
      <c r="AK48" s="113">
        <f t="shared" si="34"/>
        <v>0</v>
      </c>
      <c r="AL48" s="113">
        <f t="shared" si="7"/>
        <v>0</v>
      </c>
      <c r="AM48" s="114">
        <f t="shared" si="35"/>
        <v>4.333333333333333</v>
      </c>
      <c r="AN48" s="114">
        <f t="shared" si="36"/>
        <v>0</v>
      </c>
      <c r="AO48" s="114">
        <f t="shared" si="37"/>
        <v>23.111111111111107</v>
      </c>
    </row>
    <row r="49" spans="1:41" hidden="1" outlineLevel="1" x14ac:dyDescent="0.3">
      <c r="A49" s="146">
        <f t="shared" si="8"/>
        <v>27</v>
      </c>
      <c r="B49" s="147">
        <f t="shared" si="1"/>
        <v>258</v>
      </c>
      <c r="C49" s="147">
        <f t="shared" si="0"/>
        <v>102</v>
      </c>
      <c r="D49" s="149">
        <f t="shared" si="9"/>
        <v>430118861.15322393</v>
      </c>
      <c r="E49" s="149">
        <f t="shared" si="10"/>
        <v>2982500.34426068</v>
      </c>
      <c r="F49" s="149">
        <f t="shared" si="2"/>
        <v>2162959.6797798243</v>
      </c>
      <c r="G49" s="149">
        <f t="shared" si="3"/>
        <v>2090861.0237871637</v>
      </c>
      <c r="H49" s="149">
        <f t="shared" si="11"/>
        <v>72098.655992660671</v>
      </c>
      <c r="I49" s="149">
        <f t="shared" si="12"/>
        <v>819540.66448085569</v>
      </c>
      <c r="J49" s="147">
        <f t="shared" si="13"/>
        <v>4.4999999999999998E-2</v>
      </c>
      <c r="K49" s="175">
        <f t="shared" si="4"/>
        <v>3.8296430163020645E-3</v>
      </c>
      <c r="L49" s="149">
        <f t="shared" si="14"/>
        <v>1653534.138260046</v>
      </c>
      <c r="M49" s="149">
        <f t="shared" si="15"/>
        <v>4563935.8265280649</v>
      </c>
      <c r="N49" s="149">
        <f t="shared" si="16"/>
        <v>2473074.8027409017</v>
      </c>
      <c r="P49" s="149">
        <f t="shared" si="17"/>
        <v>116214879.92854977</v>
      </c>
      <c r="Q49" s="149">
        <f t="shared" si="18"/>
        <v>576306.57216187159</v>
      </c>
      <c r="R49" s="178">
        <f t="shared" si="19"/>
        <v>3020962.5876995274</v>
      </c>
      <c r="S49" s="113">
        <f t="shared" si="20"/>
        <v>3597269.1598613989</v>
      </c>
      <c r="T49" s="113">
        <f t="shared" si="5"/>
        <v>3159577.3649784666</v>
      </c>
      <c r="U49" s="114">
        <f t="shared" si="21"/>
        <v>4.5</v>
      </c>
      <c r="V49" s="114">
        <f t="shared" si="22"/>
        <v>1.579000039349613E-2</v>
      </c>
      <c r="W49" s="114">
        <f t="shared" si="23"/>
        <v>24.75</v>
      </c>
      <c r="X49" s="114"/>
      <c r="Y49" s="149">
        <f t="shared" si="24"/>
        <v>200000000</v>
      </c>
      <c r="Z49" s="149">
        <f t="shared" si="25"/>
        <v>966666.66666666674</v>
      </c>
      <c r="AA49" s="178">
        <f t="shared" si="26"/>
        <v>0</v>
      </c>
      <c r="AB49" s="113">
        <f t="shared" si="27"/>
        <v>966666.66666666674</v>
      </c>
      <c r="AC49" s="113">
        <f t="shared" si="6"/>
        <v>849049.09356209089</v>
      </c>
      <c r="AD49" s="114">
        <f t="shared" si="28"/>
        <v>4.5</v>
      </c>
      <c r="AE49" s="114">
        <f t="shared" si="29"/>
        <v>4.2395133746196993E-3</v>
      </c>
      <c r="AF49" s="114">
        <f t="shared" si="30"/>
        <v>24.75</v>
      </c>
      <c r="AG49" s="114"/>
      <c r="AH49" s="176">
        <f t="shared" si="31"/>
        <v>113903981.22467431</v>
      </c>
      <c r="AI49" s="176">
        <f t="shared" si="32"/>
        <v>547887.78495862579</v>
      </c>
      <c r="AJ49" s="178">
        <f t="shared" si="33"/>
        <v>-547887.78495862579</v>
      </c>
      <c r="AK49" s="113">
        <f t="shared" si="34"/>
        <v>0</v>
      </c>
      <c r="AL49" s="113">
        <f t="shared" si="7"/>
        <v>0</v>
      </c>
      <c r="AM49" s="114">
        <f t="shared" si="35"/>
        <v>4.5</v>
      </c>
      <c r="AN49" s="114">
        <f t="shared" si="36"/>
        <v>0</v>
      </c>
      <c r="AO49" s="114">
        <f t="shared" si="37"/>
        <v>24.75</v>
      </c>
    </row>
    <row r="50" spans="1:41" hidden="1" outlineLevel="1" x14ac:dyDescent="0.3">
      <c r="A50" s="146">
        <f t="shared" si="8"/>
        <v>28</v>
      </c>
      <c r="B50" s="147">
        <f t="shared" si="1"/>
        <v>257</v>
      </c>
      <c r="C50" s="147">
        <f t="shared" si="0"/>
        <v>103</v>
      </c>
      <c r="D50" s="149">
        <f t="shared" si="9"/>
        <v>427654317.49485511</v>
      </c>
      <c r="E50" s="149">
        <f t="shared" si="10"/>
        <v>2971078.4326461637</v>
      </c>
      <c r="F50" s="149">
        <f t="shared" si="2"/>
        <v>2150594.3057661196</v>
      </c>
      <c r="G50" s="149">
        <f t="shared" si="3"/>
        <v>2078907.828907249</v>
      </c>
      <c r="H50" s="149">
        <f t="shared" si="11"/>
        <v>71686.476858870592</v>
      </c>
      <c r="I50" s="149">
        <f t="shared" si="12"/>
        <v>820484.12688004412</v>
      </c>
      <c r="J50" s="147">
        <f t="shared" si="13"/>
        <v>4.4999999999999998E-2</v>
      </c>
      <c r="K50" s="175">
        <f t="shared" si="4"/>
        <v>3.8296430163020645E-3</v>
      </c>
      <c r="L50" s="149">
        <f t="shared" si="14"/>
        <v>1644059.5314887485</v>
      </c>
      <c r="M50" s="149">
        <f t="shared" si="15"/>
        <v>4543451.4872760419</v>
      </c>
      <c r="N50" s="149">
        <f t="shared" si="16"/>
        <v>2464543.6583687924</v>
      </c>
      <c r="P50" s="149">
        <f t="shared" si="17"/>
        <v>113199800.36092839</v>
      </c>
      <c r="Q50" s="149">
        <f t="shared" si="18"/>
        <v>561705.25298799062</v>
      </c>
      <c r="R50" s="178">
        <f t="shared" si="19"/>
        <v>3015079.5676213847</v>
      </c>
      <c r="S50" s="113">
        <f t="shared" si="20"/>
        <v>3576784.8206093754</v>
      </c>
      <c r="T50" s="113">
        <f t="shared" si="5"/>
        <v>3126526.115576061</v>
      </c>
      <c r="U50" s="114">
        <f t="shared" si="21"/>
        <v>4.666666666666667</v>
      </c>
      <c r="V50" s="114">
        <f t="shared" si="22"/>
        <v>1.5624826643723722E-2</v>
      </c>
      <c r="W50" s="114">
        <f t="shared" si="23"/>
        <v>26.444444444444446</v>
      </c>
      <c r="X50" s="114"/>
      <c r="Y50" s="149">
        <f t="shared" si="24"/>
        <v>200000000</v>
      </c>
      <c r="Z50" s="149">
        <f t="shared" si="25"/>
        <v>966666.66666666674</v>
      </c>
      <c r="AA50" s="178">
        <f t="shared" si="26"/>
        <v>0</v>
      </c>
      <c r="AB50" s="113">
        <f t="shared" si="27"/>
        <v>966666.66666666674</v>
      </c>
      <c r="AC50" s="113">
        <f t="shared" si="6"/>
        <v>844979.14467085083</v>
      </c>
      <c r="AD50" s="114">
        <f t="shared" si="28"/>
        <v>4.666666666666667</v>
      </c>
      <c r="AE50" s="114">
        <f t="shared" si="29"/>
        <v>4.21919110716866E-3</v>
      </c>
      <c r="AF50" s="114">
        <f t="shared" si="30"/>
        <v>26.444444444444446</v>
      </c>
      <c r="AG50" s="114"/>
      <c r="AH50" s="176">
        <f t="shared" si="31"/>
        <v>114454517.13392691</v>
      </c>
      <c r="AI50" s="176">
        <f t="shared" si="32"/>
        <v>550535.9092525926</v>
      </c>
      <c r="AJ50" s="178">
        <f t="shared" si="33"/>
        <v>-550535.9092525926</v>
      </c>
      <c r="AK50" s="113">
        <f t="shared" si="34"/>
        <v>0</v>
      </c>
      <c r="AL50" s="113">
        <f t="shared" si="7"/>
        <v>0</v>
      </c>
      <c r="AM50" s="114">
        <f t="shared" si="35"/>
        <v>4.666666666666667</v>
      </c>
      <c r="AN50" s="114">
        <f t="shared" si="36"/>
        <v>0</v>
      </c>
      <c r="AO50" s="114">
        <f t="shared" si="37"/>
        <v>26.444444444444446</v>
      </c>
    </row>
    <row r="51" spans="1:41" hidden="1" outlineLevel="1" x14ac:dyDescent="0.3">
      <c r="A51" s="146">
        <f t="shared" si="8"/>
        <v>29</v>
      </c>
      <c r="B51" s="147">
        <f t="shared" si="1"/>
        <v>256</v>
      </c>
      <c r="C51" s="147">
        <f t="shared" si="0"/>
        <v>104</v>
      </c>
      <c r="D51" s="149">
        <f t="shared" si="9"/>
        <v>425198271.22765827</v>
      </c>
      <c r="E51" s="149">
        <f t="shared" si="10"/>
        <v>2959700.2628756948</v>
      </c>
      <c r="F51" s="149">
        <f t="shared" si="2"/>
        <v>2138271.5874742754</v>
      </c>
      <c r="G51" s="149">
        <f t="shared" si="3"/>
        <v>2066995.8678917999</v>
      </c>
      <c r="H51" s="149">
        <f t="shared" si="11"/>
        <v>71275.719582475489</v>
      </c>
      <c r="I51" s="149">
        <f t="shared" si="12"/>
        <v>821428.6754014194</v>
      </c>
      <c r="J51" s="147">
        <f t="shared" si="13"/>
        <v>4.4999999999999998E-2</v>
      </c>
      <c r="K51" s="175">
        <f t="shared" si="4"/>
        <v>3.8296430163020645E-3</v>
      </c>
      <c r="L51" s="149">
        <f t="shared" si="14"/>
        <v>1634617.5917954564</v>
      </c>
      <c r="M51" s="149">
        <f t="shared" si="15"/>
        <v>4523042.1350886757</v>
      </c>
      <c r="N51" s="149">
        <f t="shared" si="16"/>
        <v>2456046.267196876</v>
      </c>
      <c r="P51" s="149">
        <f t="shared" si="17"/>
        <v>110190557.26091753</v>
      </c>
      <c r="Q51" s="149">
        <f t="shared" si="18"/>
        <v>547132.3684111539</v>
      </c>
      <c r="R51" s="178">
        <f t="shared" si="19"/>
        <v>3009243.1000108561</v>
      </c>
      <c r="S51" s="113">
        <f t="shared" si="20"/>
        <v>3556375.4684220101</v>
      </c>
      <c r="T51" s="113">
        <f t="shared" si="5"/>
        <v>3093784.3634313294</v>
      </c>
      <c r="U51" s="114">
        <f t="shared" si="21"/>
        <v>4.833333333333333</v>
      </c>
      <c r="V51" s="114">
        <f t="shared" si="22"/>
        <v>1.5461199607722156E-2</v>
      </c>
      <c r="W51" s="114">
        <f t="shared" si="23"/>
        <v>28.194444444444443</v>
      </c>
      <c r="X51" s="114"/>
      <c r="Y51" s="149">
        <f t="shared" si="24"/>
        <v>200000000</v>
      </c>
      <c r="Z51" s="149">
        <f t="shared" si="25"/>
        <v>966666.66666666674</v>
      </c>
      <c r="AA51" s="178">
        <f t="shared" si="26"/>
        <v>0</v>
      </c>
      <c r="AB51" s="113">
        <f t="shared" si="27"/>
        <v>966666.66666666674</v>
      </c>
      <c r="AC51" s="113">
        <f t="shared" si="6"/>
        <v>840928.70523330756</v>
      </c>
      <c r="AD51" s="114">
        <f t="shared" si="28"/>
        <v>4.833333333333333</v>
      </c>
      <c r="AE51" s="114">
        <f t="shared" si="29"/>
        <v>4.1989662552740434E-3</v>
      </c>
      <c r="AF51" s="114">
        <f t="shared" si="30"/>
        <v>28.194444444444443</v>
      </c>
      <c r="AG51" s="114"/>
      <c r="AH51" s="176">
        <f t="shared" si="31"/>
        <v>115007713.96674089</v>
      </c>
      <c r="AI51" s="176">
        <f t="shared" si="32"/>
        <v>553196.83281398006</v>
      </c>
      <c r="AJ51" s="178">
        <f t="shared" si="33"/>
        <v>-553196.83281398006</v>
      </c>
      <c r="AK51" s="113">
        <f t="shared" si="34"/>
        <v>0</v>
      </c>
      <c r="AL51" s="113">
        <f t="shared" si="7"/>
        <v>0</v>
      </c>
      <c r="AM51" s="114">
        <f t="shared" si="35"/>
        <v>4.833333333333333</v>
      </c>
      <c r="AN51" s="114">
        <f t="shared" si="36"/>
        <v>0</v>
      </c>
      <c r="AO51" s="114">
        <f t="shared" si="37"/>
        <v>28.194444444444443</v>
      </c>
    </row>
    <row r="52" spans="1:41" hidden="1" outlineLevel="1" x14ac:dyDescent="0.3">
      <c r="A52" s="146">
        <f t="shared" si="8"/>
        <v>30</v>
      </c>
      <c r="B52" s="147">
        <f t="shared" si="1"/>
        <v>255</v>
      </c>
      <c r="C52" s="147">
        <f t="shared" si="0"/>
        <v>105</v>
      </c>
      <c r="D52" s="149">
        <f t="shared" si="9"/>
        <v>422750688.72645026</v>
      </c>
      <c r="E52" s="149">
        <f t="shared" si="10"/>
        <v>2948365.6674336256</v>
      </c>
      <c r="F52" s="149">
        <f t="shared" si="2"/>
        <v>2125991.3561382913</v>
      </c>
      <c r="G52" s="149">
        <f t="shared" si="3"/>
        <v>2055124.9776003484</v>
      </c>
      <c r="H52" s="149">
        <f t="shared" si="11"/>
        <v>70866.378537942888</v>
      </c>
      <c r="I52" s="149">
        <f t="shared" si="12"/>
        <v>822374.31129533425</v>
      </c>
      <c r="J52" s="147">
        <f t="shared" si="13"/>
        <v>4.4999999999999998E-2</v>
      </c>
      <c r="K52" s="175">
        <f t="shared" si="4"/>
        <v>3.8296430163020645E-3</v>
      </c>
      <c r="L52" s="149">
        <f t="shared" si="14"/>
        <v>1625208.1899126743</v>
      </c>
      <c r="M52" s="149">
        <f t="shared" si="15"/>
        <v>4502707.4788083564</v>
      </c>
      <c r="N52" s="149">
        <f t="shared" si="16"/>
        <v>2447582.5012080083</v>
      </c>
      <c r="P52" s="149">
        <f t="shared" si="17"/>
        <v>107187104.1422036</v>
      </c>
      <c r="Q52" s="149">
        <f t="shared" si="18"/>
        <v>532587.69342776807</v>
      </c>
      <c r="R52" s="178">
        <f t="shared" si="19"/>
        <v>3003453.1187139228</v>
      </c>
      <c r="S52" s="113">
        <f t="shared" si="20"/>
        <v>3536040.8121416909</v>
      </c>
      <c r="T52" s="113">
        <f t="shared" si="5"/>
        <v>3061349.3360530413</v>
      </c>
      <c r="U52" s="114">
        <f t="shared" si="21"/>
        <v>5</v>
      </c>
      <c r="V52" s="114">
        <f t="shared" si="22"/>
        <v>1.529910542995553E-2</v>
      </c>
      <c r="W52" s="114">
        <f t="shared" si="23"/>
        <v>30</v>
      </c>
      <c r="X52" s="114"/>
      <c r="Y52" s="149">
        <f t="shared" si="24"/>
        <v>200000000</v>
      </c>
      <c r="Z52" s="149">
        <f t="shared" si="25"/>
        <v>966666.66666666674</v>
      </c>
      <c r="AA52" s="178">
        <f t="shared" si="26"/>
        <v>0</v>
      </c>
      <c r="AB52" s="113">
        <f t="shared" si="27"/>
        <v>966666.66666666674</v>
      </c>
      <c r="AC52" s="113">
        <f t="shared" si="6"/>
        <v>836897.68173015816</v>
      </c>
      <c r="AD52" s="114">
        <f t="shared" si="28"/>
        <v>5</v>
      </c>
      <c r="AE52" s="114">
        <f t="shared" si="29"/>
        <v>4.1788383519707015E-3</v>
      </c>
      <c r="AF52" s="114">
        <f t="shared" si="30"/>
        <v>30</v>
      </c>
      <c r="AG52" s="114"/>
      <c r="AH52" s="176">
        <f t="shared" si="31"/>
        <v>115563584.5842468</v>
      </c>
      <c r="AI52" s="176">
        <f t="shared" si="32"/>
        <v>555870.6175059143</v>
      </c>
      <c r="AJ52" s="178">
        <f t="shared" si="33"/>
        <v>-555870.6175059143</v>
      </c>
      <c r="AK52" s="113">
        <f t="shared" si="34"/>
        <v>0</v>
      </c>
      <c r="AL52" s="113">
        <f t="shared" si="7"/>
        <v>0</v>
      </c>
      <c r="AM52" s="114">
        <f t="shared" si="35"/>
        <v>5</v>
      </c>
      <c r="AN52" s="114">
        <f t="shared" si="36"/>
        <v>0</v>
      </c>
      <c r="AO52" s="114">
        <f t="shared" si="37"/>
        <v>30</v>
      </c>
    </row>
    <row r="53" spans="1:41" hidden="1" outlineLevel="1" x14ac:dyDescent="0.3">
      <c r="A53" s="146">
        <f t="shared" si="8"/>
        <v>31</v>
      </c>
      <c r="B53" s="147">
        <f t="shared" si="1"/>
        <v>254</v>
      </c>
      <c r="C53" s="147">
        <f t="shared" si="0"/>
        <v>106</v>
      </c>
      <c r="D53" s="149">
        <f t="shared" si="9"/>
        <v>420311536.49357355</v>
      </c>
      <c r="E53" s="149">
        <f t="shared" si="10"/>
        <v>2937074.4794458337</v>
      </c>
      <c r="F53" s="149">
        <f t="shared" si="2"/>
        <v>2113753.4436322516</v>
      </c>
      <c r="G53" s="149">
        <f t="shared" si="3"/>
        <v>2043294.9955111763</v>
      </c>
      <c r="H53" s="149">
        <f t="shared" si="11"/>
        <v>70458.448121075286</v>
      </c>
      <c r="I53" s="149">
        <f t="shared" si="12"/>
        <v>823321.03581358213</v>
      </c>
      <c r="J53" s="147">
        <f t="shared" si="13"/>
        <v>4.4999999999999998E-2</v>
      </c>
      <c r="K53" s="175">
        <f t="shared" si="4"/>
        <v>3.8296430163020645E-3</v>
      </c>
      <c r="L53" s="149">
        <f t="shared" si="14"/>
        <v>1615831.1970631601</v>
      </c>
      <c r="M53" s="149">
        <f t="shared" si="15"/>
        <v>4482447.2283879183</v>
      </c>
      <c r="N53" s="149">
        <f t="shared" si="16"/>
        <v>2439152.2328767423</v>
      </c>
      <c r="P53" s="149">
        <f t="shared" si="17"/>
        <v>104189394.58383633</v>
      </c>
      <c r="Q53" s="149">
        <f t="shared" si="18"/>
        <v>518071.0033539841</v>
      </c>
      <c r="R53" s="178">
        <f t="shared" si="19"/>
        <v>2997709.5583672686</v>
      </c>
      <c r="S53" s="113">
        <f t="shared" si="20"/>
        <v>3515780.5617212527</v>
      </c>
      <c r="T53" s="113">
        <f t="shared" si="5"/>
        <v>3029218.2852907465</v>
      </c>
      <c r="U53" s="114">
        <f t="shared" si="21"/>
        <v>5.166666666666667</v>
      </c>
      <c r="V53" s="114">
        <f t="shared" si="22"/>
        <v>1.5138530376531087E-2</v>
      </c>
      <c r="W53" s="114">
        <f t="shared" si="23"/>
        <v>31.861111111111114</v>
      </c>
      <c r="X53" s="114"/>
      <c r="Y53" s="149">
        <f t="shared" si="24"/>
        <v>200000000</v>
      </c>
      <c r="Z53" s="149">
        <f t="shared" si="25"/>
        <v>966666.66666666674</v>
      </c>
      <c r="AA53" s="178">
        <f t="shared" si="26"/>
        <v>0</v>
      </c>
      <c r="AB53" s="113">
        <f t="shared" si="27"/>
        <v>966666.66666666674</v>
      </c>
      <c r="AC53" s="113">
        <f t="shared" si="6"/>
        <v>832885.98109038814</v>
      </c>
      <c r="AD53" s="114">
        <f t="shared" si="28"/>
        <v>5.166666666666667</v>
      </c>
      <c r="AE53" s="114">
        <f t="shared" si="29"/>
        <v>4.1588069325319008E-3</v>
      </c>
      <c r="AF53" s="114">
        <f t="shared" si="30"/>
        <v>31.861111111111114</v>
      </c>
      <c r="AG53" s="114"/>
      <c r="AH53" s="176">
        <f t="shared" si="31"/>
        <v>116122141.90973732</v>
      </c>
      <c r="AI53" s="176">
        <f t="shared" si="32"/>
        <v>558557.32549052627</v>
      </c>
      <c r="AJ53" s="178">
        <f t="shared" si="33"/>
        <v>-558557.32549052627</v>
      </c>
      <c r="AK53" s="113">
        <f t="shared" si="34"/>
        <v>0</v>
      </c>
      <c r="AL53" s="113">
        <f t="shared" si="7"/>
        <v>0</v>
      </c>
      <c r="AM53" s="114">
        <f t="shared" si="35"/>
        <v>5.166666666666667</v>
      </c>
      <c r="AN53" s="114">
        <f t="shared" si="36"/>
        <v>0</v>
      </c>
      <c r="AO53" s="114">
        <f t="shared" si="37"/>
        <v>31.861111111111114</v>
      </c>
    </row>
    <row r="54" spans="1:41" hidden="1" outlineLevel="1" x14ac:dyDescent="0.3">
      <c r="A54" s="146">
        <f t="shared" si="8"/>
        <v>32</v>
      </c>
      <c r="B54" s="147">
        <f t="shared" si="1"/>
        <v>253</v>
      </c>
      <c r="C54" s="147">
        <f t="shared" si="0"/>
        <v>107</v>
      </c>
      <c r="D54" s="149">
        <f t="shared" si="9"/>
        <v>417880781.15840608</v>
      </c>
      <c r="E54" s="149">
        <f t="shared" si="10"/>
        <v>2925826.5326772649</v>
      </c>
      <c r="F54" s="149">
        <f t="shared" si="2"/>
        <v>2101557.6824678676</v>
      </c>
      <c r="G54" s="149">
        <f t="shared" si="3"/>
        <v>2031505.759718939</v>
      </c>
      <c r="H54" s="149">
        <f t="shared" si="11"/>
        <v>70051.922748928657</v>
      </c>
      <c r="I54" s="149">
        <f t="shared" si="12"/>
        <v>824268.85020939726</v>
      </c>
      <c r="J54" s="147">
        <f t="shared" si="13"/>
        <v>4.4999999999999998E-2</v>
      </c>
      <c r="K54" s="175">
        <f t="shared" si="4"/>
        <v>3.8296430163020645E-3</v>
      </c>
      <c r="L54" s="149">
        <f t="shared" si="14"/>
        <v>1606486.4849580445</v>
      </c>
      <c r="M54" s="149">
        <f t="shared" si="15"/>
        <v>4462261.0948863802</v>
      </c>
      <c r="N54" s="149">
        <f t="shared" si="16"/>
        <v>2430755.3351674415</v>
      </c>
      <c r="P54" s="149">
        <f t="shared" si="17"/>
        <v>101197382.2294385</v>
      </c>
      <c r="Q54" s="149">
        <f t="shared" si="18"/>
        <v>503582.07382187562</v>
      </c>
      <c r="R54" s="178">
        <f t="shared" si="19"/>
        <v>2992012.3543978385</v>
      </c>
      <c r="S54" s="113">
        <f t="shared" si="20"/>
        <v>3495594.4282197142</v>
      </c>
      <c r="T54" s="113">
        <f t="shared" si="5"/>
        <v>2997388.4871231448</v>
      </c>
      <c r="U54" s="114">
        <f t="shared" si="21"/>
        <v>5.333333333333333</v>
      </c>
      <c r="V54" s="114">
        <f t="shared" si="22"/>
        <v>1.4979460834141591E-2</v>
      </c>
      <c r="W54" s="114">
        <f t="shared" si="23"/>
        <v>33.777777777777771</v>
      </c>
      <c r="X54" s="114"/>
      <c r="Y54" s="149">
        <f t="shared" si="24"/>
        <v>200000000</v>
      </c>
      <c r="Z54" s="149">
        <f t="shared" si="25"/>
        <v>966666.66666666674</v>
      </c>
      <c r="AA54" s="178">
        <f t="shared" si="26"/>
        <v>0</v>
      </c>
      <c r="AB54" s="113">
        <f t="shared" si="27"/>
        <v>966666.66666666674</v>
      </c>
      <c r="AC54" s="113">
        <f t="shared" si="6"/>
        <v>828893.51068912214</v>
      </c>
      <c r="AD54" s="114">
        <f t="shared" si="28"/>
        <v>5.333333333333333</v>
      </c>
      <c r="AE54" s="114">
        <f t="shared" si="29"/>
        <v>4.1388715344585943E-3</v>
      </c>
      <c r="AF54" s="114">
        <f t="shared" si="30"/>
        <v>33.777777777777771</v>
      </c>
      <c r="AG54" s="114"/>
      <c r="AH54" s="176">
        <f t="shared" si="31"/>
        <v>116683398.92896771</v>
      </c>
      <c r="AI54" s="176">
        <f t="shared" si="32"/>
        <v>561257.01923039707</v>
      </c>
      <c r="AJ54" s="178">
        <f t="shared" si="33"/>
        <v>-561257.01923039707</v>
      </c>
      <c r="AK54" s="113">
        <f t="shared" si="34"/>
        <v>0</v>
      </c>
      <c r="AL54" s="113">
        <f t="shared" si="7"/>
        <v>0</v>
      </c>
      <c r="AM54" s="114">
        <f t="shared" si="35"/>
        <v>5.333333333333333</v>
      </c>
      <c r="AN54" s="114">
        <f t="shared" si="36"/>
        <v>0</v>
      </c>
      <c r="AO54" s="114">
        <f t="shared" si="37"/>
        <v>33.777777777777771</v>
      </c>
    </row>
    <row r="55" spans="1:41" hidden="1" outlineLevel="1" x14ac:dyDescent="0.3">
      <c r="A55" s="146">
        <f t="shared" si="8"/>
        <v>33</v>
      </c>
      <c r="B55" s="147">
        <f t="shared" si="1"/>
        <v>252</v>
      </c>
      <c r="C55" s="147">
        <f t="shared" si="0"/>
        <v>108</v>
      </c>
      <c r="D55" s="149">
        <f t="shared" si="9"/>
        <v>415458389.47687364</v>
      </c>
      <c r="E55" s="149">
        <f t="shared" si="10"/>
        <v>2914621.6615294861</v>
      </c>
      <c r="F55" s="149">
        <f t="shared" si="2"/>
        <v>2089403.9057920305</v>
      </c>
      <c r="G55" s="149">
        <f t="shared" si="3"/>
        <v>2019757.108932296</v>
      </c>
      <c r="H55" s="149">
        <f t="shared" si="11"/>
        <v>69646.796859734459</v>
      </c>
      <c r="I55" s="149">
        <f t="shared" si="12"/>
        <v>825217.75573745556</v>
      </c>
      <c r="J55" s="147">
        <f t="shared" si="13"/>
        <v>4.4999999999999998E-2</v>
      </c>
      <c r="K55" s="175">
        <f t="shared" si="4"/>
        <v>3.8296430163020645E-3</v>
      </c>
      <c r="L55" s="149">
        <f t="shared" si="14"/>
        <v>1597173.9257949525</v>
      </c>
      <c r="M55" s="149">
        <f t="shared" si="15"/>
        <v>4442148.7904647039</v>
      </c>
      <c r="N55" s="149">
        <f t="shared" si="16"/>
        <v>2422391.6815324081</v>
      </c>
      <c r="P55" s="149">
        <f t="shared" si="17"/>
        <v>98211020.786416084</v>
      </c>
      <c r="Q55" s="149">
        <f t="shared" si="18"/>
        <v>489120.68077561946</v>
      </c>
      <c r="R55" s="178">
        <f t="shared" si="19"/>
        <v>2986361.4430224188</v>
      </c>
      <c r="S55" s="113">
        <f t="shared" si="20"/>
        <v>3475482.1237980383</v>
      </c>
      <c r="T55" s="113">
        <f t="shared" si="5"/>
        <v>2965857.2414483023</v>
      </c>
      <c r="U55" s="114">
        <f t="shared" si="21"/>
        <v>5.5</v>
      </c>
      <c r="V55" s="114">
        <f t="shared" si="22"/>
        <v>1.4821883309016935E-2</v>
      </c>
      <c r="W55" s="114">
        <f t="shared" si="23"/>
        <v>35.75</v>
      </c>
      <c r="X55" s="114"/>
      <c r="Y55" s="149">
        <f t="shared" si="24"/>
        <v>200000000</v>
      </c>
      <c r="Z55" s="149">
        <f t="shared" si="25"/>
        <v>966666.66666666674</v>
      </c>
      <c r="AA55" s="178">
        <f t="shared" si="26"/>
        <v>0</v>
      </c>
      <c r="AB55" s="113">
        <f t="shared" si="27"/>
        <v>966666.66666666674</v>
      </c>
      <c r="AC55" s="113">
        <f t="shared" si="6"/>
        <v>824920.17834548582</v>
      </c>
      <c r="AD55" s="114">
        <f t="shared" si="28"/>
        <v>5.5</v>
      </c>
      <c r="AE55" s="114">
        <f t="shared" si="29"/>
        <v>4.1190316974687403E-3</v>
      </c>
      <c r="AF55" s="114">
        <f t="shared" si="30"/>
        <v>35.75</v>
      </c>
      <c r="AG55" s="114"/>
      <c r="AH55" s="176">
        <f t="shared" si="31"/>
        <v>117247368.69045773</v>
      </c>
      <c r="AI55" s="176">
        <f t="shared" si="32"/>
        <v>563969.76149001066</v>
      </c>
      <c r="AJ55" s="178">
        <f t="shared" si="33"/>
        <v>-563969.76149001066</v>
      </c>
      <c r="AK55" s="113">
        <f t="shared" si="34"/>
        <v>0</v>
      </c>
      <c r="AL55" s="113">
        <f t="shared" si="7"/>
        <v>0</v>
      </c>
      <c r="AM55" s="114">
        <f t="shared" si="35"/>
        <v>5.5</v>
      </c>
      <c r="AN55" s="114">
        <f t="shared" si="36"/>
        <v>0</v>
      </c>
      <c r="AO55" s="114">
        <f t="shared" si="37"/>
        <v>35.75</v>
      </c>
    </row>
    <row r="56" spans="1:41" hidden="1" outlineLevel="1" x14ac:dyDescent="0.3">
      <c r="A56" s="146">
        <f t="shared" si="8"/>
        <v>34</v>
      </c>
      <c r="B56" s="147">
        <f t="shared" si="1"/>
        <v>251</v>
      </c>
      <c r="C56" s="147">
        <f t="shared" si="0"/>
        <v>109</v>
      </c>
      <c r="D56" s="149">
        <f t="shared" si="9"/>
        <v>413044328.33096361</v>
      </c>
      <c r="E56" s="149">
        <f t="shared" si="10"/>
        <v>2903459.701038247</v>
      </c>
      <c r="F56" s="149">
        <f t="shared" si="2"/>
        <v>2077291.9473843682</v>
      </c>
      <c r="G56" s="149">
        <f t="shared" si="3"/>
        <v>2008048.8824715561</v>
      </c>
      <c r="H56" s="149">
        <f t="shared" si="11"/>
        <v>69243.064912812086</v>
      </c>
      <c r="I56" s="149">
        <f t="shared" si="12"/>
        <v>826167.75365387881</v>
      </c>
      <c r="J56" s="147">
        <f t="shared" si="13"/>
        <v>4.4999999999999998E-2</v>
      </c>
      <c r="K56" s="175">
        <f t="shared" si="4"/>
        <v>3.8296430163020645E-3</v>
      </c>
      <c r="L56" s="149">
        <f t="shared" si="14"/>
        <v>1587893.3922561377</v>
      </c>
      <c r="M56" s="149">
        <f t="shared" si="15"/>
        <v>4422110.028381573</v>
      </c>
      <c r="N56" s="149">
        <f t="shared" si="16"/>
        <v>2414061.1459100163</v>
      </c>
      <c r="P56" s="149">
        <f t="shared" si="17"/>
        <v>95230264.025168851</v>
      </c>
      <c r="Q56" s="149">
        <f t="shared" si="18"/>
        <v>474686.60046767775</v>
      </c>
      <c r="R56" s="178">
        <f t="shared" si="19"/>
        <v>2980756.7612472288</v>
      </c>
      <c r="S56" s="113">
        <f t="shared" si="20"/>
        <v>3455443.3617149065</v>
      </c>
      <c r="T56" s="113">
        <f t="shared" si="5"/>
        <v>2934621.8718756689</v>
      </c>
      <c r="U56" s="114">
        <f t="shared" si="21"/>
        <v>5.666666666666667</v>
      </c>
      <c r="V56" s="114">
        <f t="shared" si="22"/>
        <v>1.4665784425884747E-2</v>
      </c>
      <c r="W56" s="114">
        <f t="shared" si="23"/>
        <v>37.777777777777779</v>
      </c>
      <c r="X56" s="114"/>
      <c r="Y56" s="149">
        <f t="shared" si="24"/>
        <v>200000000</v>
      </c>
      <c r="Z56" s="149">
        <f t="shared" si="25"/>
        <v>966666.66666666674</v>
      </c>
      <c r="AA56" s="178">
        <f t="shared" si="26"/>
        <v>0</v>
      </c>
      <c r="AB56" s="113">
        <f t="shared" si="27"/>
        <v>966666.66666666674</v>
      </c>
      <c r="AC56" s="113">
        <f t="shared" si="6"/>
        <v>820965.89232047705</v>
      </c>
      <c r="AD56" s="114">
        <f t="shared" si="28"/>
        <v>5.666666666666667</v>
      </c>
      <c r="AE56" s="114">
        <f t="shared" si="29"/>
        <v>4.0992869634866756E-3</v>
      </c>
      <c r="AF56" s="114">
        <f t="shared" si="30"/>
        <v>37.777777777777779</v>
      </c>
      <c r="AG56" s="114"/>
      <c r="AH56" s="176">
        <f t="shared" si="31"/>
        <v>117814064.30579494</v>
      </c>
      <c r="AI56" s="176">
        <f t="shared" si="32"/>
        <v>566695.61533721245</v>
      </c>
      <c r="AJ56" s="178">
        <f t="shared" si="33"/>
        <v>-566695.61533721245</v>
      </c>
      <c r="AK56" s="113">
        <f t="shared" si="34"/>
        <v>0</v>
      </c>
      <c r="AL56" s="113">
        <f t="shared" si="7"/>
        <v>0</v>
      </c>
      <c r="AM56" s="114">
        <f t="shared" si="35"/>
        <v>5.666666666666667</v>
      </c>
      <c r="AN56" s="114">
        <f t="shared" si="36"/>
        <v>0</v>
      </c>
      <c r="AO56" s="114">
        <f t="shared" si="37"/>
        <v>37.777777777777779</v>
      </c>
    </row>
    <row r="57" spans="1:41" hidden="1" outlineLevel="1" x14ac:dyDescent="0.3">
      <c r="A57" s="146">
        <f t="shared" si="8"/>
        <v>35</v>
      </c>
      <c r="B57" s="147">
        <f t="shared" si="1"/>
        <v>250</v>
      </c>
      <c r="C57" s="147">
        <f t="shared" si="0"/>
        <v>110</v>
      </c>
      <c r="D57" s="149">
        <f t="shared" si="9"/>
        <v>410638564.72824079</v>
      </c>
      <c r="E57" s="149">
        <f t="shared" si="10"/>
        <v>2892340.4868710516</v>
      </c>
      <c r="F57" s="149">
        <f t="shared" si="2"/>
        <v>2065221.6416548181</v>
      </c>
      <c r="G57" s="149">
        <f t="shared" si="3"/>
        <v>1996380.9202663242</v>
      </c>
      <c r="H57" s="149">
        <f t="shared" si="11"/>
        <v>68840.721388493897</v>
      </c>
      <c r="I57" s="149">
        <f t="shared" si="12"/>
        <v>827118.84521623352</v>
      </c>
      <c r="J57" s="147">
        <f t="shared" si="13"/>
        <v>4.4999999999999998E-2</v>
      </c>
      <c r="K57" s="175">
        <f t="shared" si="4"/>
        <v>3.8296430163020645E-3</v>
      </c>
      <c r="L57" s="149">
        <f t="shared" si="14"/>
        <v>1578644.7575066176</v>
      </c>
      <c r="M57" s="149">
        <f t="shared" si="15"/>
        <v>4402144.5229891753</v>
      </c>
      <c r="N57" s="149">
        <f t="shared" si="16"/>
        <v>2405763.6027228511</v>
      </c>
      <c r="P57" s="149">
        <f t="shared" si="17"/>
        <v>92255065.778301328</v>
      </c>
      <c r="Q57" s="149">
        <f t="shared" si="18"/>
        <v>460279.6094549828</v>
      </c>
      <c r="R57" s="178">
        <f t="shared" si="19"/>
        <v>2975198.2468675268</v>
      </c>
      <c r="S57" s="113">
        <f t="shared" si="20"/>
        <v>3435477.8563225097</v>
      </c>
      <c r="T57" s="113">
        <f t="shared" si="5"/>
        <v>2903679.7255199091</v>
      </c>
      <c r="U57" s="114">
        <f t="shared" si="21"/>
        <v>5.833333333333333</v>
      </c>
      <c r="V57" s="114">
        <f t="shared" si="22"/>
        <v>1.4511150926940058E-2</v>
      </c>
      <c r="W57" s="114">
        <f t="shared" si="23"/>
        <v>39.861111111111107</v>
      </c>
      <c r="X57" s="114"/>
      <c r="Y57" s="149">
        <f t="shared" si="24"/>
        <v>200000000</v>
      </c>
      <c r="Z57" s="149">
        <f t="shared" si="25"/>
        <v>966666.66666666674</v>
      </c>
      <c r="AA57" s="178">
        <f t="shared" si="26"/>
        <v>0</v>
      </c>
      <c r="AB57" s="113">
        <f t="shared" si="27"/>
        <v>966666.66666666674</v>
      </c>
      <c r="AC57" s="113">
        <f t="shared" si="6"/>
        <v>817030.56131484837</v>
      </c>
      <c r="AD57" s="114">
        <f t="shared" si="28"/>
        <v>5.833333333333333</v>
      </c>
      <c r="AE57" s="114">
        <f t="shared" si="29"/>
        <v>4.0796368766325428E-3</v>
      </c>
      <c r="AF57" s="114">
        <f t="shared" si="30"/>
        <v>39.861111111111107</v>
      </c>
      <c r="AG57" s="114"/>
      <c r="AH57" s="176">
        <f t="shared" si="31"/>
        <v>118383498.94993961</v>
      </c>
      <c r="AI57" s="176">
        <f t="shared" si="32"/>
        <v>569434.64414467558</v>
      </c>
      <c r="AJ57" s="178">
        <f t="shared" si="33"/>
        <v>-569434.64414467558</v>
      </c>
      <c r="AK57" s="113">
        <f t="shared" si="34"/>
        <v>0</v>
      </c>
      <c r="AL57" s="113">
        <f t="shared" si="7"/>
        <v>0</v>
      </c>
      <c r="AM57" s="114">
        <f t="shared" si="35"/>
        <v>5.833333333333333</v>
      </c>
      <c r="AN57" s="114">
        <f t="shared" si="36"/>
        <v>0</v>
      </c>
      <c r="AO57" s="114">
        <f t="shared" si="37"/>
        <v>39.861111111111107</v>
      </c>
    </row>
    <row r="58" spans="1:41" hidden="1" outlineLevel="1" x14ac:dyDescent="0.3">
      <c r="A58" s="146">
        <f t="shared" si="8"/>
        <v>36</v>
      </c>
      <c r="B58" s="147">
        <f t="shared" si="1"/>
        <v>249</v>
      </c>
      <c r="C58" s="147">
        <f t="shared" si="0"/>
        <v>111</v>
      </c>
      <c r="D58" s="149">
        <f t="shared" si="9"/>
        <v>408241065.80136496</v>
      </c>
      <c r="E58" s="149">
        <f t="shared" si="10"/>
        <v>2881263.8553247382</v>
      </c>
      <c r="F58" s="149">
        <f t="shared" si="2"/>
        <v>2053192.823641204</v>
      </c>
      <c r="G58" s="149">
        <f t="shared" si="3"/>
        <v>1984753.0628531638</v>
      </c>
      <c r="H58" s="149">
        <f t="shared" si="11"/>
        <v>68439.760788040236</v>
      </c>
      <c r="I58" s="149">
        <f t="shared" si="12"/>
        <v>828071.03168353415</v>
      </c>
      <c r="J58" s="147">
        <f t="shared" si="13"/>
        <v>4.4999999999999998E-2</v>
      </c>
      <c r="K58" s="175">
        <f t="shared" si="4"/>
        <v>3.8296430163020645E-3</v>
      </c>
      <c r="L58" s="149">
        <f t="shared" si="14"/>
        <v>1569427.8951923219</v>
      </c>
      <c r="M58" s="149">
        <f t="shared" si="15"/>
        <v>4382251.9897290198</v>
      </c>
      <c r="N58" s="149">
        <f t="shared" si="16"/>
        <v>2397498.9268758558</v>
      </c>
      <c r="P58" s="149">
        <f t="shared" si="17"/>
        <v>89285379.939834103</v>
      </c>
      <c r="Q58" s="149">
        <f t="shared" si="18"/>
        <v>445899.4845951231</v>
      </c>
      <c r="R58" s="178">
        <f t="shared" si="19"/>
        <v>2969685.8384672306</v>
      </c>
      <c r="S58" s="113">
        <f t="shared" si="20"/>
        <v>3415585.3230623538</v>
      </c>
      <c r="T58" s="113">
        <f t="shared" si="5"/>
        <v>2873028.1727965004</v>
      </c>
      <c r="U58" s="114">
        <f t="shared" si="21"/>
        <v>6</v>
      </c>
      <c r="V58" s="114">
        <f t="shared" si="22"/>
        <v>1.4357969670823803E-2</v>
      </c>
      <c r="W58" s="114">
        <f t="shared" si="23"/>
        <v>42</v>
      </c>
      <c r="X58" s="114"/>
      <c r="Y58" s="149">
        <f t="shared" si="24"/>
        <v>200000000</v>
      </c>
      <c r="Z58" s="149">
        <f t="shared" si="25"/>
        <v>966666.66666666674</v>
      </c>
      <c r="AA58" s="178">
        <f t="shared" si="26"/>
        <v>0</v>
      </c>
      <c r="AB58" s="113">
        <f t="shared" si="27"/>
        <v>966666.66666666674</v>
      </c>
      <c r="AC58" s="113">
        <f t="shared" si="6"/>
        <v>813114.09446699871</v>
      </c>
      <c r="AD58" s="114">
        <f t="shared" si="28"/>
        <v>6</v>
      </c>
      <c r="AE58" s="114">
        <f t="shared" si="29"/>
        <v>4.0600809832117583E-3</v>
      </c>
      <c r="AF58" s="114">
        <f t="shared" si="30"/>
        <v>42</v>
      </c>
      <c r="AG58" s="114"/>
      <c r="AH58" s="176">
        <f t="shared" si="31"/>
        <v>118955685.86153099</v>
      </c>
      <c r="AI58" s="176">
        <f t="shared" si="32"/>
        <v>572186.91159137478</v>
      </c>
      <c r="AJ58" s="178">
        <f t="shared" si="33"/>
        <v>-572186.91159137478</v>
      </c>
      <c r="AK58" s="113">
        <f t="shared" si="34"/>
        <v>0</v>
      </c>
      <c r="AL58" s="113">
        <f t="shared" si="7"/>
        <v>0</v>
      </c>
      <c r="AM58" s="114">
        <f t="shared" si="35"/>
        <v>6</v>
      </c>
      <c r="AN58" s="114">
        <f t="shared" si="36"/>
        <v>0</v>
      </c>
      <c r="AO58" s="114">
        <f t="shared" si="37"/>
        <v>42</v>
      </c>
    </row>
    <row r="59" spans="1:41" hidden="1" outlineLevel="1" x14ac:dyDescent="0.3">
      <c r="A59" s="146">
        <f t="shared" si="8"/>
        <v>37</v>
      </c>
      <c r="B59" s="147">
        <f t="shared" si="1"/>
        <v>248</v>
      </c>
      <c r="C59" s="147">
        <f t="shared" si="0"/>
        <v>112</v>
      </c>
      <c r="D59" s="149">
        <f t="shared" si="9"/>
        <v>405851798.80761045</v>
      </c>
      <c r="E59" s="149">
        <f t="shared" si="10"/>
        <v>2870229.6433230704</v>
      </c>
      <c r="F59" s="149">
        <f t="shared" si="2"/>
        <v>2041205.3290068249</v>
      </c>
      <c r="G59" s="149">
        <f t="shared" si="3"/>
        <v>1973165.1513732641</v>
      </c>
      <c r="H59" s="149">
        <f t="shared" si="11"/>
        <v>68040.177633560728</v>
      </c>
      <c r="I59" s="149">
        <f t="shared" si="12"/>
        <v>829024.31431624549</v>
      </c>
      <c r="J59" s="147">
        <f t="shared" si="13"/>
        <v>4.4999999999999998E-2</v>
      </c>
      <c r="K59" s="175">
        <f t="shared" si="4"/>
        <v>3.8296430163020645E-3</v>
      </c>
      <c r="L59" s="149">
        <f t="shared" si="14"/>
        <v>1560242.6794382429</v>
      </c>
      <c r="M59" s="149">
        <f t="shared" si="15"/>
        <v>4362432.1451277528</v>
      </c>
      <c r="N59" s="149">
        <f t="shared" si="16"/>
        <v>2389266.9937544884</v>
      </c>
      <c r="P59" s="149">
        <f t="shared" si="17"/>
        <v>86321160.46441555</v>
      </c>
      <c r="Q59" s="149">
        <f t="shared" si="18"/>
        <v>431546.00304253149</v>
      </c>
      <c r="R59" s="178">
        <f t="shared" si="19"/>
        <v>2964219.4754185546</v>
      </c>
      <c r="S59" s="113">
        <f t="shared" si="20"/>
        <v>3395765.4784610863</v>
      </c>
      <c r="T59" s="113">
        <f t="shared" si="5"/>
        <v>2842664.6072191172</v>
      </c>
      <c r="U59" s="114">
        <f t="shared" si="21"/>
        <v>6.166666666666667</v>
      </c>
      <c r="V59" s="114">
        <f t="shared" si="22"/>
        <v>1.4206227631610247E-2</v>
      </c>
      <c r="W59" s="114">
        <f t="shared" si="23"/>
        <v>44.19444444444445</v>
      </c>
      <c r="X59" s="114"/>
      <c r="Y59" s="149">
        <f t="shared" si="24"/>
        <v>200000000</v>
      </c>
      <c r="Z59" s="149">
        <f t="shared" si="25"/>
        <v>966666.66666666674</v>
      </c>
      <c r="AA59" s="178">
        <f t="shared" si="26"/>
        <v>0</v>
      </c>
      <c r="AB59" s="113">
        <f t="shared" si="27"/>
        <v>966666.66666666674</v>
      </c>
      <c r="AC59" s="113">
        <f t="shared" si="6"/>
        <v>809216.40135087527</v>
      </c>
      <c r="AD59" s="114">
        <f t="shared" si="28"/>
        <v>6.166666666666667</v>
      </c>
      <c r="AE59" s="114">
        <f t="shared" si="29"/>
        <v>4.0406188317045439E-3</v>
      </c>
      <c r="AF59" s="114">
        <f t="shared" si="30"/>
        <v>44.19444444444445</v>
      </c>
      <c r="AG59" s="114"/>
      <c r="AH59" s="176">
        <f t="shared" si="31"/>
        <v>119530638.34319505</v>
      </c>
      <c r="AI59" s="176">
        <f t="shared" si="32"/>
        <v>574952.48166406644</v>
      </c>
      <c r="AJ59" s="178">
        <f t="shared" si="33"/>
        <v>-574952.48166406644</v>
      </c>
      <c r="AK59" s="113">
        <f t="shared" si="34"/>
        <v>0</v>
      </c>
      <c r="AL59" s="113">
        <f t="shared" si="7"/>
        <v>0</v>
      </c>
      <c r="AM59" s="114">
        <f t="shared" si="35"/>
        <v>6.166666666666667</v>
      </c>
      <c r="AN59" s="114">
        <f t="shared" si="36"/>
        <v>0</v>
      </c>
      <c r="AO59" s="114">
        <f t="shared" si="37"/>
        <v>44.19444444444445</v>
      </c>
    </row>
    <row r="60" spans="1:41" hidden="1" outlineLevel="1" x14ac:dyDescent="0.3">
      <c r="A60" s="146">
        <f t="shared" si="8"/>
        <v>38</v>
      </c>
      <c r="B60" s="147">
        <f t="shared" si="1"/>
        <v>247</v>
      </c>
      <c r="C60" s="147">
        <f t="shared" si="0"/>
        <v>113</v>
      </c>
      <c r="D60" s="149">
        <f t="shared" si="9"/>
        <v>403470731.12838757</v>
      </c>
      <c r="E60" s="149">
        <f t="shared" si="10"/>
        <v>2859237.6884143348</v>
      </c>
      <c r="F60" s="149">
        <f t="shared" si="2"/>
        <v>2029258.9940380524</v>
      </c>
      <c r="G60" s="149">
        <f t="shared" si="3"/>
        <v>1961617.0275701173</v>
      </c>
      <c r="H60" s="149">
        <f t="shared" si="11"/>
        <v>67641.966467935126</v>
      </c>
      <c r="I60" s="149">
        <f t="shared" si="12"/>
        <v>829978.69437628239</v>
      </c>
      <c r="J60" s="147">
        <f t="shared" si="13"/>
        <v>4.4999999999999998E-2</v>
      </c>
      <c r="K60" s="175">
        <f t="shared" si="4"/>
        <v>3.8296430163020645E-3</v>
      </c>
      <c r="L60" s="149">
        <f t="shared" si="14"/>
        <v>1551088.9848465982</v>
      </c>
      <c r="M60" s="149">
        <f t="shared" si="15"/>
        <v>4342684.7067929981</v>
      </c>
      <c r="N60" s="149">
        <f t="shared" si="16"/>
        <v>2381067.6792228809</v>
      </c>
      <c r="P60" s="149">
        <f t="shared" si="17"/>
        <v>83362361.36653389</v>
      </c>
      <c r="Q60" s="149">
        <f t="shared" si="18"/>
        <v>417218.94224467519</v>
      </c>
      <c r="R60" s="178">
        <f t="shared" si="19"/>
        <v>2958799.0978816571</v>
      </c>
      <c r="S60" s="113">
        <f t="shared" si="20"/>
        <v>3376018.0401263321</v>
      </c>
      <c r="T60" s="113">
        <f t="shared" si="5"/>
        <v>2812586.4451987562</v>
      </c>
      <c r="U60" s="114">
        <f t="shared" si="21"/>
        <v>6.333333333333333</v>
      </c>
      <c r="V60" s="114">
        <f t="shared" si="22"/>
        <v>1.4055911897803116E-2</v>
      </c>
      <c r="W60" s="114">
        <f t="shared" si="23"/>
        <v>46.444444444444443</v>
      </c>
      <c r="X60" s="114"/>
      <c r="Y60" s="149">
        <f t="shared" si="24"/>
        <v>200000000</v>
      </c>
      <c r="Z60" s="149">
        <f t="shared" si="25"/>
        <v>966666.66666666674</v>
      </c>
      <c r="AA60" s="178">
        <f t="shared" si="26"/>
        <v>0</v>
      </c>
      <c r="AB60" s="113">
        <f t="shared" si="27"/>
        <v>966666.66666666674</v>
      </c>
      <c r="AC60" s="113">
        <f t="shared" si="6"/>
        <v>805337.39197388617</v>
      </c>
      <c r="AD60" s="114">
        <f t="shared" si="28"/>
        <v>6.333333333333333</v>
      </c>
      <c r="AE60" s="114">
        <f t="shared" si="29"/>
        <v>4.021249972755497E-3</v>
      </c>
      <c r="AF60" s="114">
        <f t="shared" si="30"/>
        <v>46.444444444444443</v>
      </c>
      <c r="AG60" s="114"/>
      <c r="AH60" s="176">
        <f t="shared" si="31"/>
        <v>120108369.76185383</v>
      </c>
      <c r="AI60" s="176">
        <f t="shared" si="32"/>
        <v>577731.41865877609</v>
      </c>
      <c r="AJ60" s="178">
        <f t="shared" si="33"/>
        <v>-577731.41865877609</v>
      </c>
      <c r="AK60" s="113">
        <f t="shared" si="34"/>
        <v>0</v>
      </c>
      <c r="AL60" s="113">
        <f t="shared" si="7"/>
        <v>0</v>
      </c>
      <c r="AM60" s="114">
        <f t="shared" si="35"/>
        <v>6.333333333333333</v>
      </c>
      <c r="AN60" s="114">
        <f t="shared" si="36"/>
        <v>0</v>
      </c>
      <c r="AO60" s="114">
        <f t="shared" si="37"/>
        <v>46.444444444444443</v>
      </c>
    </row>
    <row r="61" spans="1:41" hidden="1" outlineLevel="1" x14ac:dyDescent="0.3">
      <c r="A61" s="146">
        <f t="shared" si="8"/>
        <v>39</v>
      </c>
      <c r="B61" s="147">
        <f t="shared" si="1"/>
        <v>246</v>
      </c>
      <c r="C61" s="147">
        <f t="shared" si="0"/>
        <v>114</v>
      </c>
      <c r="D61" s="149">
        <f t="shared" si="9"/>
        <v>401097830.26876557</v>
      </c>
      <c r="E61" s="149">
        <f t="shared" si="10"/>
        <v>2848287.8287689514</v>
      </c>
      <c r="F61" s="149">
        <f t="shared" si="2"/>
        <v>2017353.6556419379</v>
      </c>
      <c r="G61" s="149">
        <f t="shared" si="3"/>
        <v>1950108.5337872067</v>
      </c>
      <c r="H61" s="149">
        <f t="shared" si="11"/>
        <v>67245.121854731115</v>
      </c>
      <c r="I61" s="149">
        <f t="shared" si="12"/>
        <v>830934.17312701349</v>
      </c>
      <c r="J61" s="147">
        <f t="shared" si="13"/>
        <v>4.4999999999999998E-2</v>
      </c>
      <c r="K61" s="175">
        <f t="shared" si="4"/>
        <v>3.8296430163020645E-3</v>
      </c>
      <c r="L61" s="149">
        <f t="shared" si="14"/>
        <v>1541966.6864949949</v>
      </c>
      <c r="M61" s="149">
        <f t="shared" si="15"/>
        <v>4323009.3934092149</v>
      </c>
      <c r="N61" s="149">
        <f t="shared" si="16"/>
        <v>2372900.8596220082</v>
      </c>
      <c r="P61" s="149">
        <f t="shared" si="17"/>
        <v>80408936.719729587</v>
      </c>
      <c r="Q61" s="149">
        <f t="shared" si="18"/>
        <v>402918.07993824716</v>
      </c>
      <c r="R61" s="178">
        <f t="shared" si="19"/>
        <v>2953424.6468043015</v>
      </c>
      <c r="S61" s="113">
        <f t="shared" si="20"/>
        <v>3356342.7267425489</v>
      </c>
      <c r="T61" s="113">
        <f t="shared" si="5"/>
        <v>2782791.125844602</v>
      </c>
      <c r="U61" s="114">
        <f t="shared" si="21"/>
        <v>6.5</v>
      </c>
      <c r="V61" s="114">
        <f t="shared" si="22"/>
        <v>1.3907009671340417E-2</v>
      </c>
      <c r="W61" s="114">
        <f t="shared" si="23"/>
        <v>48.75</v>
      </c>
      <c r="X61" s="114"/>
      <c r="Y61" s="149">
        <f t="shared" si="24"/>
        <v>200000000</v>
      </c>
      <c r="Z61" s="149">
        <f t="shared" si="25"/>
        <v>966666.66666666674</v>
      </c>
      <c r="AA61" s="178">
        <f t="shared" si="26"/>
        <v>0</v>
      </c>
      <c r="AB61" s="113">
        <f t="shared" si="27"/>
        <v>966666.66666666674</v>
      </c>
      <c r="AC61" s="113">
        <f t="shared" si="6"/>
        <v>801476.97677482245</v>
      </c>
      <c r="AD61" s="114">
        <f t="shared" si="28"/>
        <v>6.5</v>
      </c>
      <c r="AE61" s="114">
        <f t="shared" si="29"/>
        <v>4.0019739591632174E-3</v>
      </c>
      <c r="AF61" s="114">
        <f t="shared" si="30"/>
        <v>48.75</v>
      </c>
      <c r="AG61" s="114"/>
      <c r="AH61" s="176">
        <f t="shared" si="31"/>
        <v>120688893.54903612</v>
      </c>
      <c r="AI61" s="176">
        <f t="shared" si="32"/>
        <v>580523.78718229348</v>
      </c>
      <c r="AJ61" s="178">
        <f t="shared" si="33"/>
        <v>-580523.78718229348</v>
      </c>
      <c r="AK61" s="113">
        <f t="shared" si="34"/>
        <v>0</v>
      </c>
      <c r="AL61" s="113">
        <f t="shared" si="7"/>
        <v>0</v>
      </c>
      <c r="AM61" s="114">
        <f t="shared" si="35"/>
        <v>6.5</v>
      </c>
      <c r="AN61" s="114">
        <f t="shared" si="36"/>
        <v>0</v>
      </c>
      <c r="AO61" s="114">
        <f t="shared" si="37"/>
        <v>48.75</v>
      </c>
    </row>
    <row r="62" spans="1:41" hidden="1" outlineLevel="1" x14ac:dyDescent="0.3">
      <c r="A62" s="146">
        <f t="shared" si="8"/>
        <v>40</v>
      </c>
      <c r="B62" s="147">
        <f t="shared" si="1"/>
        <v>245</v>
      </c>
      <c r="C62" s="147">
        <f t="shared" si="0"/>
        <v>115</v>
      </c>
      <c r="D62" s="149">
        <f t="shared" si="9"/>
        <v>398733063.85699773</v>
      </c>
      <c r="E62" s="149">
        <f t="shared" si="10"/>
        <v>2837379.9031770881</v>
      </c>
      <c r="F62" s="149">
        <f t="shared" si="2"/>
        <v>2005489.1513438278</v>
      </c>
      <c r="G62" s="149">
        <f t="shared" si="3"/>
        <v>1938639.5129657004</v>
      </c>
      <c r="H62" s="149">
        <f t="shared" si="11"/>
        <v>66849.638378127478</v>
      </c>
      <c r="I62" s="149">
        <f t="shared" si="12"/>
        <v>831890.75183326029</v>
      </c>
      <c r="J62" s="147">
        <f t="shared" si="13"/>
        <v>4.4999999999999998E-2</v>
      </c>
      <c r="K62" s="175">
        <f t="shared" si="4"/>
        <v>3.8296430163020645E-3</v>
      </c>
      <c r="L62" s="149">
        <f t="shared" si="14"/>
        <v>1532875.6599346043</v>
      </c>
      <c r="M62" s="149">
        <f t="shared" si="15"/>
        <v>4303405.9247335652</v>
      </c>
      <c r="N62" s="149">
        <f t="shared" si="16"/>
        <v>2364766.4117678646</v>
      </c>
      <c r="P62" s="149">
        <f t="shared" si="17"/>
        <v>77460840.655808046</v>
      </c>
      <c r="Q62" s="149">
        <f t="shared" si="18"/>
        <v>388643.19414535968</v>
      </c>
      <c r="R62" s="178">
        <f t="shared" si="19"/>
        <v>2948096.0639215391</v>
      </c>
      <c r="S62" s="113">
        <f t="shared" si="20"/>
        <v>3336739.2580668987</v>
      </c>
      <c r="T62" s="113">
        <f t="shared" si="5"/>
        <v>2753276.1107666194</v>
      </c>
      <c r="U62" s="114">
        <f t="shared" si="21"/>
        <v>6.666666666666667</v>
      </c>
      <c r="V62" s="114">
        <f t="shared" si="22"/>
        <v>1.3759508266607901E-2</v>
      </c>
      <c r="W62" s="114">
        <f t="shared" si="23"/>
        <v>51.111111111111114</v>
      </c>
      <c r="X62" s="114"/>
      <c r="Y62" s="149">
        <f t="shared" si="24"/>
        <v>200000000</v>
      </c>
      <c r="Z62" s="149">
        <f t="shared" si="25"/>
        <v>966666.66666666674</v>
      </c>
      <c r="AA62" s="178">
        <f t="shared" si="26"/>
        <v>0</v>
      </c>
      <c r="AB62" s="113">
        <f t="shared" si="27"/>
        <v>966666.66666666674</v>
      </c>
      <c r="AC62" s="113">
        <f t="shared" si="6"/>
        <v>797635.06662178983</v>
      </c>
      <c r="AD62" s="114">
        <f t="shared" si="28"/>
        <v>6.666666666666667</v>
      </c>
      <c r="AE62" s="114">
        <f t="shared" si="29"/>
        <v>3.9827903458699793E-3</v>
      </c>
      <c r="AF62" s="114">
        <f t="shared" si="30"/>
        <v>51.111111111111114</v>
      </c>
      <c r="AG62" s="114"/>
      <c r="AH62" s="176">
        <f t="shared" si="31"/>
        <v>121272223.20118979</v>
      </c>
      <c r="AI62" s="176">
        <f t="shared" si="32"/>
        <v>583329.65215367463</v>
      </c>
      <c r="AJ62" s="178">
        <f t="shared" si="33"/>
        <v>-583329.65215367463</v>
      </c>
      <c r="AK62" s="113">
        <f t="shared" si="34"/>
        <v>0</v>
      </c>
      <c r="AL62" s="113">
        <f t="shared" si="7"/>
        <v>0</v>
      </c>
      <c r="AM62" s="114">
        <f t="shared" si="35"/>
        <v>6.666666666666667</v>
      </c>
      <c r="AN62" s="114">
        <f t="shared" si="36"/>
        <v>0</v>
      </c>
      <c r="AO62" s="114">
        <f t="shared" si="37"/>
        <v>51.111111111111114</v>
      </c>
    </row>
    <row r="63" spans="1:41" hidden="1" outlineLevel="1" x14ac:dyDescent="0.3">
      <c r="A63" s="146">
        <f t="shared" si="8"/>
        <v>41</v>
      </c>
      <c r="B63" s="147">
        <f t="shared" si="1"/>
        <v>244</v>
      </c>
      <c r="C63" s="147">
        <f t="shared" si="0"/>
        <v>116</v>
      </c>
      <c r="D63" s="149">
        <f t="shared" si="9"/>
        <v>396376399.64404804</v>
      </c>
      <c r="E63" s="149">
        <f t="shared" si="10"/>
        <v>2826513.7510462902</v>
      </c>
      <c r="F63" s="149">
        <f t="shared" si="2"/>
        <v>1993665.3192849886</v>
      </c>
      <c r="G63" s="149">
        <f t="shared" si="3"/>
        <v>1927209.8086421557</v>
      </c>
      <c r="H63" s="149">
        <f t="shared" si="11"/>
        <v>66455.510642832844</v>
      </c>
      <c r="I63" s="149">
        <f t="shared" si="12"/>
        <v>832848.43176130159</v>
      </c>
      <c r="J63" s="147">
        <f t="shared" si="13"/>
        <v>4.4999999999999998E-2</v>
      </c>
      <c r="K63" s="175">
        <f t="shared" si="4"/>
        <v>3.8296430163020645E-3</v>
      </c>
      <c r="L63" s="149">
        <f t="shared" si="14"/>
        <v>1523815.7811883437</v>
      </c>
      <c r="M63" s="149">
        <f t="shared" si="15"/>
        <v>4283874.0215918012</v>
      </c>
      <c r="N63" s="149">
        <f t="shared" si="16"/>
        <v>2356664.2129496452</v>
      </c>
      <c r="P63" s="149">
        <f t="shared" si="17"/>
        <v>74518027.364052653</v>
      </c>
      <c r="Q63" s="149">
        <f t="shared" si="18"/>
        <v>374394.06316973892</v>
      </c>
      <c r="R63" s="178">
        <f t="shared" si="19"/>
        <v>2942813.2917553959</v>
      </c>
      <c r="S63" s="113">
        <f t="shared" si="20"/>
        <v>3317207.3549251347</v>
      </c>
      <c r="T63" s="113">
        <f t="shared" si="5"/>
        <v>2724038.8838798525</v>
      </c>
      <c r="U63" s="114">
        <f t="shared" si="21"/>
        <v>6.833333333333333</v>
      </c>
      <c r="V63" s="114">
        <f t="shared" si="22"/>
        <v>1.3613395109461033E-2</v>
      </c>
      <c r="W63" s="114">
        <f t="shared" si="23"/>
        <v>53.527777777777771</v>
      </c>
      <c r="X63" s="114"/>
      <c r="Y63" s="149">
        <f t="shared" si="24"/>
        <v>200000000</v>
      </c>
      <c r="Z63" s="149">
        <f t="shared" si="25"/>
        <v>966666.66666666674</v>
      </c>
      <c r="AA63" s="178">
        <f t="shared" si="26"/>
        <v>0</v>
      </c>
      <c r="AB63" s="113">
        <f t="shared" si="27"/>
        <v>966666.66666666674</v>
      </c>
      <c r="AC63" s="113">
        <f t="shared" si="6"/>
        <v>793811.57281015161</v>
      </c>
      <c r="AD63" s="114">
        <f t="shared" si="28"/>
        <v>6.833333333333333</v>
      </c>
      <c r="AE63" s="114">
        <f t="shared" si="29"/>
        <v>3.963698689951463E-3</v>
      </c>
      <c r="AF63" s="114">
        <f t="shared" si="30"/>
        <v>53.527777777777771</v>
      </c>
      <c r="AG63" s="114"/>
      <c r="AH63" s="176">
        <f t="shared" si="31"/>
        <v>121858372.27999553</v>
      </c>
      <c r="AI63" s="176">
        <f t="shared" si="32"/>
        <v>586149.0788057507</v>
      </c>
      <c r="AJ63" s="178">
        <f t="shared" si="33"/>
        <v>-586149.0788057507</v>
      </c>
      <c r="AK63" s="113">
        <f t="shared" si="34"/>
        <v>0</v>
      </c>
      <c r="AL63" s="113">
        <f t="shared" si="7"/>
        <v>0</v>
      </c>
      <c r="AM63" s="114">
        <f t="shared" si="35"/>
        <v>6.833333333333333</v>
      </c>
      <c r="AN63" s="114">
        <f t="shared" si="36"/>
        <v>0</v>
      </c>
      <c r="AO63" s="114">
        <f t="shared" si="37"/>
        <v>53.527777777777771</v>
      </c>
    </row>
    <row r="64" spans="1:41" hidden="1" outlineLevel="1" x14ac:dyDescent="0.3">
      <c r="A64" s="146">
        <f t="shared" si="8"/>
        <v>42</v>
      </c>
      <c r="B64" s="147">
        <f t="shared" si="1"/>
        <v>243</v>
      </c>
      <c r="C64" s="147">
        <f t="shared" si="0"/>
        <v>117</v>
      </c>
      <c r="D64" s="149">
        <f t="shared" si="9"/>
        <v>394027805.50312012</v>
      </c>
      <c r="E64" s="149">
        <f t="shared" si="10"/>
        <v>2815689.2123991139</v>
      </c>
      <c r="F64" s="149">
        <f t="shared" si="2"/>
        <v>1981881.9982202402</v>
      </c>
      <c r="G64" s="149">
        <f t="shared" si="3"/>
        <v>1915819.2649462323</v>
      </c>
      <c r="H64" s="149">
        <f t="shared" si="11"/>
        <v>66062.733274007915</v>
      </c>
      <c r="I64" s="149">
        <f t="shared" si="12"/>
        <v>833807.21417887369</v>
      </c>
      <c r="J64" s="147">
        <f t="shared" si="13"/>
        <v>4.4999999999999998E-2</v>
      </c>
      <c r="K64" s="175">
        <f t="shared" si="4"/>
        <v>3.8296430163020645E-3</v>
      </c>
      <c r="L64" s="149">
        <f t="shared" si="14"/>
        <v>1514786.9267490623</v>
      </c>
      <c r="M64" s="149">
        <f t="shared" si="15"/>
        <v>4264413.4058741685</v>
      </c>
      <c r="N64" s="149">
        <f t="shared" si="16"/>
        <v>2348594.140927936</v>
      </c>
      <c r="P64" s="149">
        <f t="shared" si="17"/>
        <v>71580451.090438068</v>
      </c>
      <c r="Q64" s="149">
        <f t="shared" si="18"/>
        <v>360170.46559292119</v>
      </c>
      <c r="R64" s="178">
        <f t="shared" si="19"/>
        <v>2937576.2736145812</v>
      </c>
      <c r="S64" s="113">
        <f t="shared" si="20"/>
        <v>3297746.7392075025</v>
      </c>
      <c r="T64" s="113">
        <f t="shared" si="5"/>
        <v>2695076.9512104131</v>
      </c>
      <c r="U64" s="114">
        <f t="shared" si="21"/>
        <v>7</v>
      </c>
      <c r="V64" s="114">
        <f t="shared" si="22"/>
        <v>1.3468657736255432E-2</v>
      </c>
      <c r="W64" s="114">
        <f t="shared" si="23"/>
        <v>56</v>
      </c>
      <c r="X64" s="114"/>
      <c r="Y64" s="149">
        <f t="shared" si="24"/>
        <v>200000000</v>
      </c>
      <c r="Z64" s="149">
        <f t="shared" si="25"/>
        <v>966666.66666666674</v>
      </c>
      <c r="AA64" s="178">
        <f t="shared" si="26"/>
        <v>0</v>
      </c>
      <c r="AB64" s="113">
        <f t="shared" si="27"/>
        <v>966666.66666666674</v>
      </c>
      <c r="AC64" s="113">
        <f t="shared" si="6"/>
        <v>790006.40706047998</v>
      </c>
      <c r="AD64" s="114">
        <f t="shared" si="28"/>
        <v>7</v>
      </c>
      <c r="AE64" s="114">
        <f t="shared" si="29"/>
        <v>3.9446985506065195E-3</v>
      </c>
      <c r="AF64" s="114">
        <f t="shared" si="30"/>
        <v>56</v>
      </c>
      <c r="AG64" s="114"/>
      <c r="AH64" s="176">
        <f t="shared" si="31"/>
        <v>122447354.41268218</v>
      </c>
      <c r="AI64" s="176">
        <f t="shared" si="32"/>
        <v>588982.13268664514</v>
      </c>
      <c r="AJ64" s="178">
        <f t="shared" si="33"/>
        <v>-588982.13268664514</v>
      </c>
      <c r="AK64" s="113">
        <f t="shared" si="34"/>
        <v>0</v>
      </c>
      <c r="AL64" s="113">
        <f t="shared" si="7"/>
        <v>0</v>
      </c>
      <c r="AM64" s="114">
        <f t="shared" si="35"/>
        <v>7</v>
      </c>
      <c r="AN64" s="114">
        <f t="shared" si="36"/>
        <v>0</v>
      </c>
      <c r="AO64" s="114">
        <f t="shared" si="37"/>
        <v>56</v>
      </c>
    </row>
    <row r="65" spans="1:41" hidden="1" outlineLevel="1" x14ac:dyDescent="0.3">
      <c r="A65" s="146">
        <f t="shared" si="8"/>
        <v>43</v>
      </c>
      <c r="B65" s="147">
        <f t="shared" si="1"/>
        <v>242</v>
      </c>
      <c r="C65" s="147">
        <f t="shared" si="0"/>
        <v>118</v>
      </c>
      <c r="D65" s="149">
        <f t="shared" si="9"/>
        <v>391687249.42918724</v>
      </c>
      <c r="E65" s="149">
        <f t="shared" si="10"/>
        <v>2804906.1278707725</v>
      </c>
      <c r="F65" s="149">
        <f t="shared" si="2"/>
        <v>1970139.0275156007</v>
      </c>
      <c r="G65" s="149">
        <f t="shared" si="3"/>
        <v>1904467.7265984141</v>
      </c>
      <c r="H65" s="149">
        <f t="shared" si="11"/>
        <v>65671.300917186541</v>
      </c>
      <c r="I65" s="149">
        <f t="shared" si="12"/>
        <v>834767.10035517183</v>
      </c>
      <c r="J65" s="147">
        <f t="shared" si="13"/>
        <v>4.4999999999999998E-2</v>
      </c>
      <c r="K65" s="175">
        <f t="shared" si="4"/>
        <v>3.8296430163020645E-3</v>
      </c>
      <c r="L65" s="149">
        <f t="shared" si="14"/>
        <v>1505788.9735777383</v>
      </c>
      <c r="M65" s="149">
        <f t="shared" si="15"/>
        <v>4245023.800531324</v>
      </c>
      <c r="N65" s="149">
        <f t="shared" si="16"/>
        <v>2340556.0739329103</v>
      </c>
      <c r="P65" s="149">
        <f t="shared" si="17"/>
        <v>68648066.13684386</v>
      </c>
      <c r="Q65" s="149">
        <f t="shared" si="18"/>
        <v>345972.18027045066</v>
      </c>
      <c r="R65" s="178">
        <f t="shared" si="19"/>
        <v>2932384.9535942078</v>
      </c>
      <c r="S65" s="113">
        <f t="shared" si="20"/>
        <v>3278357.1338646584</v>
      </c>
      <c r="T65" s="113">
        <f t="shared" si="5"/>
        <v>2666387.8407031521</v>
      </c>
      <c r="U65" s="114">
        <f t="shared" si="21"/>
        <v>7.166666666666667</v>
      </c>
      <c r="V65" s="114">
        <f t="shared" si="22"/>
        <v>1.3325283792885702E-2</v>
      </c>
      <c r="W65" s="114">
        <f t="shared" si="23"/>
        <v>58.527777777777786</v>
      </c>
      <c r="X65" s="114"/>
      <c r="Y65" s="149">
        <f t="shared" si="24"/>
        <v>200000000</v>
      </c>
      <c r="Z65" s="149">
        <f t="shared" si="25"/>
        <v>966666.66666666674</v>
      </c>
      <c r="AA65" s="178">
        <f t="shared" si="26"/>
        <v>0</v>
      </c>
      <c r="AB65" s="113">
        <f t="shared" si="27"/>
        <v>966666.66666666674</v>
      </c>
      <c r="AC65" s="113">
        <f t="shared" si="6"/>
        <v>786219.48151651723</v>
      </c>
      <c r="AD65" s="114">
        <f t="shared" si="28"/>
        <v>7.166666666666667</v>
      </c>
      <c r="AE65" s="114">
        <f t="shared" si="29"/>
        <v>3.9257894891469953E-3</v>
      </c>
      <c r="AF65" s="114">
        <f t="shared" si="30"/>
        <v>58.527777777777786</v>
      </c>
      <c r="AG65" s="114"/>
      <c r="AH65" s="176">
        <f t="shared" si="31"/>
        <v>123039183.29234347</v>
      </c>
      <c r="AI65" s="176">
        <f t="shared" si="32"/>
        <v>591828.87966129719</v>
      </c>
      <c r="AJ65" s="178">
        <f t="shared" si="33"/>
        <v>-591828.87966129719</v>
      </c>
      <c r="AK65" s="113">
        <f t="shared" si="34"/>
        <v>0</v>
      </c>
      <c r="AL65" s="113">
        <f t="shared" si="7"/>
        <v>0</v>
      </c>
      <c r="AM65" s="114">
        <f t="shared" si="35"/>
        <v>7.166666666666667</v>
      </c>
      <c r="AN65" s="114">
        <f t="shared" si="36"/>
        <v>0</v>
      </c>
      <c r="AO65" s="114">
        <f t="shared" si="37"/>
        <v>58.527777777777786</v>
      </c>
    </row>
    <row r="66" spans="1:41" hidden="1" outlineLevel="1" x14ac:dyDescent="0.3">
      <c r="A66" s="146">
        <f t="shared" si="8"/>
        <v>44</v>
      </c>
      <c r="B66" s="147">
        <f t="shared" si="1"/>
        <v>241</v>
      </c>
      <c r="C66" s="147">
        <f t="shared" si="0"/>
        <v>119</v>
      </c>
      <c r="D66" s="149">
        <f t="shared" si="9"/>
        <v>389354699.53852475</v>
      </c>
      <c r="E66" s="149">
        <f t="shared" si="10"/>
        <v>2794164.3387067895</v>
      </c>
      <c r="F66" s="149">
        <f t="shared" si="2"/>
        <v>1958436.2471459361</v>
      </c>
      <c r="G66" s="149">
        <f t="shared" si="3"/>
        <v>1893155.0389077384</v>
      </c>
      <c r="H66" s="149">
        <f t="shared" si="11"/>
        <v>65281.208238197723</v>
      </c>
      <c r="I66" s="149">
        <f t="shared" si="12"/>
        <v>835728.09156085341</v>
      </c>
      <c r="J66" s="147">
        <f t="shared" si="13"/>
        <v>4.4999999999999998E-2</v>
      </c>
      <c r="K66" s="175">
        <f t="shared" si="4"/>
        <v>3.8296430163020645E-3</v>
      </c>
      <c r="L66" s="149">
        <f t="shared" si="14"/>
        <v>1496821.7991016782</v>
      </c>
      <c r="M66" s="149">
        <f t="shared" si="15"/>
        <v>4225704.9295702707</v>
      </c>
      <c r="N66" s="149">
        <f t="shared" si="16"/>
        <v>2332549.8906625314</v>
      </c>
      <c r="P66" s="149">
        <f t="shared" si="17"/>
        <v>65720826.860268332</v>
      </c>
      <c r="Q66" s="149">
        <f t="shared" si="18"/>
        <v>331798.98632807867</v>
      </c>
      <c r="R66" s="178">
        <f t="shared" si="19"/>
        <v>2927239.2765755248</v>
      </c>
      <c r="S66" s="113">
        <f t="shared" si="20"/>
        <v>3259038.2629036037</v>
      </c>
      <c r="T66" s="113">
        <f t="shared" si="5"/>
        <v>2637969.1020310004</v>
      </c>
      <c r="U66" s="114">
        <f t="shared" si="21"/>
        <v>7.333333333333333</v>
      </c>
      <c r="V66" s="114">
        <f t="shared" si="22"/>
        <v>1.318326103383261E-2</v>
      </c>
      <c r="W66" s="114">
        <f t="shared" si="23"/>
        <v>61.1111111111111</v>
      </c>
      <c r="X66" s="114"/>
      <c r="Y66" s="149">
        <f t="shared" si="24"/>
        <v>200000000</v>
      </c>
      <c r="Z66" s="149">
        <f t="shared" si="25"/>
        <v>966666.66666666674</v>
      </c>
      <c r="AA66" s="178">
        <f t="shared" si="26"/>
        <v>0</v>
      </c>
      <c r="AB66" s="113">
        <f t="shared" si="27"/>
        <v>966666.66666666674</v>
      </c>
      <c r="AC66" s="113">
        <f t="shared" si="6"/>
        <v>782450.70874314953</v>
      </c>
      <c r="AD66" s="114">
        <f t="shared" si="28"/>
        <v>7.333333333333333</v>
      </c>
      <c r="AE66" s="114">
        <f t="shared" si="29"/>
        <v>3.906971068987612E-3</v>
      </c>
      <c r="AF66" s="114">
        <f t="shared" si="30"/>
        <v>61.1111111111111</v>
      </c>
      <c r="AG66" s="114"/>
      <c r="AH66" s="176">
        <f t="shared" si="31"/>
        <v>123633872.67825647</v>
      </c>
      <c r="AI66" s="176">
        <f t="shared" si="32"/>
        <v>594689.38591299346</v>
      </c>
      <c r="AJ66" s="178">
        <f t="shared" si="33"/>
        <v>-594689.38591299346</v>
      </c>
      <c r="AK66" s="113">
        <f t="shared" si="34"/>
        <v>0</v>
      </c>
      <c r="AL66" s="113">
        <f t="shared" si="7"/>
        <v>0</v>
      </c>
      <c r="AM66" s="114">
        <f t="shared" si="35"/>
        <v>7.333333333333333</v>
      </c>
      <c r="AN66" s="114">
        <f t="shared" si="36"/>
        <v>0</v>
      </c>
      <c r="AO66" s="114">
        <f t="shared" si="37"/>
        <v>61.1111111111111</v>
      </c>
    </row>
    <row r="67" spans="1:41" hidden="1" outlineLevel="1" x14ac:dyDescent="0.3">
      <c r="A67" s="146">
        <f t="shared" si="8"/>
        <v>45</v>
      </c>
      <c r="B67" s="147">
        <f t="shared" si="1"/>
        <v>240</v>
      </c>
      <c r="C67" s="147">
        <f t="shared" si="0"/>
        <v>120</v>
      </c>
      <c r="D67" s="149">
        <f t="shared" si="9"/>
        <v>387030124.06824398</v>
      </c>
      <c r="E67" s="149">
        <f t="shared" si="10"/>
        <v>2783463.6867606607</v>
      </c>
      <c r="F67" s="149">
        <f t="shared" si="2"/>
        <v>1946773.4976926239</v>
      </c>
      <c r="G67" s="149">
        <f t="shared" si="3"/>
        <v>1881881.0477695363</v>
      </c>
      <c r="H67" s="149">
        <f t="shared" si="11"/>
        <v>64892.44992308761</v>
      </c>
      <c r="I67" s="149">
        <f t="shared" si="12"/>
        <v>836690.18906803685</v>
      </c>
      <c r="J67" s="147">
        <f t="shared" si="13"/>
        <v>4.4999999999999998E-2</v>
      </c>
      <c r="K67" s="175">
        <f t="shared" si="4"/>
        <v>3.8296430163020645E-3</v>
      </c>
      <c r="L67" s="149">
        <f t="shared" si="14"/>
        <v>1487885.2812127271</v>
      </c>
      <c r="M67" s="149">
        <f t="shared" si="15"/>
        <v>4206456.5180503</v>
      </c>
      <c r="N67" s="149">
        <f t="shared" si="16"/>
        <v>2324575.4702807637</v>
      </c>
      <c r="P67" s="149">
        <f t="shared" si="17"/>
        <v>62798687.67204266</v>
      </c>
      <c r="Q67" s="149">
        <f t="shared" si="18"/>
        <v>317650.6631579636</v>
      </c>
      <c r="R67" s="178">
        <f t="shared" si="19"/>
        <v>2922139.1882256698</v>
      </c>
      <c r="S67" s="113">
        <f t="shared" si="20"/>
        <v>3239789.8513836334</v>
      </c>
      <c r="T67" s="113">
        <f t="shared" si="5"/>
        <v>2609818.3064059434</v>
      </c>
      <c r="U67" s="114">
        <f t="shared" si="21"/>
        <v>7.5</v>
      </c>
      <c r="V67" s="114">
        <f t="shared" si="22"/>
        <v>1.3042577321218435E-2</v>
      </c>
      <c r="W67" s="114">
        <f t="shared" si="23"/>
        <v>63.75</v>
      </c>
      <c r="X67" s="114"/>
      <c r="Y67" s="149">
        <f t="shared" si="24"/>
        <v>200000000</v>
      </c>
      <c r="Z67" s="149">
        <f t="shared" si="25"/>
        <v>966666.66666666674</v>
      </c>
      <c r="AA67" s="178">
        <f t="shared" si="26"/>
        <v>0</v>
      </c>
      <c r="AB67" s="113">
        <f t="shared" si="27"/>
        <v>966666.66666666674</v>
      </c>
      <c r="AC67" s="113">
        <f t="shared" si="6"/>
        <v>778700.00172438449</v>
      </c>
      <c r="AD67" s="114">
        <f t="shared" si="28"/>
        <v>7.5</v>
      </c>
      <c r="AE67" s="114">
        <f t="shared" si="29"/>
        <v>3.8882428556358695E-3</v>
      </c>
      <c r="AF67" s="114">
        <f t="shared" si="30"/>
        <v>63.75</v>
      </c>
      <c r="AG67" s="114"/>
      <c r="AH67" s="176">
        <f t="shared" si="31"/>
        <v>124231436.39620137</v>
      </c>
      <c r="AI67" s="176">
        <f t="shared" si="32"/>
        <v>597563.71794490633</v>
      </c>
      <c r="AJ67" s="178">
        <f t="shared" si="33"/>
        <v>-597563.71794490633</v>
      </c>
      <c r="AK67" s="113">
        <f t="shared" si="34"/>
        <v>0</v>
      </c>
      <c r="AL67" s="113">
        <f t="shared" si="7"/>
        <v>0</v>
      </c>
      <c r="AM67" s="114">
        <f t="shared" si="35"/>
        <v>7.5</v>
      </c>
      <c r="AN67" s="114">
        <f t="shared" si="36"/>
        <v>0</v>
      </c>
      <c r="AO67" s="114">
        <f t="shared" si="37"/>
        <v>63.75</v>
      </c>
    </row>
    <row r="68" spans="1:41" hidden="1" outlineLevel="1" x14ac:dyDescent="0.3">
      <c r="A68" s="146">
        <f t="shared" si="8"/>
        <v>46</v>
      </c>
      <c r="B68" s="147">
        <f t="shared" si="1"/>
        <v>239</v>
      </c>
      <c r="C68" s="147">
        <f t="shared" si="0"/>
        <v>121</v>
      </c>
      <c r="D68" s="149">
        <f t="shared" si="9"/>
        <v>384713491.37582821</v>
      </c>
      <c r="E68" s="149">
        <f t="shared" si="10"/>
        <v>2772804.0144915273</v>
      </c>
      <c r="F68" s="149">
        <f t="shared" si="2"/>
        <v>1935150.6203412199</v>
      </c>
      <c r="G68" s="149">
        <f t="shared" si="3"/>
        <v>1870645.5996631794</v>
      </c>
      <c r="H68" s="149">
        <f t="shared" si="11"/>
        <v>64505.020678040572</v>
      </c>
      <c r="I68" s="149">
        <f t="shared" si="12"/>
        <v>837653.3941503074</v>
      </c>
      <c r="J68" s="147">
        <f t="shared" si="13"/>
        <v>4.4999999999999998E-2</v>
      </c>
      <c r="K68" s="175">
        <f t="shared" si="4"/>
        <v>3.8296430163020645E-3</v>
      </c>
      <c r="L68" s="149">
        <f t="shared" si="14"/>
        <v>1478979.2982654825</v>
      </c>
      <c r="M68" s="149">
        <f t="shared" si="15"/>
        <v>4187278.2920789691</v>
      </c>
      <c r="N68" s="149">
        <f t="shared" si="16"/>
        <v>2316632.6924157897</v>
      </c>
      <c r="P68" s="149">
        <f t="shared" si="17"/>
        <v>59881603.037045233</v>
      </c>
      <c r="Q68" s="149">
        <f t="shared" si="18"/>
        <v>303526.99041487288</v>
      </c>
      <c r="R68" s="178">
        <f t="shared" si="19"/>
        <v>2917084.6349974298</v>
      </c>
      <c r="S68" s="113">
        <f t="shared" si="20"/>
        <v>3220611.6254123026</v>
      </c>
      <c r="T68" s="113">
        <f t="shared" si="5"/>
        <v>2581933.046391651</v>
      </c>
      <c r="U68" s="114">
        <f t="shared" si="21"/>
        <v>7.666666666666667</v>
      </c>
      <c r="V68" s="114">
        <f t="shared" si="22"/>
        <v>1.2903220623870587E-2</v>
      </c>
      <c r="W68" s="114">
        <f t="shared" si="23"/>
        <v>66.444444444444457</v>
      </c>
      <c r="X68" s="114"/>
      <c r="Y68" s="149">
        <f t="shared" si="24"/>
        <v>200000000</v>
      </c>
      <c r="Z68" s="149">
        <f t="shared" si="25"/>
        <v>966666.66666666674</v>
      </c>
      <c r="AA68" s="178">
        <f t="shared" si="26"/>
        <v>0</v>
      </c>
      <c r="AB68" s="113">
        <f t="shared" si="27"/>
        <v>966666.66666666674</v>
      </c>
      <c r="AC68" s="113">
        <f t="shared" si="6"/>
        <v>774967.2738613456</v>
      </c>
      <c r="AD68" s="114">
        <f t="shared" si="28"/>
        <v>7.666666666666667</v>
      </c>
      <c r="AE68" s="114">
        <f t="shared" si="29"/>
        <v>3.8696044166820309E-3</v>
      </c>
      <c r="AF68" s="114">
        <f t="shared" si="30"/>
        <v>66.444444444444457</v>
      </c>
      <c r="AG68" s="114"/>
      <c r="AH68" s="176">
        <f t="shared" si="31"/>
        <v>124831888.33878301</v>
      </c>
      <c r="AI68" s="176">
        <f t="shared" si="32"/>
        <v>600451.94258163997</v>
      </c>
      <c r="AJ68" s="178">
        <f t="shared" si="33"/>
        <v>-600451.94258163997</v>
      </c>
      <c r="AK68" s="113">
        <f t="shared" si="34"/>
        <v>0</v>
      </c>
      <c r="AL68" s="113">
        <f t="shared" si="7"/>
        <v>0</v>
      </c>
      <c r="AM68" s="114">
        <f t="shared" si="35"/>
        <v>7.666666666666667</v>
      </c>
      <c r="AN68" s="114">
        <f t="shared" si="36"/>
        <v>0</v>
      </c>
      <c r="AO68" s="114">
        <f t="shared" si="37"/>
        <v>66.444444444444457</v>
      </c>
    </row>
    <row r="69" spans="1:41" hidden="1" outlineLevel="1" x14ac:dyDescent="0.3">
      <c r="A69" s="146">
        <f t="shared" si="8"/>
        <v>47</v>
      </c>
      <c r="B69" s="147">
        <f t="shared" si="1"/>
        <v>238</v>
      </c>
      <c r="C69" s="147">
        <f t="shared" si="0"/>
        <v>122</v>
      </c>
      <c r="D69" s="149">
        <f t="shared" si="9"/>
        <v>382404769.93866998</v>
      </c>
      <c r="E69" s="149">
        <f t="shared" si="10"/>
        <v>2762185.1649618554</v>
      </c>
      <c r="F69" s="149">
        <f t="shared" si="2"/>
        <v>1923567.456879141</v>
      </c>
      <c r="G69" s="149">
        <f t="shared" si="3"/>
        <v>1859448.5416498363</v>
      </c>
      <c r="H69" s="149">
        <f t="shared" si="11"/>
        <v>64118.915229304694</v>
      </c>
      <c r="I69" s="149">
        <f t="shared" si="12"/>
        <v>838617.70808271435</v>
      </c>
      <c r="J69" s="147">
        <f t="shared" si="13"/>
        <v>4.4999999999999998E-2</v>
      </c>
      <c r="K69" s="175">
        <f t="shared" si="4"/>
        <v>3.8296430163020645E-3</v>
      </c>
      <c r="L69" s="149">
        <f t="shared" si="14"/>
        <v>1470103.7290755187</v>
      </c>
      <c r="M69" s="149">
        <f t="shared" si="15"/>
        <v>4168169.9788080696</v>
      </c>
      <c r="N69" s="149">
        <f t="shared" si="16"/>
        <v>2308721.437158233</v>
      </c>
      <c r="P69" s="149">
        <f t="shared" si="17"/>
        <v>56969527.472916216</v>
      </c>
      <c r="Q69" s="149">
        <f t="shared" si="18"/>
        <v>289427.74801238533</v>
      </c>
      <c r="R69" s="178">
        <f t="shared" si="19"/>
        <v>2912075.5641290178</v>
      </c>
      <c r="S69" s="113">
        <f t="shared" si="20"/>
        <v>3201503.3121414031</v>
      </c>
      <c r="T69" s="113">
        <f t="shared" si="5"/>
        <v>2554310.9357177168</v>
      </c>
      <c r="U69" s="114">
        <f t="shared" si="21"/>
        <v>7.833333333333333</v>
      </c>
      <c r="V69" s="114">
        <f t="shared" si="22"/>
        <v>1.2765179016393256E-2</v>
      </c>
      <c r="W69" s="114">
        <f t="shared" si="23"/>
        <v>69.194444444444429</v>
      </c>
      <c r="X69" s="114"/>
      <c r="Y69" s="149">
        <f t="shared" si="24"/>
        <v>200000000</v>
      </c>
      <c r="Z69" s="149">
        <f t="shared" si="25"/>
        <v>966666.66666666674</v>
      </c>
      <c r="AA69" s="178">
        <f t="shared" si="26"/>
        <v>0</v>
      </c>
      <c r="AB69" s="113">
        <f t="shared" si="27"/>
        <v>966666.66666666674</v>
      </c>
      <c r="AC69" s="113">
        <f t="shared" si="6"/>
        <v>771252.43897027161</v>
      </c>
      <c r="AD69" s="114">
        <f t="shared" si="28"/>
        <v>7.833333333333333</v>
      </c>
      <c r="AE69" s="114">
        <f t="shared" si="29"/>
        <v>3.851055321789133E-3</v>
      </c>
      <c r="AF69" s="114">
        <f t="shared" si="30"/>
        <v>69.194444444444429</v>
      </c>
      <c r="AG69" s="114"/>
      <c r="AH69" s="176">
        <f t="shared" si="31"/>
        <v>125435242.46575379</v>
      </c>
      <c r="AI69" s="176">
        <f t="shared" si="32"/>
        <v>603354.12697078462</v>
      </c>
      <c r="AJ69" s="178">
        <f t="shared" si="33"/>
        <v>-603354.12697078462</v>
      </c>
      <c r="AK69" s="113">
        <f t="shared" si="34"/>
        <v>0</v>
      </c>
      <c r="AL69" s="113">
        <f t="shared" si="7"/>
        <v>0</v>
      </c>
      <c r="AM69" s="114">
        <f t="shared" si="35"/>
        <v>7.833333333333333</v>
      </c>
      <c r="AN69" s="114">
        <f t="shared" si="36"/>
        <v>0</v>
      </c>
      <c r="AO69" s="114">
        <f t="shared" si="37"/>
        <v>69.194444444444429</v>
      </c>
    </row>
    <row r="70" spans="1:41" hidden="1" outlineLevel="1" x14ac:dyDescent="0.3">
      <c r="A70" s="146">
        <f t="shared" si="8"/>
        <v>48</v>
      </c>
      <c r="B70" s="147">
        <f t="shared" si="1"/>
        <v>237</v>
      </c>
      <c r="C70" s="147">
        <f t="shared" si="0"/>
        <v>123</v>
      </c>
      <c r="D70" s="149">
        <f t="shared" si="9"/>
        <v>380103928.35361058</v>
      </c>
      <c r="E70" s="149">
        <f t="shared" si="10"/>
        <v>2751606.9818351259</v>
      </c>
      <c r="F70" s="149">
        <f t="shared" si="2"/>
        <v>1912023.84969335</v>
      </c>
      <c r="G70" s="149">
        <f t="shared" si="3"/>
        <v>1848289.7213702383</v>
      </c>
      <c r="H70" s="149">
        <f t="shared" si="11"/>
        <v>63734.128323111683</v>
      </c>
      <c r="I70" s="149">
        <f t="shared" si="12"/>
        <v>839583.13214177592</v>
      </c>
      <c r="J70" s="147">
        <f t="shared" si="13"/>
        <v>4.4999999999999998E-2</v>
      </c>
      <c r="K70" s="175">
        <f t="shared" si="4"/>
        <v>3.8296430163020645E-3</v>
      </c>
      <c r="L70" s="149">
        <f t="shared" si="14"/>
        <v>1461258.4529176133</v>
      </c>
      <c r="M70" s="149">
        <f t="shared" si="15"/>
        <v>4149131.3064296274</v>
      </c>
      <c r="N70" s="149">
        <f t="shared" si="16"/>
        <v>2300841.5850593895</v>
      </c>
      <c r="P70" s="149">
        <f t="shared" si="17"/>
        <v>54062415.549272351</v>
      </c>
      <c r="Q70" s="149">
        <f t="shared" si="18"/>
        <v>275352.71611909504</v>
      </c>
      <c r="R70" s="178">
        <f t="shared" si="19"/>
        <v>2907111.9236438661</v>
      </c>
      <c r="S70" s="113">
        <f t="shared" si="20"/>
        <v>3182464.6397629613</v>
      </c>
      <c r="T70" s="113">
        <f t="shared" si="5"/>
        <v>2526949.6090955036</v>
      </c>
      <c r="U70" s="114">
        <f t="shared" si="21"/>
        <v>8</v>
      </c>
      <c r="V70" s="114">
        <f t="shared" si="22"/>
        <v>1.2628440678247114E-2</v>
      </c>
      <c r="W70" s="114">
        <f t="shared" si="23"/>
        <v>72</v>
      </c>
      <c r="X70" s="114"/>
      <c r="Y70" s="149">
        <f t="shared" si="24"/>
        <v>200000000</v>
      </c>
      <c r="Z70" s="149">
        <f t="shared" si="25"/>
        <v>966666.66666666674</v>
      </c>
      <c r="AA70" s="178">
        <f t="shared" si="26"/>
        <v>0</v>
      </c>
      <c r="AB70" s="113">
        <f t="shared" si="27"/>
        <v>966666.66666666674</v>
      </c>
      <c r="AC70" s="113">
        <f t="shared" si="6"/>
        <v>767555.41128052492</v>
      </c>
      <c r="AD70" s="114">
        <f t="shared" si="28"/>
        <v>8</v>
      </c>
      <c r="AE70" s="114">
        <f t="shared" si="29"/>
        <v>3.8325951426830419E-3</v>
      </c>
      <c r="AF70" s="114">
        <f t="shared" si="30"/>
        <v>72</v>
      </c>
      <c r="AG70" s="114"/>
      <c r="AH70" s="176">
        <f t="shared" si="31"/>
        <v>126041512.80433828</v>
      </c>
      <c r="AI70" s="176">
        <f t="shared" si="32"/>
        <v>606270.33858447673</v>
      </c>
      <c r="AJ70" s="178">
        <f t="shared" si="33"/>
        <v>-606270.33858447673</v>
      </c>
      <c r="AK70" s="113">
        <f t="shared" si="34"/>
        <v>0</v>
      </c>
      <c r="AL70" s="113">
        <f t="shared" si="7"/>
        <v>0</v>
      </c>
      <c r="AM70" s="114">
        <f t="shared" si="35"/>
        <v>8</v>
      </c>
      <c r="AN70" s="114">
        <f t="shared" si="36"/>
        <v>0</v>
      </c>
      <c r="AO70" s="114">
        <f t="shared" si="37"/>
        <v>72</v>
      </c>
    </row>
    <row r="71" spans="1:41" hidden="1" outlineLevel="1" x14ac:dyDescent="0.3">
      <c r="A71" s="146">
        <f t="shared" si="8"/>
        <v>49</v>
      </c>
      <c r="B71" s="147">
        <f t="shared" si="1"/>
        <v>236</v>
      </c>
      <c r="C71" s="147">
        <f t="shared" si="0"/>
        <v>124</v>
      </c>
      <c r="D71" s="149">
        <f t="shared" si="9"/>
        <v>377810935.33648115</v>
      </c>
      <c r="E71" s="149">
        <f t="shared" si="10"/>
        <v>2741069.3093735329</v>
      </c>
      <c r="F71" s="149">
        <f t="shared" si="2"/>
        <v>1900519.6417680529</v>
      </c>
      <c r="G71" s="149">
        <f t="shared" si="3"/>
        <v>1837168.9870424513</v>
      </c>
      <c r="H71" s="149">
        <f t="shared" si="11"/>
        <v>63350.654725601664</v>
      </c>
      <c r="I71" s="149">
        <f t="shared" si="12"/>
        <v>840549.66760547995</v>
      </c>
      <c r="J71" s="147">
        <f t="shared" si="13"/>
        <v>4.4999999999999998E-2</v>
      </c>
      <c r="K71" s="175">
        <f t="shared" si="4"/>
        <v>3.8296430163020645E-3</v>
      </c>
      <c r="L71" s="149">
        <f t="shared" si="14"/>
        <v>1452443.3495239848</v>
      </c>
      <c r="M71" s="149">
        <f t="shared" si="15"/>
        <v>4130162.0041719163</v>
      </c>
      <c r="N71" s="149">
        <f t="shared" si="16"/>
        <v>2292993.017129465</v>
      </c>
      <c r="P71" s="149">
        <f t="shared" si="17"/>
        <v>51160221.88692192</v>
      </c>
      <c r="Q71" s="149">
        <f t="shared" si="18"/>
        <v>261301.67515481639</v>
      </c>
      <c r="R71" s="178">
        <f t="shared" si="19"/>
        <v>2902193.6623504334</v>
      </c>
      <c r="S71" s="113">
        <f t="shared" si="20"/>
        <v>3163495.3375052498</v>
      </c>
      <c r="T71" s="113">
        <f t="shared" si="5"/>
        <v>2499846.7220355948</v>
      </c>
      <c r="U71" s="114">
        <f t="shared" si="21"/>
        <v>8.1666666666666661</v>
      </c>
      <c r="V71" s="114">
        <f t="shared" si="22"/>
        <v>1.2492993892837017E-2</v>
      </c>
      <c r="W71" s="114">
        <f t="shared" si="23"/>
        <v>74.8611111111111</v>
      </c>
      <c r="X71" s="114"/>
      <c r="Y71" s="149">
        <f t="shared" si="24"/>
        <v>200000000</v>
      </c>
      <c r="Z71" s="149">
        <f t="shared" si="25"/>
        <v>966666.66666666674</v>
      </c>
      <c r="AA71" s="178">
        <f t="shared" si="26"/>
        <v>0</v>
      </c>
      <c r="AB71" s="113">
        <f t="shared" si="27"/>
        <v>966666.66666666674</v>
      </c>
      <c r="AC71" s="113">
        <f t="shared" si="6"/>
        <v>763876.10543261364</v>
      </c>
      <c r="AD71" s="114">
        <f t="shared" si="28"/>
        <v>8.1666666666666661</v>
      </c>
      <c r="AE71" s="114">
        <f t="shared" si="29"/>
        <v>3.8142234531425767E-3</v>
      </c>
      <c r="AF71" s="114">
        <f t="shared" si="30"/>
        <v>74.8611111111111</v>
      </c>
      <c r="AG71" s="114"/>
      <c r="AH71" s="176">
        <f t="shared" si="31"/>
        <v>126650713.44955924</v>
      </c>
      <c r="AI71" s="176">
        <f t="shared" si="32"/>
        <v>609200.64522096841</v>
      </c>
      <c r="AJ71" s="178">
        <f t="shared" si="33"/>
        <v>-609200.64522096841</v>
      </c>
      <c r="AK71" s="113">
        <f t="shared" si="34"/>
        <v>0</v>
      </c>
      <c r="AL71" s="113">
        <f t="shared" si="7"/>
        <v>0</v>
      </c>
      <c r="AM71" s="114">
        <f t="shared" si="35"/>
        <v>8.1666666666666661</v>
      </c>
      <c r="AN71" s="114">
        <f t="shared" si="36"/>
        <v>0</v>
      </c>
      <c r="AO71" s="114">
        <f t="shared" si="37"/>
        <v>74.8611111111111</v>
      </c>
    </row>
    <row r="72" spans="1:41" hidden="1" outlineLevel="1" x14ac:dyDescent="0.3">
      <c r="A72" s="146">
        <f t="shared" si="8"/>
        <v>50</v>
      </c>
      <c r="B72" s="147">
        <f t="shared" si="1"/>
        <v>235</v>
      </c>
      <c r="C72" s="147">
        <f t="shared" si="0"/>
        <v>125</v>
      </c>
      <c r="D72" s="149">
        <f t="shared" si="9"/>
        <v>375525759.72164536</v>
      </c>
      <c r="E72" s="149">
        <f t="shared" si="10"/>
        <v>2730571.9924356905</v>
      </c>
      <c r="F72" s="149">
        <f t="shared" si="2"/>
        <v>1889054.6766824059</v>
      </c>
      <c r="G72" s="149">
        <f t="shared" si="3"/>
        <v>1826086.1874596591</v>
      </c>
      <c r="H72" s="149">
        <f t="shared" si="11"/>
        <v>62968.489222746808</v>
      </c>
      <c r="I72" s="149">
        <f t="shared" si="12"/>
        <v>841517.31575328461</v>
      </c>
      <c r="J72" s="147">
        <f t="shared" si="13"/>
        <v>4.4999999999999998E-2</v>
      </c>
      <c r="K72" s="175">
        <f t="shared" si="4"/>
        <v>3.8296430163020645E-3</v>
      </c>
      <c r="L72" s="149">
        <f t="shared" si="14"/>
        <v>1443658.2990825342</v>
      </c>
      <c r="M72" s="149">
        <f t="shared" si="15"/>
        <v>4111261.8022954781</v>
      </c>
      <c r="N72" s="149">
        <f t="shared" si="16"/>
        <v>2285175.6148358188</v>
      </c>
      <c r="P72" s="149">
        <f t="shared" si="17"/>
        <v>48262901.157079898</v>
      </c>
      <c r="Q72" s="149">
        <f t="shared" si="18"/>
        <v>247274.40578678928</v>
      </c>
      <c r="R72" s="178">
        <f t="shared" si="19"/>
        <v>2897320.7298420221</v>
      </c>
      <c r="S72" s="113">
        <f t="shared" si="20"/>
        <v>3144595.1356288115</v>
      </c>
      <c r="T72" s="113">
        <f t="shared" si="5"/>
        <v>2472999.9506668136</v>
      </c>
      <c r="U72" s="114">
        <f t="shared" si="21"/>
        <v>8.3333333333333339</v>
      </c>
      <c r="V72" s="114">
        <f t="shared" si="22"/>
        <v>1.2358827046607554E-2</v>
      </c>
      <c r="W72" s="114">
        <f t="shared" si="23"/>
        <v>77.777777777777786</v>
      </c>
      <c r="X72" s="114"/>
      <c r="Y72" s="149">
        <f t="shared" si="24"/>
        <v>200000000</v>
      </c>
      <c r="Z72" s="149">
        <f t="shared" si="25"/>
        <v>966666.66666666674</v>
      </c>
      <c r="AA72" s="178">
        <f t="shared" si="26"/>
        <v>0</v>
      </c>
      <c r="AB72" s="113">
        <f t="shared" si="27"/>
        <v>966666.66666666674</v>
      </c>
      <c r="AC72" s="113">
        <f t="shared" si="6"/>
        <v>760214.43647622014</v>
      </c>
      <c r="AD72" s="114">
        <f t="shared" si="28"/>
        <v>8.3333333333333339</v>
      </c>
      <c r="AE72" s="114">
        <f t="shared" si="29"/>
        <v>3.7959398289896646E-3</v>
      </c>
      <c r="AF72" s="114">
        <f t="shared" si="30"/>
        <v>77.777777777777786</v>
      </c>
      <c r="AG72" s="114"/>
      <c r="AH72" s="176">
        <f t="shared" si="31"/>
        <v>127262858.56456545</v>
      </c>
      <c r="AI72" s="176">
        <f t="shared" si="32"/>
        <v>612145.11500620306</v>
      </c>
      <c r="AJ72" s="178">
        <f t="shared" si="33"/>
        <v>-612145.11500620306</v>
      </c>
      <c r="AK72" s="113">
        <f t="shared" si="34"/>
        <v>0</v>
      </c>
      <c r="AL72" s="113">
        <f t="shared" si="7"/>
        <v>0</v>
      </c>
      <c r="AM72" s="114">
        <f t="shared" si="35"/>
        <v>8.3333333333333339</v>
      </c>
      <c r="AN72" s="114">
        <f t="shared" si="36"/>
        <v>0</v>
      </c>
      <c r="AO72" s="114">
        <f t="shared" si="37"/>
        <v>77.777777777777786</v>
      </c>
    </row>
    <row r="73" spans="1:41" hidden="1" outlineLevel="1" x14ac:dyDescent="0.3">
      <c r="A73" s="146">
        <f t="shared" si="8"/>
        <v>51</v>
      </c>
      <c r="B73" s="147">
        <f t="shared" si="1"/>
        <v>234</v>
      </c>
      <c r="C73" s="147">
        <f t="shared" si="0"/>
        <v>126</v>
      </c>
      <c r="D73" s="149">
        <f t="shared" si="9"/>
        <v>373248370.4615441</v>
      </c>
      <c r="E73" s="149">
        <f t="shared" si="10"/>
        <v>2720114.8764743493</v>
      </c>
      <c r="F73" s="149">
        <f t="shared" si="2"/>
        <v>1877628.7986082267</v>
      </c>
      <c r="G73" s="149">
        <f t="shared" si="3"/>
        <v>1815041.1719879527</v>
      </c>
      <c r="H73" s="149">
        <f t="shared" si="11"/>
        <v>62587.626620274037</v>
      </c>
      <c r="I73" s="149">
        <f t="shared" si="12"/>
        <v>842486.07786612259</v>
      </c>
      <c r="J73" s="147">
        <f t="shared" si="13"/>
        <v>4.4999999999999998E-2</v>
      </c>
      <c r="K73" s="175">
        <f t="shared" si="4"/>
        <v>3.8296430163020645E-3</v>
      </c>
      <c r="L73" s="149">
        <f t="shared" si="14"/>
        <v>1434903.1822350945</v>
      </c>
      <c r="M73" s="149">
        <f t="shared" si="15"/>
        <v>4092430.4320891695</v>
      </c>
      <c r="N73" s="149">
        <f t="shared" si="16"/>
        <v>2277389.2601012168</v>
      </c>
      <c r="P73" s="149">
        <f t="shared" si="17"/>
        <v>45370408.080583282</v>
      </c>
      <c r="Q73" s="149">
        <f t="shared" si="18"/>
        <v>233270.68892588618</v>
      </c>
      <c r="R73" s="178">
        <f t="shared" si="19"/>
        <v>2892493.0764966165</v>
      </c>
      <c r="S73" s="113">
        <f t="shared" si="20"/>
        <v>3125763.7654225025</v>
      </c>
      <c r="T73" s="113">
        <f t="shared" si="5"/>
        <v>2446406.991556813</v>
      </c>
      <c r="U73" s="114">
        <f t="shared" si="21"/>
        <v>8.5</v>
      </c>
      <c r="V73" s="114">
        <f t="shared" si="22"/>
        <v>1.2225928628146452E-2</v>
      </c>
      <c r="W73" s="114">
        <f t="shared" si="23"/>
        <v>80.75</v>
      </c>
      <c r="X73" s="114"/>
      <c r="Y73" s="149">
        <f t="shared" si="24"/>
        <v>200000000</v>
      </c>
      <c r="Z73" s="149">
        <f t="shared" si="25"/>
        <v>966666.66666666674</v>
      </c>
      <c r="AA73" s="178">
        <f t="shared" si="26"/>
        <v>0</v>
      </c>
      <c r="AB73" s="113">
        <f t="shared" si="27"/>
        <v>966666.66666666674</v>
      </c>
      <c r="AC73" s="113">
        <f t="shared" si="6"/>
        <v>756570.31986823864</v>
      </c>
      <c r="AD73" s="114">
        <f t="shared" si="28"/>
        <v>8.5</v>
      </c>
      <c r="AE73" s="114">
        <f t="shared" si="29"/>
        <v>3.7777438480795433E-3</v>
      </c>
      <c r="AF73" s="114">
        <f t="shared" si="30"/>
        <v>80.75</v>
      </c>
      <c r="AG73" s="114"/>
      <c r="AH73" s="176">
        <f t="shared" si="31"/>
        <v>127877962.38096085</v>
      </c>
      <c r="AI73" s="176">
        <f t="shared" si="32"/>
        <v>615103.81639539974</v>
      </c>
      <c r="AJ73" s="178">
        <f t="shared" si="33"/>
        <v>-615103.81639539974</v>
      </c>
      <c r="AK73" s="113">
        <f t="shared" si="34"/>
        <v>0</v>
      </c>
      <c r="AL73" s="113">
        <f t="shared" si="7"/>
        <v>0</v>
      </c>
      <c r="AM73" s="114">
        <f t="shared" si="35"/>
        <v>8.5</v>
      </c>
      <c r="AN73" s="114">
        <f t="shared" si="36"/>
        <v>0</v>
      </c>
      <c r="AO73" s="114">
        <f t="shared" si="37"/>
        <v>80.75</v>
      </c>
    </row>
    <row r="74" spans="1:41" hidden="1" outlineLevel="1" x14ac:dyDescent="0.3">
      <c r="A74" s="146">
        <f t="shared" si="8"/>
        <v>52</v>
      </c>
      <c r="B74" s="147">
        <f t="shared" si="1"/>
        <v>233</v>
      </c>
      <c r="C74" s="147">
        <f t="shared" si="0"/>
        <v>127</v>
      </c>
      <c r="D74" s="149">
        <f t="shared" si="9"/>
        <v>370978736.62624198</v>
      </c>
      <c r="E74" s="149">
        <f t="shared" si="10"/>
        <v>2709697.80753412</v>
      </c>
      <c r="F74" s="149">
        <f t="shared" si="2"/>
        <v>1866241.8523077206</v>
      </c>
      <c r="G74" s="149">
        <f t="shared" si="3"/>
        <v>1804033.7905641298</v>
      </c>
      <c r="H74" s="149">
        <f t="shared" si="11"/>
        <v>62208.061743590748</v>
      </c>
      <c r="I74" s="149">
        <f t="shared" si="12"/>
        <v>843455.95522639947</v>
      </c>
      <c r="J74" s="147">
        <f t="shared" si="13"/>
        <v>4.4999999999999998E-2</v>
      </c>
      <c r="K74" s="175">
        <f t="shared" si="4"/>
        <v>3.8296430163020645E-3</v>
      </c>
      <c r="L74" s="149">
        <f t="shared" si="14"/>
        <v>1426177.8800756868</v>
      </c>
      <c r="M74" s="149">
        <f t="shared" si="15"/>
        <v>4073667.6258662157</v>
      </c>
      <c r="N74" s="149">
        <f t="shared" si="16"/>
        <v>2269633.8353020865</v>
      </c>
      <c r="P74" s="149">
        <f t="shared" si="17"/>
        <v>42482697.427106552</v>
      </c>
      <c r="Q74" s="149">
        <f t="shared" si="18"/>
        <v>219290.3057228192</v>
      </c>
      <c r="R74" s="178">
        <f t="shared" si="19"/>
        <v>2887710.6534767309</v>
      </c>
      <c r="S74" s="113">
        <f t="shared" si="20"/>
        <v>3107000.9591995501</v>
      </c>
      <c r="T74" s="113">
        <f t="shared" si="5"/>
        <v>2420065.5615342231</v>
      </c>
      <c r="U74" s="114">
        <f t="shared" si="21"/>
        <v>8.6666666666666661</v>
      </c>
      <c r="V74" s="114">
        <f t="shared" si="22"/>
        <v>1.2094287227295747E-2</v>
      </c>
      <c r="W74" s="114">
        <f t="shared" si="23"/>
        <v>83.777777777777771</v>
      </c>
      <c r="X74" s="114"/>
      <c r="Y74" s="149">
        <f t="shared" si="24"/>
        <v>200000000</v>
      </c>
      <c r="Z74" s="149">
        <f t="shared" si="25"/>
        <v>966666.66666666674</v>
      </c>
      <c r="AA74" s="178">
        <f t="shared" si="26"/>
        <v>0</v>
      </c>
      <c r="AB74" s="113">
        <f t="shared" si="27"/>
        <v>966666.66666666674</v>
      </c>
      <c r="AC74" s="113">
        <f t="shared" si="6"/>
        <v>752943.6714708244</v>
      </c>
      <c r="AD74" s="114">
        <f t="shared" si="28"/>
        <v>8.6666666666666661</v>
      </c>
      <c r="AE74" s="114">
        <f t="shared" si="29"/>
        <v>3.7596350902910206E-3</v>
      </c>
      <c r="AF74" s="114">
        <f t="shared" si="30"/>
        <v>83.777777777777771</v>
      </c>
      <c r="AG74" s="114"/>
      <c r="AH74" s="176">
        <f t="shared" si="31"/>
        <v>128496039.1991355</v>
      </c>
      <c r="AI74" s="176">
        <f t="shared" si="32"/>
        <v>618076.81817464414</v>
      </c>
      <c r="AJ74" s="178">
        <f t="shared" si="33"/>
        <v>-618076.81817464414</v>
      </c>
      <c r="AK74" s="113">
        <f t="shared" si="34"/>
        <v>0</v>
      </c>
      <c r="AL74" s="113">
        <f t="shared" si="7"/>
        <v>0</v>
      </c>
      <c r="AM74" s="114">
        <f t="shared" si="35"/>
        <v>8.6666666666666661</v>
      </c>
      <c r="AN74" s="114">
        <f t="shared" si="36"/>
        <v>0</v>
      </c>
      <c r="AO74" s="114">
        <f t="shared" si="37"/>
        <v>83.777777777777771</v>
      </c>
    </row>
    <row r="75" spans="1:41" hidden="1" outlineLevel="1" x14ac:dyDescent="0.3">
      <c r="A75" s="146">
        <f t="shared" si="8"/>
        <v>53</v>
      </c>
      <c r="B75" s="147">
        <f t="shared" si="1"/>
        <v>232</v>
      </c>
      <c r="C75" s="147">
        <f t="shared" si="0"/>
        <v>128</v>
      </c>
      <c r="D75" s="149">
        <f t="shared" si="9"/>
        <v>368716827.4029752</v>
      </c>
      <c r="E75" s="149">
        <f t="shared" si="10"/>
        <v>2699320.6322492082</v>
      </c>
      <c r="F75" s="149">
        <f t="shared" si="2"/>
        <v>1854893.68313121</v>
      </c>
      <c r="G75" s="149">
        <f t="shared" si="3"/>
        <v>1793063.893693503</v>
      </c>
      <c r="H75" s="149">
        <f t="shared" si="11"/>
        <v>61829.789437707048</v>
      </c>
      <c r="I75" s="149">
        <f t="shared" si="12"/>
        <v>844426.94911799813</v>
      </c>
      <c r="J75" s="147">
        <f t="shared" si="13"/>
        <v>4.4999999999999998E-2</v>
      </c>
      <c r="K75" s="175">
        <f t="shared" si="4"/>
        <v>3.8296430163020645E-3</v>
      </c>
      <c r="L75" s="149">
        <f t="shared" si="14"/>
        <v>1417482.2741487834</v>
      </c>
      <c r="M75" s="149">
        <f t="shared" si="15"/>
        <v>4054973.1169602843</v>
      </c>
      <c r="N75" s="149">
        <f t="shared" si="16"/>
        <v>2261909.2232667813</v>
      </c>
      <c r="P75" s="149">
        <f t="shared" si="17"/>
        <v>39599724.014377281</v>
      </c>
      <c r="Q75" s="149">
        <f t="shared" si="18"/>
        <v>205333.03756434834</v>
      </c>
      <c r="R75" s="178">
        <f t="shared" si="19"/>
        <v>2882973.4127292698</v>
      </c>
      <c r="S75" s="113">
        <f t="shared" si="20"/>
        <v>3088306.4502936183</v>
      </c>
      <c r="T75" s="113">
        <f t="shared" si="5"/>
        <v>2393973.3975123251</v>
      </c>
      <c r="U75" s="114">
        <f t="shared" si="21"/>
        <v>8.8333333333333339</v>
      </c>
      <c r="V75" s="114">
        <f t="shared" si="22"/>
        <v>1.1963891534270599E-2</v>
      </c>
      <c r="W75" s="114">
        <f t="shared" si="23"/>
        <v>86.861111111111128</v>
      </c>
      <c r="X75" s="114"/>
      <c r="Y75" s="149">
        <f t="shared" si="24"/>
        <v>200000000</v>
      </c>
      <c r="Z75" s="149">
        <f t="shared" si="25"/>
        <v>966666.66666666674</v>
      </c>
      <c r="AA75" s="178">
        <f t="shared" si="26"/>
        <v>0</v>
      </c>
      <c r="AB75" s="113">
        <f t="shared" si="27"/>
        <v>966666.66666666674</v>
      </c>
      <c r="AC75" s="113">
        <f t="shared" si="6"/>
        <v>749334.40754945041</v>
      </c>
      <c r="AD75" s="114">
        <f t="shared" si="28"/>
        <v>8.8333333333333339</v>
      </c>
      <c r="AE75" s="114">
        <f t="shared" si="29"/>
        <v>3.7416131375167688E-3</v>
      </c>
      <c r="AF75" s="114">
        <f t="shared" si="30"/>
        <v>86.861111111111128</v>
      </c>
      <c r="AG75" s="114"/>
      <c r="AH75" s="176">
        <f t="shared" si="31"/>
        <v>129117103.38859798</v>
      </c>
      <c r="AI75" s="176">
        <f t="shared" si="32"/>
        <v>621064.18946248828</v>
      </c>
      <c r="AJ75" s="178">
        <f t="shared" si="33"/>
        <v>-621064.18946248828</v>
      </c>
      <c r="AK75" s="113">
        <f t="shared" si="34"/>
        <v>0</v>
      </c>
      <c r="AL75" s="113">
        <f t="shared" si="7"/>
        <v>0</v>
      </c>
      <c r="AM75" s="114">
        <f t="shared" si="35"/>
        <v>8.8333333333333339</v>
      </c>
      <c r="AN75" s="114">
        <f t="shared" si="36"/>
        <v>0</v>
      </c>
      <c r="AO75" s="114">
        <f t="shared" si="37"/>
        <v>86.861111111111128</v>
      </c>
    </row>
    <row r="76" spans="1:41" hidden="1" outlineLevel="1" x14ac:dyDescent="0.3">
      <c r="A76" s="146">
        <f t="shared" si="8"/>
        <v>54</v>
      </c>
      <c r="B76" s="147">
        <f t="shared" si="1"/>
        <v>231</v>
      </c>
      <c r="C76" s="147">
        <f t="shared" si="0"/>
        <v>129</v>
      </c>
      <c r="D76" s="149">
        <f t="shared" si="9"/>
        <v>366462612.09570134</v>
      </c>
      <c r="E76" s="149">
        <f t="shared" si="10"/>
        <v>2688983.1978411549</v>
      </c>
      <c r="F76" s="149">
        <f t="shared" si="2"/>
        <v>1843584.1370148761</v>
      </c>
      <c r="G76" s="149">
        <f t="shared" si="3"/>
        <v>1782131.3324477135</v>
      </c>
      <c r="H76" s="149">
        <f t="shared" si="11"/>
        <v>61452.804567162646</v>
      </c>
      <c r="I76" s="149">
        <f t="shared" si="12"/>
        <v>845399.06082627876</v>
      </c>
      <c r="J76" s="147">
        <f t="shared" si="13"/>
        <v>4.4999999999999998E-2</v>
      </c>
      <c r="K76" s="175">
        <f t="shared" si="4"/>
        <v>3.8296430163020645E-3</v>
      </c>
      <c r="L76" s="149">
        <f t="shared" si="14"/>
        <v>1408816.246447576</v>
      </c>
      <c r="M76" s="149">
        <f t="shared" si="15"/>
        <v>4036346.6397215687</v>
      </c>
      <c r="N76" s="149">
        <f t="shared" si="16"/>
        <v>2254215.3072738545</v>
      </c>
      <c r="P76" s="149">
        <f t="shared" si="17"/>
        <v>36721442.707391873</v>
      </c>
      <c r="Q76" s="149">
        <f t="shared" si="18"/>
        <v>191398.66606949019</v>
      </c>
      <c r="R76" s="178">
        <f t="shared" si="19"/>
        <v>2878281.3069854113</v>
      </c>
      <c r="S76" s="113">
        <f t="shared" si="20"/>
        <v>3069679.9730549017</v>
      </c>
      <c r="T76" s="113">
        <f t="shared" si="5"/>
        <v>2368128.2563142688</v>
      </c>
      <c r="U76" s="114">
        <f t="shared" si="21"/>
        <v>9</v>
      </c>
      <c r="V76" s="114">
        <f t="shared" si="22"/>
        <v>1.1834730338785819E-2</v>
      </c>
      <c r="W76" s="114">
        <f t="shared" si="23"/>
        <v>90</v>
      </c>
      <c r="X76" s="114"/>
      <c r="Y76" s="149">
        <f t="shared" si="24"/>
        <v>200000000</v>
      </c>
      <c r="Z76" s="149">
        <f t="shared" si="25"/>
        <v>966666.66666666674</v>
      </c>
      <c r="AA76" s="178">
        <f t="shared" si="26"/>
        <v>0</v>
      </c>
      <c r="AB76" s="113">
        <f t="shared" si="27"/>
        <v>966666.66666666674</v>
      </c>
      <c r="AC76" s="113">
        <f t="shared" si="6"/>
        <v>745742.44477097399</v>
      </c>
      <c r="AD76" s="114">
        <f t="shared" si="28"/>
        <v>9</v>
      </c>
      <c r="AE76" s="114">
        <f t="shared" si="29"/>
        <v>3.7236775736536722E-3</v>
      </c>
      <c r="AF76" s="114">
        <f t="shared" si="30"/>
        <v>90</v>
      </c>
      <c r="AG76" s="114"/>
      <c r="AH76" s="176">
        <f t="shared" si="31"/>
        <v>129741169.38830954</v>
      </c>
      <c r="AI76" s="176">
        <f t="shared" si="32"/>
        <v>624065.99971155694</v>
      </c>
      <c r="AJ76" s="178">
        <f t="shared" si="33"/>
        <v>-624065.99971155694</v>
      </c>
      <c r="AK76" s="113">
        <f t="shared" si="34"/>
        <v>0</v>
      </c>
      <c r="AL76" s="113">
        <f t="shared" si="7"/>
        <v>0</v>
      </c>
      <c r="AM76" s="114">
        <f t="shared" si="35"/>
        <v>9</v>
      </c>
      <c r="AN76" s="114">
        <f t="shared" si="36"/>
        <v>0</v>
      </c>
      <c r="AO76" s="114">
        <f t="shared" si="37"/>
        <v>90</v>
      </c>
    </row>
    <row r="77" spans="1:41" hidden="1" outlineLevel="1" x14ac:dyDescent="0.3">
      <c r="A77" s="146">
        <f t="shared" si="8"/>
        <v>55</v>
      </c>
      <c r="B77" s="147">
        <f t="shared" si="1"/>
        <v>230</v>
      </c>
      <c r="C77" s="147">
        <f t="shared" si="0"/>
        <v>130</v>
      </c>
      <c r="D77" s="149">
        <f t="shared" si="9"/>
        <v>364216060.12465101</v>
      </c>
      <c r="E77" s="149">
        <f t="shared" si="10"/>
        <v>2678685.352116589</v>
      </c>
      <c r="F77" s="149">
        <f t="shared" si="2"/>
        <v>1832313.0604785066</v>
      </c>
      <c r="G77" s="149">
        <f t="shared" si="3"/>
        <v>1771235.9584625566</v>
      </c>
      <c r="H77" s="149">
        <f t="shared" si="11"/>
        <v>61077.102015950019</v>
      </c>
      <c r="I77" s="149">
        <f t="shared" si="12"/>
        <v>846372.29163808236</v>
      </c>
      <c r="J77" s="147">
        <f t="shared" si="13"/>
        <v>4.4999999999999998E-2</v>
      </c>
      <c r="K77" s="175">
        <f t="shared" si="4"/>
        <v>3.8296430163020645E-3</v>
      </c>
      <c r="L77" s="149">
        <f t="shared" si="14"/>
        <v>1400179.6794122518</v>
      </c>
      <c r="M77" s="149">
        <f t="shared" si="15"/>
        <v>4017787.9295128905</v>
      </c>
      <c r="N77" s="149">
        <f t="shared" si="16"/>
        <v>2246551.9710503342</v>
      </c>
      <c r="P77" s="149">
        <f t="shared" si="17"/>
        <v>33847808.417631373</v>
      </c>
      <c r="Q77" s="149">
        <f t="shared" si="18"/>
        <v>177486.9730857274</v>
      </c>
      <c r="R77" s="178">
        <f t="shared" si="19"/>
        <v>2873634.2897604969</v>
      </c>
      <c r="S77" s="113">
        <f t="shared" si="20"/>
        <v>3051121.2628462245</v>
      </c>
      <c r="T77" s="113">
        <f t="shared" si="5"/>
        <v>2342527.9144997904</v>
      </c>
      <c r="U77" s="114">
        <f t="shared" si="21"/>
        <v>9.1666666666666661</v>
      </c>
      <c r="V77" s="114">
        <f t="shared" si="22"/>
        <v>1.1706792529189882E-2</v>
      </c>
      <c r="W77" s="114">
        <f t="shared" si="23"/>
        <v>93.194444444444429</v>
      </c>
      <c r="X77" s="114"/>
      <c r="Y77" s="149">
        <f t="shared" si="24"/>
        <v>200000000</v>
      </c>
      <c r="Z77" s="149">
        <f t="shared" si="25"/>
        <v>966666.66666666674</v>
      </c>
      <c r="AA77" s="178">
        <f t="shared" si="26"/>
        <v>0</v>
      </c>
      <c r="AB77" s="113">
        <f t="shared" si="27"/>
        <v>966666.66666666674</v>
      </c>
      <c r="AC77" s="113">
        <f t="shared" si="6"/>
        <v>742167.70020171383</v>
      </c>
      <c r="AD77" s="114">
        <f t="shared" si="28"/>
        <v>9.1666666666666661</v>
      </c>
      <c r="AE77" s="114">
        <f t="shared" si="29"/>
        <v>3.7058279845932265E-3</v>
      </c>
      <c r="AF77" s="114">
        <f t="shared" si="30"/>
        <v>93.194444444444429</v>
      </c>
      <c r="AG77" s="114"/>
      <c r="AH77" s="176">
        <f t="shared" si="31"/>
        <v>130368251.7070197</v>
      </c>
      <c r="AI77" s="176">
        <f t="shared" si="32"/>
        <v>627082.31871016277</v>
      </c>
      <c r="AJ77" s="178">
        <f t="shared" si="33"/>
        <v>-627082.31871016277</v>
      </c>
      <c r="AK77" s="113">
        <f t="shared" si="34"/>
        <v>0</v>
      </c>
      <c r="AL77" s="113">
        <f t="shared" si="7"/>
        <v>0</v>
      </c>
      <c r="AM77" s="114">
        <f t="shared" si="35"/>
        <v>9.1666666666666661</v>
      </c>
      <c r="AN77" s="114">
        <f t="shared" si="36"/>
        <v>0</v>
      </c>
      <c r="AO77" s="114">
        <f t="shared" si="37"/>
        <v>93.194444444444429</v>
      </c>
    </row>
    <row r="78" spans="1:41" hidden="1" outlineLevel="1" x14ac:dyDescent="0.3">
      <c r="A78" s="146">
        <f t="shared" si="8"/>
        <v>56</v>
      </c>
      <c r="B78" s="147">
        <f t="shared" si="1"/>
        <v>229</v>
      </c>
      <c r="C78" s="147">
        <f t="shared" si="0"/>
        <v>131</v>
      </c>
      <c r="D78" s="149">
        <f t="shared" si="9"/>
        <v>361977141.02588099</v>
      </c>
      <c r="E78" s="149">
        <f t="shared" si="10"/>
        <v>2668426.9434649851</v>
      </c>
      <c r="F78" s="149">
        <f t="shared" si="2"/>
        <v>1821080.3006232551</v>
      </c>
      <c r="G78" s="149">
        <f t="shared" si="3"/>
        <v>1760377.6239358133</v>
      </c>
      <c r="H78" s="149">
        <f t="shared" si="11"/>
        <v>60702.676687441766</v>
      </c>
      <c r="I78" s="149">
        <f t="shared" si="12"/>
        <v>847346.64284173003</v>
      </c>
      <c r="J78" s="147">
        <f t="shared" si="13"/>
        <v>4.4999999999999998E-2</v>
      </c>
      <c r="K78" s="175">
        <f t="shared" si="4"/>
        <v>3.8296430163020645E-3</v>
      </c>
      <c r="L78" s="149">
        <f t="shared" si="14"/>
        <v>1391572.4559282768</v>
      </c>
      <c r="M78" s="149">
        <f t="shared" si="15"/>
        <v>3999296.7227058201</v>
      </c>
      <c r="N78" s="149">
        <f t="shared" si="16"/>
        <v>2238919.0987700066</v>
      </c>
      <c r="P78" s="149">
        <f t="shared" si="17"/>
        <v>30978776.102277439</v>
      </c>
      <c r="Q78" s="149">
        <f t="shared" si="18"/>
        <v>163597.7406852183</v>
      </c>
      <c r="R78" s="178">
        <f t="shared" si="19"/>
        <v>2869032.3153539351</v>
      </c>
      <c r="S78" s="113">
        <f t="shared" si="20"/>
        <v>3032630.0560391536</v>
      </c>
      <c r="T78" s="113">
        <f t="shared" si="5"/>
        <v>2317170.168193432</v>
      </c>
      <c r="U78" s="114">
        <f t="shared" si="21"/>
        <v>9.3333333333333339</v>
      </c>
      <c r="V78" s="114">
        <f t="shared" si="22"/>
        <v>1.1580067091606458E-2</v>
      </c>
      <c r="W78" s="114">
        <f t="shared" si="23"/>
        <v>96.444444444444457</v>
      </c>
      <c r="X78" s="114"/>
      <c r="Y78" s="149">
        <f t="shared" si="24"/>
        <v>200000000</v>
      </c>
      <c r="Z78" s="149">
        <f t="shared" si="25"/>
        <v>966666.66666666674</v>
      </c>
      <c r="AA78" s="178">
        <f t="shared" si="26"/>
        <v>0</v>
      </c>
      <c r="AB78" s="113">
        <f t="shared" si="27"/>
        <v>966666.66666666674</v>
      </c>
      <c r="AC78" s="113">
        <f t="shared" si="6"/>
        <v>738610.09130553354</v>
      </c>
      <c r="AD78" s="114">
        <f t="shared" si="28"/>
        <v>9.3333333333333339</v>
      </c>
      <c r="AE78" s="114">
        <f t="shared" si="29"/>
        <v>3.6880639582119656E-3</v>
      </c>
      <c r="AF78" s="114">
        <f t="shared" si="30"/>
        <v>96.444444444444457</v>
      </c>
      <c r="AG78" s="114"/>
      <c r="AH78" s="176">
        <f t="shared" si="31"/>
        <v>130998364.92360362</v>
      </c>
      <c r="AI78" s="176">
        <f t="shared" si="32"/>
        <v>630113.21658392856</v>
      </c>
      <c r="AJ78" s="178">
        <f t="shared" si="33"/>
        <v>-630113.21658392856</v>
      </c>
      <c r="AK78" s="113">
        <f t="shared" si="34"/>
        <v>0</v>
      </c>
      <c r="AL78" s="113">
        <f t="shared" si="7"/>
        <v>0</v>
      </c>
      <c r="AM78" s="114">
        <f t="shared" si="35"/>
        <v>9.3333333333333339</v>
      </c>
      <c r="AN78" s="114">
        <f t="shared" si="36"/>
        <v>0</v>
      </c>
      <c r="AO78" s="114">
        <f t="shared" si="37"/>
        <v>96.444444444444457</v>
      </c>
    </row>
    <row r="79" spans="1:41" hidden="1" outlineLevel="1" x14ac:dyDescent="0.3">
      <c r="A79" s="146">
        <f t="shared" si="8"/>
        <v>57</v>
      </c>
      <c r="B79" s="147">
        <f t="shared" si="1"/>
        <v>228</v>
      </c>
      <c r="C79" s="147">
        <f t="shared" si="0"/>
        <v>132</v>
      </c>
      <c r="D79" s="149">
        <f t="shared" si="9"/>
        <v>359745824.45082933</v>
      </c>
      <c r="E79" s="149">
        <f t="shared" si="10"/>
        <v>2658207.820856432</v>
      </c>
      <c r="F79" s="149">
        <f t="shared" si="2"/>
        <v>1809885.705129405</v>
      </c>
      <c r="G79" s="149">
        <f t="shared" si="3"/>
        <v>1749556.1816250915</v>
      </c>
      <c r="H79" s="149">
        <f t="shared" si="11"/>
        <v>60329.523504313547</v>
      </c>
      <c r="I79" s="149">
        <f t="shared" si="12"/>
        <v>848322.11572702695</v>
      </c>
      <c r="J79" s="147">
        <f t="shared" si="13"/>
        <v>4.4999999999999998E-2</v>
      </c>
      <c r="K79" s="175">
        <f t="shared" si="4"/>
        <v>3.8296430163020645E-3</v>
      </c>
      <c r="L79" s="149">
        <f t="shared" si="14"/>
        <v>1382994.4593246842</v>
      </c>
      <c r="M79" s="149">
        <f t="shared" si="15"/>
        <v>3980872.7566768024</v>
      </c>
      <c r="N79" s="149">
        <f t="shared" si="16"/>
        <v>2231316.5750517109</v>
      </c>
      <c r="P79" s="149">
        <f t="shared" si="17"/>
        <v>28114300.763428312</v>
      </c>
      <c r="Q79" s="149">
        <f t="shared" si="18"/>
        <v>149730.75116100762</v>
      </c>
      <c r="R79" s="178">
        <f t="shared" si="19"/>
        <v>2864475.3388491282</v>
      </c>
      <c r="S79" s="113">
        <f t="shared" si="20"/>
        <v>3014206.0900101359</v>
      </c>
      <c r="T79" s="113">
        <f t="shared" si="5"/>
        <v>2292052.8329142532</v>
      </c>
      <c r="U79" s="114">
        <f t="shared" si="21"/>
        <v>9.5</v>
      </c>
      <c r="V79" s="114">
        <f t="shared" si="22"/>
        <v>1.14545431090834E-2</v>
      </c>
      <c r="W79" s="114">
        <f t="shared" si="23"/>
        <v>99.75</v>
      </c>
      <c r="X79" s="114"/>
      <c r="Y79" s="149">
        <f t="shared" si="24"/>
        <v>200000000</v>
      </c>
      <c r="Z79" s="149">
        <f t="shared" si="25"/>
        <v>966666.66666666674</v>
      </c>
      <c r="AA79" s="178">
        <f t="shared" si="26"/>
        <v>0</v>
      </c>
      <c r="AB79" s="113">
        <f t="shared" si="27"/>
        <v>966666.66666666674</v>
      </c>
      <c r="AC79" s="113">
        <f t="shared" si="6"/>
        <v>735069.53594193712</v>
      </c>
      <c r="AD79" s="114">
        <f t="shared" si="28"/>
        <v>9.5</v>
      </c>
      <c r="AE79" s="114">
        <f t="shared" si="29"/>
        <v>3.6703850843619571E-3</v>
      </c>
      <c r="AF79" s="114">
        <f t="shared" si="30"/>
        <v>99.75</v>
      </c>
      <c r="AG79" s="114"/>
      <c r="AH79" s="176">
        <f t="shared" si="31"/>
        <v>131631523.68740104</v>
      </c>
      <c r="AI79" s="176">
        <f t="shared" si="32"/>
        <v>633158.76379741752</v>
      </c>
      <c r="AJ79" s="178">
        <f t="shared" si="33"/>
        <v>-633158.76379741752</v>
      </c>
      <c r="AK79" s="113">
        <f t="shared" si="34"/>
        <v>0</v>
      </c>
      <c r="AL79" s="113">
        <f t="shared" si="7"/>
        <v>0</v>
      </c>
      <c r="AM79" s="114">
        <f t="shared" si="35"/>
        <v>9.5</v>
      </c>
      <c r="AN79" s="114">
        <f t="shared" si="36"/>
        <v>0</v>
      </c>
      <c r="AO79" s="114">
        <f t="shared" si="37"/>
        <v>99.75</v>
      </c>
    </row>
    <row r="80" spans="1:41" hidden="1" outlineLevel="1" x14ac:dyDescent="0.3">
      <c r="A80" s="146">
        <f t="shared" si="8"/>
        <v>58</v>
      </c>
      <c r="B80" s="147">
        <f t="shared" si="1"/>
        <v>227</v>
      </c>
      <c r="C80" s="147">
        <f t="shared" si="0"/>
        <v>133</v>
      </c>
      <c r="D80" s="149">
        <f t="shared" si="9"/>
        <v>357522080.16587168</v>
      </c>
      <c r="E80" s="149">
        <f t="shared" si="10"/>
        <v>2648027.8338394095</v>
      </c>
      <c r="F80" s="149">
        <f t="shared" si="2"/>
        <v>1798729.1222541467</v>
      </c>
      <c r="G80" s="149">
        <f t="shared" si="3"/>
        <v>1738771.4848456751</v>
      </c>
      <c r="H80" s="149">
        <f t="shared" si="11"/>
        <v>59957.637408471666</v>
      </c>
      <c r="I80" s="149">
        <f t="shared" si="12"/>
        <v>849298.71158526279</v>
      </c>
      <c r="J80" s="147">
        <f t="shared" si="13"/>
        <v>4.4999999999999998E-2</v>
      </c>
      <c r="K80" s="175">
        <f t="shared" si="4"/>
        <v>3.8296430163020645E-3</v>
      </c>
      <c r="L80" s="149">
        <f t="shared" si="14"/>
        <v>1374445.5733723701</v>
      </c>
      <c r="M80" s="149">
        <f t="shared" si="15"/>
        <v>3962515.769803308</v>
      </c>
      <c r="N80" s="149">
        <f t="shared" si="16"/>
        <v>2223744.2849576329</v>
      </c>
      <c r="P80" s="149">
        <f t="shared" si="17"/>
        <v>25254337.447314907</v>
      </c>
      <c r="Q80" s="149">
        <f t="shared" si="18"/>
        <v>135885.78702323686</v>
      </c>
      <c r="R80" s="178">
        <f t="shared" si="19"/>
        <v>2859963.3161134045</v>
      </c>
      <c r="S80" s="113">
        <f t="shared" si="20"/>
        <v>2995849.1031366414</v>
      </c>
      <c r="T80" s="113">
        <f t="shared" si="5"/>
        <v>2267173.7434070138</v>
      </c>
      <c r="U80" s="114">
        <f t="shared" si="21"/>
        <v>9.6666666666666661</v>
      </c>
      <c r="V80" s="114">
        <f t="shared" si="22"/>
        <v>1.1330209760749069E-2</v>
      </c>
      <c r="W80" s="114">
        <f t="shared" si="23"/>
        <v>103.1111111111111</v>
      </c>
      <c r="X80" s="114"/>
      <c r="Y80" s="149">
        <f t="shared" si="24"/>
        <v>200000000</v>
      </c>
      <c r="Z80" s="149">
        <f t="shared" si="25"/>
        <v>966666.66666666674</v>
      </c>
      <c r="AA80" s="178">
        <f t="shared" si="26"/>
        <v>0</v>
      </c>
      <c r="AB80" s="113">
        <f t="shared" si="27"/>
        <v>966666.66666666674</v>
      </c>
      <c r="AC80" s="113">
        <f t="shared" si="6"/>
        <v>731545.95236417267</v>
      </c>
      <c r="AD80" s="114">
        <f t="shared" si="28"/>
        <v>9.6666666666666661</v>
      </c>
      <c r="AE80" s="114">
        <f t="shared" si="29"/>
        <v>3.6527909548613284E-3</v>
      </c>
      <c r="AF80" s="114">
        <f t="shared" si="30"/>
        <v>103.1111111111111</v>
      </c>
      <c r="AG80" s="114"/>
      <c r="AH80" s="176">
        <f t="shared" si="31"/>
        <v>132267742.71855681</v>
      </c>
      <c r="AI80" s="176">
        <f t="shared" si="32"/>
        <v>636219.03115577169</v>
      </c>
      <c r="AJ80" s="178">
        <f t="shared" si="33"/>
        <v>-636219.03115577169</v>
      </c>
      <c r="AK80" s="113">
        <f t="shared" si="34"/>
        <v>0</v>
      </c>
      <c r="AL80" s="113">
        <f t="shared" si="7"/>
        <v>0</v>
      </c>
      <c r="AM80" s="114">
        <f t="shared" si="35"/>
        <v>9.6666666666666661</v>
      </c>
      <c r="AN80" s="114">
        <f t="shared" si="36"/>
        <v>0</v>
      </c>
      <c r="AO80" s="114">
        <f t="shared" si="37"/>
        <v>103.1111111111111</v>
      </c>
    </row>
    <row r="81" spans="1:41" hidden="1" outlineLevel="1" x14ac:dyDescent="0.3">
      <c r="A81" s="146">
        <f t="shared" si="8"/>
        <v>59</v>
      </c>
      <c r="B81" s="147">
        <f t="shared" si="1"/>
        <v>226</v>
      </c>
      <c r="C81" s="147">
        <f t="shared" si="0"/>
        <v>134</v>
      </c>
      <c r="D81" s="149">
        <f t="shared" si="9"/>
        <v>355305878.05188006</v>
      </c>
      <c r="E81" s="149">
        <f t="shared" si="10"/>
        <v>2637886.8325385731</v>
      </c>
      <c r="F81" s="149">
        <f t="shared" si="2"/>
        <v>1787610.4008293585</v>
      </c>
      <c r="G81" s="149">
        <f t="shared" si="3"/>
        <v>1728023.3874683799</v>
      </c>
      <c r="H81" s="149">
        <f t="shared" si="11"/>
        <v>59587.01336097857</v>
      </c>
      <c r="I81" s="149">
        <f t="shared" si="12"/>
        <v>850276.43170921458</v>
      </c>
      <c r="J81" s="147">
        <f t="shared" si="13"/>
        <v>4.4999999999999998E-2</v>
      </c>
      <c r="K81" s="175">
        <f t="shared" si="4"/>
        <v>3.8296430163020645E-3</v>
      </c>
      <c r="L81" s="149">
        <f t="shared" si="14"/>
        <v>1365925.6822823959</v>
      </c>
      <c r="M81" s="149">
        <f t="shared" si="15"/>
        <v>3944225.5014599906</v>
      </c>
      <c r="N81" s="149">
        <f t="shared" si="16"/>
        <v>2216202.1139916107</v>
      </c>
      <c r="P81" s="149">
        <f t="shared" si="17"/>
        <v>22398841.243516937</v>
      </c>
      <c r="Q81" s="149">
        <f t="shared" si="18"/>
        <v>122062.63099535539</v>
      </c>
      <c r="R81" s="178">
        <f t="shared" si="19"/>
        <v>2855496.2037979686</v>
      </c>
      <c r="S81" s="113">
        <f t="shared" si="20"/>
        <v>2977558.8347933241</v>
      </c>
      <c r="T81" s="113">
        <f t="shared" si="5"/>
        <v>2242530.7534748139</v>
      </c>
      <c r="U81" s="114">
        <f t="shared" si="21"/>
        <v>9.8333333333333339</v>
      </c>
      <c r="V81" s="114">
        <f t="shared" si="22"/>
        <v>1.1207056320975959E-2</v>
      </c>
      <c r="W81" s="114">
        <f t="shared" si="23"/>
        <v>106.52777777777779</v>
      </c>
      <c r="X81" s="114"/>
      <c r="Y81" s="149">
        <f t="shared" si="24"/>
        <v>200000000</v>
      </c>
      <c r="Z81" s="149">
        <f t="shared" si="25"/>
        <v>966666.66666666674</v>
      </c>
      <c r="AA81" s="178">
        <f t="shared" si="26"/>
        <v>0</v>
      </c>
      <c r="AB81" s="113">
        <f t="shared" si="27"/>
        <v>966666.66666666674</v>
      </c>
      <c r="AC81" s="113">
        <f t="shared" si="6"/>
        <v>728039.25921734306</v>
      </c>
      <c r="AD81" s="114">
        <f t="shared" si="28"/>
        <v>9.8333333333333339</v>
      </c>
      <c r="AE81" s="114">
        <f t="shared" si="29"/>
        <v>3.635281163484837E-3</v>
      </c>
      <c r="AF81" s="114">
        <f t="shared" si="30"/>
        <v>106.52777777777779</v>
      </c>
      <c r="AG81" s="114"/>
      <c r="AH81" s="176">
        <f t="shared" si="31"/>
        <v>132907036.80836317</v>
      </c>
      <c r="AI81" s="176">
        <f t="shared" si="32"/>
        <v>639294.08980635798</v>
      </c>
      <c r="AJ81" s="178">
        <f t="shared" si="33"/>
        <v>-639294.08980635798</v>
      </c>
      <c r="AK81" s="113">
        <f t="shared" si="34"/>
        <v>0</v>
      </c>
      <c r="AL81" s="113">
        <f t="shared" si="7"/>
        <v>0</v>
      </c>
      <c r="AM81" s="114">
        <f t="shared" si="35"/>
        <v>9.8333333333333339</v>
      </c>
      <c r="AN81" s="114">
        <f t="shared" si="36"/>
        <v>0</v>
      </c>
      <c r="AO81" s="114">
        <f t="shared" si="37"/>
        <v>106.52777777777779</v>
      </c>
    </row>
    <row r="82" spans="1:41" hidden="1" outlineLevel="1" x14ac:dyDescent="0.3">
      <c r="A82" s="146">
        <f t="shared" si="8"/>
        <v>60</v>
      </c>
      <c r="B82" s="147">
        <f t="shared" si="1"/>
        <v>225</v>
      </c>
      <c r="C82" s="147">
        <f t="shared" si="0"/>
        <v>135</v>
      </c>
      <c r="D82" s="149">
        <f t="shared" si="9"/>
        <v>353097188.10378259</v>
      </c>
      <c r="E82" s="149">
        <f t="shared" si="10"/>
        <v>2627784.6676525464</v>
      </c>
      <c r="F82" s="149">
        <f t="shared" si="2"/>
        <v>1776529.3902594002</v>
      </c>
      <c r="G82" s="149">
        <f t="shared" si="3"/>
        <v>1717311.7439174203</v>
      </c>
      <c r="H82" s="149">
        <f t="shared" si="11"/>
        <v>59217.646341979969</v>
      </c>
      <c r="I82" s="149">
        <f t="shared" si="12"/>
        <v>851255.27739314619</v>
      </c>
      <c r="J82" s="147">
        <f t="shared" si="13"/>
        <v>4.4999999999999998E-2</v>
      </c>
      <c r="K82" s="175">
        <f t="shared" si="4"/>
        <v>3.8296430163020645E-3</v>
      </c>
      <c r="L82" s="149">
        <f t="shared" si="14"/>
        <v>1357434.6707042966</v>
      </c>
      <c r="M82" s="149">
        <f t="shared" si="15"/>
        <v>3926001.6920148628</v>
      </c>
      <c r="N82" s="149">
        <f t="shared" si="16"/>
        <v>2208689.9480974427</v>
      </c>
      <c r="P82" s="149">
        <f t="shared" si="17"/>
        <v>19547767.284179073</v>
      </c>
      <c r="Q82" s="149">
        <f t="shared" si="18"/>
        <v>108261.06601033187</v>
      </c>
      <c r="R82" s="178">
        <f t="shared" si="19"/>
        <v>2851073.959337865</v>
      </c>
      <c r="S82" s="113">
        <f t="shared" si="20"/>
        <v>2959335.0253481967</v>
      </c>
      <c r="T82" s="113">
        <f t="shared" si="5"/>
        <v>2218121.7358131926</v>
      </c>
      <c r="U82" s="114">
        <f t="shared" si="21"/>
        <v>10</v>
      </c>
      <c r="V82" s="114">
        <f t="shared" si="22"/>
        <v>1.1085072158551602E-2</v>
      </c>
      <c r="W82" s="114">
        <f t="shared" si="23"/>
        <v>110</v>
      </c>
      <c r="X82" s="114"/>
      <c r="Y82" s="149">
        <f t="shared" si="24"/>
        <v>200000000</v>
      </c>
      <c r="Z82" s="149">
        <f t="shared" si="25"/>
        <v>966666.66666666674</v>
      </c>
      <c r="AA82" s="178">
        <f t="shared" si="26"/>
        <v>0</v>
      </c>
      <c r="AB82" s="113">
        <f t="shared" si="27"/>
        <v>966666.66666666674</v>
      </c>
      <c r="AC82" s="113">
        <f t="shared" si="6"/>
        <v>724549.37553653074</v>
      </c>
      <c r="AD82" s="114">
        <f t="shared" si="28"/>
        <v>10</v>
      </c>
      <c r="AE82" s="114">
        <f t="shared" si="29"/>
        <v>3.6178553059545045E-3</v>
      </c>
      <c r="AF82" s="114">
        <f t="shared" si="30"/>
        <v>110</v>
      </c>
      <c r="AG82" s="114"/>
      <c r="AH82" s="176">
        <f t="shared" si="31"/>
        <v>133549420.81960359</v>
      </c>
      <c r="AI82" s="176">
        <f t="shared" si="32"/>
        <v>642384.01124042203</v>
      </c>
      <c r="AJ82" s="178">
        <f t="shared" si="33"/>
        <v>-642384.01124042203</v>
      </c>
      <c r="AK82" s="113">
        <f t="shared" si="34"/>
        <v>0</v>
      </c>
      <c r="AL82" s="113">
        <f t="shared" si="7"/>
        <v>0</v>
      </c>
      <c r="AM82" s="114">
        <f t="shared" si="35"/>
        <v>10</v>
      </c>
      <c r="AN82" s="114">
        <f t="shared" si="36"/>
        <v>0</v>
      </c>
      <c r="AO82" s="114">
        <f t="shared" si="37"/>
        <v>110</v>
      </c>
    </row>
    <row r="83" spans="1:41" hidden="1" outlineLevel="1" x14ac:dyDescent="0.3">
      <c r="A83" s="146">
        <f t="shared" si="8"/>
        <v>61</v>
      </c>
      <c r="B83" s="147">
        <f t="shared" si="1"/>
        <v>224</v>
      </c>
      <c r="C83" s="147">
        <f t="shared" si="0"/>
        <v>136</v>
      </c>
      <c r="D83" s="149">
        <f t="shared" si="9"/>
        <v>350895980.43012536</v>
      </c>
      <c r="E83" s="149">
        <f t="shared" si="10"/>
        <v>2617721.1904517254</v>
      </c>
      <c r="F83" s="149">
        <f t="shared" si="2"/>
        <v>1765485.9405189131</v>
      </c>
      <c r="G83" s="149">
        <f t="shared" si="3"/>
        <v>1706636.4091682825</v>
      </c>
      <c r="H83" s="149">
        <f t="shared" si="11"/>
        <v>58849.531350630568</v>
      </c>
      <c r="I83" s="149">
        <f t="shared" si="12"/>
        <v>852235.24993281229</v>
      </c>
      <c r="J83" s="147">
        <f t="shared" si="13"/>
        <v>4.4999999999999998E-2</v>
      </c>
      <c r="K83" s="175">
        <f t="shared" si="4"/>
        <v>3.8296430163020645E-3</v>
      </c>
      <c r="L83" s="149">
        <f t="shared" si="14"/>
        <v>1348972.4237243957</v>
      </c>
      <c r="M83" s="149">
        <f t="shared" si="15"/>
        <v>3907844.0828254907</v>
      </c>
      <c r="N83" s="149">
        <f t="shared" si="16"/>
        <v>2201207.6736572077</v>
      </c>
      <c r="P83" s="149">
        <f t="shared" si="17"/>
        <v>16701070.743227115</v>
      </c>
      <c r="Q83" s="149">
        <f t="shared" si="18"/>
        <v>94480.87520686553</v>
      </c>
      <c r="R83" s="178">
        <f t="shared" si="19"/>
        <v>2846696.5409519584</v>
      </c>
      <c r="S83" s="113">
        <f t="shared" si="20"/>
        <v>2941177.4161588238</v>
      </c>
      <c r="T83" s="113">
        <f t="shared" si="5"/>
        <v>2193944.58184565</v>
      </c>
      <c r="U83" s="114">
        <f t="shared" si="21"/>
        <v>10.166666666666666</v>
      </c>
      <c r="V83" s="114">
        <f t="shared" si="22"/>
        <v>1.096424673585659E-2</v>
      </c>
      <c r="W83" s="114">
        <f t="shared" si="23"/>
        <v>113.52777777777777</v>
      </c>
      <c r="X83" s="114"/>
      <c r="Y83" s="149">
        <f t="shared" si="24"/>
        <v>200000000</v>
      </c>
      <c r="Z83" s="149">
        <f t="shared" si="25"/>
        <v>966666.66666666674</v>
      </c>
      <c r="AA83" s="178">
        <f t="shared" si="26"/>
        <v>0</v>
      </c>
      <c r="AB83" s="113">
        <f t="shared" si="27"/>
        <v>966666.66666666674</v>
      </c>
      <c r="AC83" s="113">
        <f t="shared" si="6"/>
        <v>721076.22074492509</v>
      </c>
      <c r="AD83" s="114">
        <f t="shared" si="28"/>
        <v>10.166666666666666</v>
      </c>
      <c r="AE83" s="114">
        <f t="shared" si="29"/>
        <v>3.6005129799302677E-3</v>
      </c>
      <c r="AF83" s="114">
        <f t="shared" si="30"/>
        <v>113.52777777777777</v>
      </c>
      <c r="AG83" s="114"/>
      <c r="AH83" s="176">
        <f t="shared" si="31"/>
        <v>134194909.68689834</v>
      </c>
      <c r="AI83" s="176">
        <f t="shared" si="32"/>
        <v>645488.86729475076</v>
      </c>
      <c r="AJ83" s="178">
        <f t="shared" si="33"/>
        <v>-645488.86729475076</v>
      </c>
      <c r="AK83" s="113">
        <f t="shared" si="34"/>
        <v>0</v>
      </c>
      <c r="AL83" s="113">
        <f t="shared" si="7"/>
        <v>0</v>
      </c>
      <c r="AM83" s="114">
        <f t="shared" si="35"/>
        <v>10.166666666666666</v>
      </c>
      <c r="AN83" s="114">
        <f t="shared" si="36"/>
        <v>0</v>
      </c>
      <c r="AO83" s="114">
        <f t="shared" si="37"/>
        <v>113.52777777777777</v>
      </c>
    </row>
    <row r="84" spans="1:41" hidden="1" outlineLevel="1" x14ac:dyDescent="0.3">
      <c r="A84" s="146">
        <f t="shared" si="8"/>
        <v>62</v>
      </c>
      <c r="B84" s="147">
        <f t="shared" si="1"/>
        <v>223</v>
      </c>
      <c r="C84" s="147">
        <f t="shared" si="0"/>
        <v>137</v>
      </c>
      <c r="D84" s="149">
        <f t="shared" si="9"/>
        <v>348702225.25263578</v>
      </c>
      <c r="E84" s="149">
        <f t="shared" si="10"/>
        <v>2607696.2527760859</v>
      </c>
      <c r="F84" s="149">
        <f t="shared" si="2"/>
        <v>1754479.9021506268</v>
      </c>
      <c r="G84" s="149">
        <f t="shared" si="3"/>
        <v>1695997.238745606</v>
      </c>
      <c r="H84" s="149">
        <f t="shared" si="11"/>
        <v>58482.663405020721</v>
      </c>
      <c r="I84" s="149">
        <f t="shared" si="12"/>
        <v>853216.3506254591</v>
      </c>
      <c r="J84" s="147">
        <f t="shared" si="13"/>
        <v>4.4999999999999998E-2</v>
      </c>
      <c r="K84" s="175">
        <f t="shared" si="4"/>
        <v>3.8296430163020645E-3</v>
      </c>
      <c r="L84" s="149">
        <f t="shared" si="14"/>
        <v>1340538.826864128</v>
      </c>
      <c r="M84" s="149">
        <f t="shared" si="15"/>
        <v>3889752.4162351931</v>
      </c>
      <c r="N84" s="149">
        <f t="shared" si="16"/>
        <v>2193755.1774895871</v>
      </c>
      <c r="P84" s="149">
        <f t="shared" si="17"/>
        <v>13858706.835584186</v>
      </c>
      <c r="Q84" s="149">
        <f t="shared" si="18"/>
        <v>80721.841925597721</v>
      </c>
      <c r="R84" s="178">
        <f t="shared" si="19"/>
        <v>2842363.9076429289</v>
      </c>
      <c r="S84" s="113">
        <f t="shared" si="20"/>
        <v>2923085.7495685266</v>
      </c>
      <c r="T84" s="113">
        <f t="shared" si="5"/>
        <v>2169997.2015606076</v>
      </c>
      <c r="U84" s="114">
        <f t="shared" si="21"/>
        <v>10.333333333333334</v>
      </c>
      <c r="V84" s="114">
        <f t="shared" si="22"/>
        <v>1.0844569608049784E-2</v>
      </c>
      <c r="W84" s="114">
        <f t="shared" si="23"/>
        <v>117.11111111111113</v>
      </c>
      <c r="X84" s="114"/>
      <c r="Y84" s="149">
        <f t="shared" si="24"/>
        <v>200000000</v>
      </c>
      <c r="Z84" s="149">
        <f t="shared" si="25"/>
        <v>966666.66666666674</v>
      </c>
      <c r="AA84" s="178">
        <f t="shared" si="26"/>
        <v>0</v>
      </c>
      <c r="AB84" s="113">
        <f t="shared" si="27"/>
        <v>966666.66666666674</v>
      </c>
      <c r="AC84" s="113">
        <f t="shared" si="6"/>
        <v>717619.71465196379</v>
      </c>
      <c r="AD84" s="114">
        <f t="shared" si="28"/>
        <v>10.333333333333334</v>
      </c>
      <c r="AE84" s="114">
        <f t="shared" si="29"/>
        <v>3.5832537850006962E-3</v>
      </c>
      <c r="AF84" s="114">
        <f t="shared" si="30"/>
        <v>117.11111111111113</v>
      </c>
      <c r="AG84" s="114"/>
      <c r="AH84" s="176">
        <f t="shared" si="31"/>
        <v>134843518.41705167</v>
      </c>
      <c r="AI84" s="176">
        <f t="shared" si="32"/>
        <v>648608.73015334201</v>
      </c>
      <c r="AJ84" s="178">
        <f t="shared" si="33"/>
        <v>-648608.73015334201</v>
      </c>
      <c r="AK84" s="113">
        <f t="shared" si="34"/>
        <v>0</v>
      </c>
      <c r="AL84" s="113">
        <f t="shared" si="7"/>
        <v>0</v>
      </c>
      <c r="AM84" s="114">
        <f t="shared" si="35"/>
        <v>10.333333333333334</v>
      </c>
      <c r="AN84" s="114">
        <f t="shared" si="36"/>
        <v>0</v>
      </c>
      <c r="AO84" s="114">
        <f t="shared" si="37"/>
        <v>117.11111111111113</v>
      </c>
    </row>
    <row r="85" spans="1:41" hidden="1" outlineLevel="1" x14ac:dyDescent="0.3">
      <c r="A85" s="146">
        <f t="shared" si="8"/>
        <v>63</v>
      </c>
      <c r="B85" s="147">
        <f t="shared" si="1"/>
        <v>222</v>
      </c>
      <c r="C85" s="147">
        <f t="shared" si="0"/>
        <v>138</v>
      </c>
      <c r="D85" s="149">
        <f t="shared" si="9"/>
        <v>346515892.90578759</v>
      </c>
      <c r="E85" s="149">
        <f t="shared" si="10"/>
        <v>2597709.7070330051</v>
      </c>
      <c r="F85" s="149">
        <f t="shared" si="2"/>
        <v>1743511.1262631789</v>
      </c>
      <c r="G85" s="149">
        <f t="shared" si="3"/>
        <v>1685394.088721073</v>
      </c>
      <c r="H85" s="149">
        <f t="shared" si="11"/>
        <v>58117.037542105885</v>
      </c>
      <c r="I85" s="149">
        <f t="shared" si="12"/>
        <v>854198.58076982619</v>
      </c>
      <c r="J85" s="147">
        <f t="shared" si="13"/>
        <v>4.4999999999999998E-2</v>
      </c>
      <c r="K85" s="175">
        <f t="shared" si="4"/>
        <v>3.8296430163020645E-3</v>
      </c>
      <c r="L85" s="149">
        <f t="shared" si="14"/>
        <v>1332133.7660783657</v>
      </c>
      <c r="M85" s="149">
        <f t="shared" si="15"/>
        <v>3871726.4355692649</v>
      </c>
      <c r="N85" s="149">
        <f t="shared" si="16"/>
        <v>2186332.3468481917</v>
      </c>
      <c r="P85" s="149">
        <f t="shared" si="17"/>
        <v>11020630.816386912</v>
      </c>
      <c r="Q85" s="149">
        <f t="shared" si="18"/>
        <v>66983.749705323571</v>
      </c>
      <c r="R85" s="178">
        <f t="shared" si="19"/>
        <v>2838076.0191972749</v>
      </c>
      <c r="S85" s="113">
        <f t="shared" si="20"/>
        <v>2905059.7689025984</v>
      </c>
      <c r="T85" s="113">
        <f t="shared" si="5"/>
        <v>2146277.5233497694</v>
      </c>
      <c r="U85" s="114">
        <f t="shared" si="21"/>
        <v>10.5</v>
      </c>
      <c r="V85" s="114">
        <f t="shared" si="22"/>
        <v>1.0726030422260519E-2</v>
      </c>
      <c r="W85" s="114">
        <f t="shared" si="23"/>
        <v>120.75</v>
      </c>
      <c r="X85" s="114"/>
      <c r="Y85" s="149">
        <f t="shared" si="24"/>
        <v>200000000</v>
      </c>
      <c r="Z85" s="149">
        <f t="shared" si="25"/>
        <v>966666.66666666674</v>
      </c>
      <c r="AA85" s="178">
        <f t="shared" si="26"/>
        <v>0</v>
      </c>
      <c r="AB85" s="113">
        <f t="shared" si="27"/>
        <v>966666.66666666674</v>
      </c>
      <c r="AC85" s="113">
        <f t="shared" si="6"/>
        <v>714179.77745148167</v>
      </c>
      <c r="AD85" s="114">
        <f t="shared" si="28"/>
        <v>10.5</v>
      </c>
      <c r="AE85" s="114">
        <f t="shared" si="29"/>
        <v>3.5660773226737514E-3</v>
      </c>
      <c r="AF85" s="114">
        <f t="shared" si="30"/>
        <v>120.75</v>
      </c>
      <c r="AG85" s="114"/>
      <c r="AH85" s="176">
        <f t="shared" si="31"/>
        <v>135495262.08940077</v>
      </c>
      <c r="AI85" s="176">
        <f t="shared" si="32"/>
        <v>651743.67234908312</v>
      </c>
      <c r="AJ85" s="178">
        <f t="shared" si="33"/>
        <v>-651743.67234908312</v>
      </c>
      <c r="AK85" s="113">
        <f t="shared" si="34"/>
        <v>0</v>
      </c>
      <c r="AL85" s="113">
        <f t="shared" si="7"/>
        <v>0</v>
      </c>
      <c r="AM85" s="114">
        <f t="shared" si="35"/>
        <v>10.5</v>
      </c>
      <c r="AN85" s="114">
        <f t="shared" si="36"/>
        <v>0</v>
      </c>
      <c r="AO85" s="114">
        <f t="shared" si="37"/>
        <v>120.75</v>
      </c>
    </row>
    <row r="86" spans="1:41" hidden="1" outlineLevel="1" x14ac:dyDescent="0.3">
      <c r="A86" s="146">
        <f t="shared" si="8"/>
        <v>64</v>
      </c>
      <c r="B86" s="147">
        <f t="shared" si="1"/>
        <v>221</v>
      </c>
      <c r="C86" s="147">
        <f t="shared" ref="C86:C149" si="38">IF($A86&gt;$B$4,"",$B$11*$B$13-B86)</f>
        <v>139</v>
      </c>
      <c r="D86" s="149">
        <f t="shared" si="9"/>
        <v>344336953.83636773</v>
      </c>
      <c r="E86" s="149">
        <f t="shared" si="10"/>
        <v>2587761.406195086</v>
      </c>
      <c r="F86" s="149">
        <f t="shared" si="2"/>
        <v>1732579.4645289381</v>
      </c>
      <c r="G86" s="149">
        <f t="shared" si="3"/>
        <v>1674826.8157113066</v>
      </c>
      <c r="H86" s="149">
        <f t="shared" si="11"/>
        <v>57752.648817631416</v>
      </c>
      <c r="I86" s="149">
        <f t="shared" si="12"/>
        <v>855181.9416661479</v>
      </c>
      <c r="J86" s="147">
        <f t="shared" si="13"/>
        <v>4.4999999999999998E-2</v>
      </c>
      <c r="K86" s="175">
        <f t="shared" si="4"/>
        <v>3.8296430163020645E-3</v>
      </c>
      <c r="L86" s="149">
        <f t="shared" si="14"/>
        <v>1323757.1277537541</v>
      </c>
      <c r="M86" s="149">
        <f t="shared" si="15"/>
        <v>3853765.8851312087</v>
      </c>
      <c r="N86" s="149">
        <f t="shared" si="16"/>
        <v>2178939.0694199018</v>
      </c>
      <c r="P86" s="149">
        <f t="shared" si="17"/>
        <v>8186797.9802015731</v>
      </c>
      <c r="Q86" s="149">
        <f t="shared" si="18"/>
        <v>53266.382279203412</v>
      </c>
      <c r="R86" s="178">
        <f t="shared" si="19"/>
        <v>2833832.8361853389</v>
      </c>
      <c r="S86" s="113">
        <f t="shared" si="20"/>
        <v>2887099.2184645422</v>
      </c>
      <c r="T86" s="113">
        <f t="shared" si="5"/>
        <v>2122783.4938478828</v>
      </c>
      <c r="U86" s="114">
        <f t="shared" si="21"/>
        <v>10.666666666666666</v>
      </c>
      <c r="V86" s="114">
        <f t="shared" si="22"/>
        <v>1.0608618916787816E-2</v>
      </c>
      <c r="W86" s="114">
        <f t="shared" si="23"/>
        <v>124.44444444444443</v>
      </c>
      <c r="X86" s="114"/>
      <c r="Y86" s="149">
        <f t="shared" si="24"/>
        <v>200000000</v>
      </c>
      <c r="Z86" s="149">
        <f t="shared" si="25"/>
        <v>966666.66666666674</v>
      </c>
      <c r="AA86" s="178">
        <f t="shared" si="26"/>
        <v>0</v>
      </c>
      <c r="AB86" s="113">
        <f t="shared" si="27"/>
        <v>966666.66666666674</v>
      </c>
      <c r="AC86" s="113">
        <f t="shared" si="6"/>
        <v>710756.32971986663</v>
      </c>
      <c r="AD86" s="114">
        <f t="shared" si="28"/>
        <v>10.666666666666666</v>
      </c>
      <c r="AE86" s="114">
        <f t="shared" si="29"/>
        <v>3.5489831963675771E-3</v>
      </c>
      <c r="AF86" s="114">
        <f t="shared" si="30"/>
        <v>124.44444444444443</v>
      </c>
      <c r="AG86" s="114"/>
      <c r="AH86" s="176">
        <f t="shared" si="31"/>
        <v>136150155.85616621</v>
      </c>
      <c r="AI86" s="176">
        <f t="shared" si="32"/>
        <v>654893.76676543709</v>
      </c>
      <c r="AJ86" s="178">
        <f t="shared" si="33"/>
        <v>-654893.76676543709</v>
      </c>
      <c r="AK86" s="113">
        <f t="shared" si="34"/>
        <v>0</v>
      </c>
      <c r="AL86" s="113">
        <f t="shared" si="7"/>
        <v>0</v>
      </c>
      <c r="AM86" s="114">
        <f t="shared" si="35"/>
        <v>10.666666666666666</v>
      </c>
      <c r="AN86" s="114">
        <f t="shared" si="36"/>
        <v>0</v>
      </c>
      <c r="AO86" s="114">
        <f t="shared" si="37"/>
        <v>124.44444444444443</v>
      </c>
    </row>
    <row r="87" spans="1:41" collapsed="1" x14ac:dyDescent="0.3">
      <c r="A87" s="146">
        <f t="shared" si="8"/>
        <v>65</v>
      </c>
      <c r="B87" s="147">
        <f t="shared" ref="B87:B150" si="39">IF(A87&gt;$B$4,"",B$4-A87)</f>
        <v>220</v>
      </c>
      <c r="C87" s="147">
        <f t="shared" si="38"/>
        <v>140</v>
      </c>
      <c r="D87" s="149">
        <f t="shared" si="9"/>
        <v>342165378.60304451</v>
      </c>
      <c r="E87" s="149">
        <f t="shared" si="10"/>
        <v>2577851.2037979951</v>
      </c>
      <c r="F87" s="149">
        <f t="shared" ref="F87:F150" si="40">IF(A87&gt;$B$4,"",D86*$B$15)</f>
        <v>1721684.7691818387</v>
      </c>
      <c r="G87" s="149">
        <f t="shared" ref="G87:G150" si="41">IF(A87&gt;$B$4,"",D86*$B$16)</f>
        <v>1664295.2768757774</v>
      </c>
      <c r="H87" s="149">
        <f t="shared" si="11"/>
        <v>57389.492306061322</v>
      </c>
      <c r="I87" s="149">
        <f t="shared" si="12"/>
        <v>856166.43461615639</v>
      </c>
      <c r="J87" s="147">
        <f t="shared" si="13"/>
        <v>4.4999999999999998E-2</v>
      </c>
      <c r="K87" s="175">
        <f t="shared" ref="K87:K150" si="42">IF(A87&gt;$B$4,"",1-(1-J87)^(1/$B$11))</f>
        <v>3.8296430163020645E-3</v>
      </c>
      <c r="L87" s="149">
        <f t="shared" si="14"/>
        <v>1315408.7987070521</v>
      </c>
      <c r="M87" s="149">
        <f t="shared" si="15"/>
        <v>3835870.5101989862</v>
      </c>
      <c r="N87" s="149">
        <f t="shared" si="16"/>
        <v>2171575.2333232085</v>
      </c>
      <c r="P87" s="149">
        <f t="shared" si="17"/>
        <v>5357163.6602402274</v>
      </c>
      <c r="Q87" s="149">
        <f t="shared" si="18"/>
        <v>39569.52357097427</v>
      </c>
      <c r="R87" s="178">
        <f t="shared" si="19"/>
        <v>2829634.3199613453</v>
      </c>
      <c r="S87" s="113">
        <f t="shared" si="20"/>
        <v>2869203.8435323196</v>
      </c>
      <c r="T87" s="113">
        <f t="shared" ref="T87:T150" si="43">IF(A87&gt;$B$4,"",S87/(1+$B$14)^(A87/$B$11*$B$8))</f>
        <v>2099513.077773897</v>
      </c>
      <c r="U87" s="114">
        <f t="shared" si="21"/>
        <v>10.833333333333334</v>
      </c>
      <c r="V87" s="114">
        <f t="shared" si="22"/>
        <v>1.0492324920306563E-2</v>
      </c>
      <c r="W87" s="114">
        <f t="shared" si="23"/>
        <v>128.19444444444446</v>
      </c>
      <c r="X87" s="114"/>
      <c r="Y87" s="149">
        <f t="shared" si="24"/>
        <v>200000000</v>
      </c>
      <c r="Z87" s="149">
        <f t="shared" si="25"/>
        <v>966666.66666666674</v>
      </c>
      <c r="AA87" s="178">
        <f t="shared" si="26"/>
        <v>0</v>
      </c>
      <c r="AB87" s="113">
        <f t="shared" si="27"/>
        <v>966666.66666666674</v>
      </c>
      <c r="AC87" s="113">
        <f t="shared" ref="AC87:AC150" si="44">IF(A87&gt;$B$4,"",AB87/(1+$B$14)^(A87/$B$11*$B$8))</f>
        <v>707349.29241422727</v>
      </c>
      <c r="AD87" s="114">
        <f t="shared" si="28"/>
        <v>10.833333333333334</v>
      </c>
      <c r="AE87" s="114">
        <f t="shared" si="29"/>
        <v>3.5319710114013491E-3</v>
      </c>
      <c r="AF87" s="114">
        <f t="shared" si="30"/>
        <v>128.19444444444446</v>
      </c>
      <c r="AG87" s="114"/>
      <c r="AH87" s="176">
        <f t="shared" si="31"/>
        <v>136808214.94280434</v>
      </c>
      <c r="AI87" s="176">
        <f t="shared" si="32"/>
        <v>658059.08663813677</v>
      </c>
      <c r="AJ87" s="178">
        <f t="shared" si="33"/>
        <v>-658059.08663813677</v>
      </c>
      <c r="AK87" s="113">
        <f t="shared" si="34"/>
        <v>0</v>
      </c>
      <c r="AL87" s="113">
        <f t="shared" ref="AL87:AL150" si="45">IF(A87&gt;$B$4,"",AK87/(1+$B$14)^(A87/$B$11*$B$8))</f>
        <v>0</v>
      </c>
      <c r="AM87" s="114">
        <f t="shared" si="35"/>
        <v>10.833333333333334</v>
      </c>
      <c r="AN87" s="114">
        <f t="shared" si="36"/>
        <v>0</v>
      </c>
      <c r="AO87" s="114">
        <f t="shared" si="37"/>
        <v>128.19444444444446</v>
      </c>
    </row>
    <row r="88" spans="1:41" x14ac:dyDescent="0.3">
      <c r="A88" s="146">
        <f t="shared" ref="A88:A151" si="46">A87+1</f>
        <v>66</v>
      </c>
      <c r="B88" s="147">
        <f t="shared" si="39"/>
        <v>219</v>
      </c>
      <c r="C88" s="147">
        <f t="shared" si="38"/>
        <v>141</v>
      </c>
      <c r="D88" s="149">
        <f t="shared" ref="D88:D151" si="47">IF(A88&gt;$B$4,"",D87-I88-L88)</f>
        <v>340001137.87593794</v>
      </c>
      <c r="E88" s="149">
        <f t="shared" ref="E88:E151" si="48">IF(A88&gt;$B$4,"",MIN(E87*(1-K87),D87*(1+$B$15)))</f>
        <v>2567978.9539383044</v>
      </c>
      <c r="F88" s="149">
        <f t="shared" si="40"/>
        <v>1710826.8930152226</v>
      </c>
      <c r="G88" s="149">
        <f t="shared" si="41"/>
        <v>1653799.3299147151</v>
      </c>
      <c r="H88" s="149">
        <f t="shared" ref="H88:H151" si="49">IF(A88&gt;$B$4,"",F88-G88)</f>
        <v>57027.563100507483</v>
      </c>
      <c r="I88" s="149">
        <f t="shared" ref="I88:I151" si="50">IF(A88&gt;$B$4,"",E88-F88)</f>
        <v>857152.06092308182</v>
      </c>
      <c r="J88" s="147">
        <f t="shared" ref="J88:J151" si="51">IF(A88&gt;$B$4,"",$B$9/100*MIN(C88/30,1)*0.06)</f>
        <v>4.4999999999999998E-2</v>
      </c>
      <c r="K88" s="175">
        <f t="shared" si="42"/>
        <v>3.8296430163020645E-3</v>
      </c>
      <c r="L88" s="149">
        <f t="shared" ref="L88:L151" si="52">IF(A88&gt;$B$4,"",(D87-I88)*K88)</f>
        <v>1307088.6661834782</v>
      </c>
      <c r="M88" s="149">
        <f t="shared" ref="M88:M151" si="53">IF(A88&gt;$B$4,"",G88+I88+L88)</f>
        <v>3818040.0570212752</v>
      </c>
      <c r="N88" s="149">
        <f t="shared" ref="N88:N151" si="54">IF($A88&gt;$B$4,"",I88+L88)</f>
        <v>2164240.72710656</v>
      </c>
      <c r="P88" s="149">
        <f t="shared" ref="P88:P151" si="55">IF($A88&gt;$B$4,"",MAX(0,P87-R88))</f>
        <v>2531683.2275767797</v>
      </c>
      <c r="Q88" s="149">
        <f t="shared" ref="Q88:Q151" si="56">IF($A88&gt;$B$4,"",IF(P87&gt;0,$H$6*P87,0))</f>
        <v>25892.9576911611</v>
      </c>
      <c r="R88" s="178">
        <f t="shared" ref="R88:R151" si="57">IF($A88&gt;$B$4,"",MIN(P87,$N88+AI88))</f>
        <v>2825480.4326634477</v>
      </c>
      <c r="S88" s="113">
        <f t="shared" ref="S88:S151" si="58">IF($A88&gt;$B$4,"",Q88+R88)</f>
        <v>2851373.3903546087</v>
      </c>
      <c r="T88" s="113">
        <f t="shared" si="43"/>
        <v>2076464.2577734832</v>
      </c>
      <c r="U88" s="114">
        <f t="shared" ref="U88:U151" si="59">IF($A88&gt;$B$4,"",A88/6)</f>
        <v>11</v>
      </c>
      <c r="V88" s="114">
        <f t="shared" ref="V88:V151" si="60">IF($A88&gt;$B$4,"",T88/$T$21)</f>
        <v>1.0377138351080511E-2</v>
      </c>
      <c r="W88" s="114">
        <f t="shared" ref="W88:W151" si="61">IF($A88&gt;$B$4,"",U88*(U88+1))</f>
        <v>132</v>
      </c>
      <c r="X88" s="114"/>
      <c r="Y88" s="149">
        <f t="shared" ref="Y88:Y151" si="62">IF($A88&gt;$B$4,"",MAX(0,Y87-AA88))</f>
        <v>200000000</v>
      </c>
      <c r="Z88" s="149">
        <f t="shared" ref="Z88:Z151" si="63">IF($A88&gt;$B$4,"",IF(Y87&gt;0,$H$7*Y87,0))</f>
        <v>966666.66666666674</v>
      </c>
      <c r="AA88" s="178">
        <f t="shared" ref="AA88:AA151" si="64">IF($A88&gt;$B$4,"",IF(P88&gt;0,0,MIN(Y87,$N88-R88+AI88)))</f>
        <v>0</v>
      </c>
      <c r="AB88" s="113">
        <f t="shared" ref="AB88:AB151" si="65">IF($A88&gt;$B$4,"",Z88+AA88)</f>
        <v>966666.66666666674</v>
      </c>
      <c r="AC88" s="113">
        <f t="shared" si="44"/>
        <v>703958.58687056683</v>
      </c>
      <c r="AD88" s="114">
        <f t="shared" ref="AD88:AD151" si="66">IF($A88&gt;$B$4,"",A88/6)</f>
        <v>11</v>
      </c>
      <c r="AE88" s="114">
        <f t="shared" ref="AE88:AE151" si="67">IF($A88&gt;$B$4,"",AC88/$AC$21)</f>
        <v>3.5150403749861603E-3</v>
      </c>
      <c r="AF88" s="114">
        <f t="shared" ref="AF88:AF151" si="68">IF($A88&gt;$B$4,"",AD88*(AD88+1))</f>
        <v>132</v>
      </c>
      <c r="AG88" s="114"/>
      <c r="AH88" s="176">
        <f t="shared" ref="AH88:AH151" si="69">IF($A88&gt;$B$4,"",MAX(0,AH87-AJ88))</f>
        <v>137469454.64836124</v>
      </c>
      <c r="AI88" s="176">
        <f t="shared" ref="AI88:AI151" si="70">IF($A88&gt;$B$4,"",IF(AH87&gt;0,$H$8*AH87,0))</f>
        <v>661239.70555688767</v>
      </c>
      <c r="AJ88" s="178">
        <f t="shared" ref="AJ88:AJ151" si="71">IF($A88&gt;$B$4,"",IF(Y88&gt;0,-AI88,MIN(AH87,$N88-AA88)))</f>
        <v>-661239.70555688767</v>
      </c>
      <c r="AK88" s="113">
        <f t="shared" ref="AK88:AK151" si="72">IF($A88&gt;$B$4,"",AI88+AJ88)</f>
        <v>0</v>
      </c>
      <c r="AL88" s="113">
        <f t="shared" si="45"/>
        <v>0</v>
      </c>
      <c r="AM88" s="114">
        <f t="shared" ref="AM88:AM151" si="73">IF($A88&gt;$B$4,"",A88/6)</f>
        <v>11</v>
      </c>
      <c r="AN88" s="114">
        <f t="shared" ref="AN88:AN151" si="74">IF($A88&gt;$B$4,"",AL88/$AL$21)</f>
        <v>0</v>
      </c>
      <c r="AO88" s="114">
        <f t="shared" ref="AO88:AO151" si="75">IF($A88&gt;$B$4,"",AM88*(AM88+1))</f>
        <v>132</v>
      </c>
    </row>
    <row r="89" spans="1:41" x14ac:dyDescent="0.3">
      <c r="A89" s="188">
        <f t="shared" si="46"/>
        <v>67</v>
      </c>
      <c r="B89" s="189">
        <f t="shared" si="39"/>
        <v>218</v>
      </c>
      <c r="C89" s="189">
        <f t="shared" si="38"/>
        <v>142</v>
      </c>
      <c r="D89" s="190">
        <f t="shared" si="47"/>
        <v>337844202.4361912</v>
      </c>
      <c r="E89" s="190">
        <f t="shared" si="48"/>
        <v>2558144.511271344</v>
      </c>
      <c r="F89" s="190">
        <f t="shared" si="40"/>
        <v>1700005.6893796897</v>
      </c>
      <c r="G89" s="190">
        <f t="shared" si="41"/>
        <v>1643338.8330670334</v>
      </c>
      <c r="H89" s="190">
        <f t="shared" si="49"/>
        <v>56666.856312656309</v>
      </c>
      <c r="I89" s="190">
        <f t="shared" si="50"/>
        <v>858138.82189165428</v>
      </c>
      <c r="J89" s="189">
        <f t="shared" si="51"/>
        <v>4.4999999999999998E-2</v>
      </c>
      <c r="K89" s="191">
        <f t="shared" si="42"/>
        <v>3.8296430163020645E-3</v>
      </c>
      <c r="L89" s="190">
        <f t="shared" si="52"/>
        <v>1298796.617855066</v>
      </c>
      <c r="M89" s="190">
        <f t="shared" si="53"/>
        <v>3800274.2728137537</v>
      </c>
      <c r="N89" s="190">
        <f t="shared" si="54"/>
        <v>2156935.4397467203</v>
      </c>
      <c r="O89" s="189"/>
      <c r="P89" s="190">
        <f t="shared" si="55"/>
        <v>0</v>
      </c>
      <c r="Q89" s="190">
        <f t="shared" si="56"/>
        <v>12236.46893328777</v>
      </c>
      <c r="R89" s="195">
        <f t="shared" si="57"/>
        <v>2531683.2275767797</v>
      </c>
      <c r="S89" s="193">
        <f t="shared" si="58"/>
        <v>2543919.6965100672</v>
      </c>
      <c r="T89" s="193">
        <f t="shared" si="43"/>
        <v>1843685.9788812301</v>
      </c>
      <c r="U89" s="194">
        <f t="shared" si="59"/>
        <v>11.166666666666666</v>
      </c>
      <c r="V89" s="194">
        <f t="shared" si="60"/>
        <v>9.2138279805078702E-3</v>
      </c>
      <c r="W89" s="194">
        <f t="shared" si="61"/>
        <v>135.86111111111109</v>
      </c>
      <c r="X89" s="194"/>
      <c r="Y89" s="190">
        <f t="shared" si="62"/>
        <v>199710312.09036297</v>
      </c>
      <c r="Z89" s="190">
        <f t="shared" si="63"/>
        <v>966666.66666666674</v>
      </c>
      <c r="AA89" s="195">
        <f t="shared" si="64"/>
        <v>289687.90963701997</v>
      </c>
      <c r="AB89" s="193">
        <f t="shared" si="65"/>
        <v>1256354.5763036867</v>
      </c>
      <c r="AC89" s="193">
        <f t="shared" si="44"/>
        <v>910533.19018366642</v>
      </c>
      <c r="AD89" s="114">
        <f t="shared" si="66"/>
        <v>11.166666666666666</v>
      </c>
      <c r="AE89" s="114">
        <f t="shared" si="67"/>
        <v>4.5465187668049713E-3</v>
      </c>
      <c r="AF89" s="114">
        <f t="shared" si="68"/>
        <v>135.86111111111109</v>
      </c>
      <c r="AG89" s="114"/>
      <c r="AH89" s="176">
        <f t="shared" si="69"/>
        <v>138133890.34582832</v>
      </c>
      <c r="AI89" s="176">
        <f t="shared" si="70"/>
        <v>664435.69746707939</v>
      </c>
      <c r="AJ89" s="178">
        <f t="shared" si="71"/>
        <v>-664435.69746707939</v>
      </c>
      <c r="AK89" s="113">
        <f t="shared" si="72"/>
        <v>0</v>
      </c>
      <c r="AL89" s="113">
        <f t="shared" si="45"/>
        <v>0</v>
      </c>
      <c r="AM89" s="114">
        <f t="shared" si="73"/>
        <v>11.166666666666666</v>
      </c>
      <c r="AN89" s="114">
        <f t="shared" si="74"/>
        <v>0</v>
      </c>
      <c r="AO89" s="114">
        <f t="shared" si="75"/>
        <v>135.86111111111109</v>
      </c>
    </row>
    <row r="90" spans="1:41" x14ac:dyDescent="0.3">
      <c r="A90" s="146">
        <f t="shared" si="46"/>
        <v>68</v>
      </c>
      <c r="B90" s="147">
        <f t="shared" si="39"/>
        <v>217</v>
      </c>
      <c r="C90" s="147">
        <f t="shared" si="38"/>
        <v>143</v>
      </c>
      <c r="D90" s="149">
        <f t="shared" si="47"/>
        <v>335694543.17554408</v>
      </c>
      <c r="E90" s="149">
        <f t="shared" si="48"/>
        <v>2548347.7310090624</v>
      </c>
      <c r="F90" s="149">
        <f t="shared" si="40"/>
        <v>1689221.0121809561</v>
      </c>
      <c r="G90" s="149">
        <f t="shared" si="41"/>
        <v>1632913.6451082577</v>
      </c>
      <c r="H90" s="149">
        <f t="shared" si="49"/>
        <v>56307.367072698427</v>
      </c>
      <c r="I90" s="149">
        <f t="shared" si="50"/>
        <v>859126.7188281063</v>
      </c>
      <c r="J90" s="147">
        <f t="shared" si="51"/>
        <v>4.4999999999999998E-2</v>
      </c>
      <c r="K90" s="175">
        <f t="shared" si="42"/>
        <v>3.8296430163020645E-3</v>
      </c>
      <c r="L90" s="149">
        <f t="shared" si="52"/>
        <v>1290532.541819022</v>
      </c>
      <c r="M90" s="149">
        <f t="shared" si="53"/>
        <v>3782572.9057553858</v>
      </c>
      <c r="N90" s="149">
        <f t="shared" si="54"/>
        <v>2149659.2606471283</v>
      </c>
      <c r="P90" s="149">
        <f t="shared" si="55"/>
        <v>0</v>
      </c>
      <c r="Q90" s="149">
        <f t="shared" si="56"/>
        <v>0</v>
      </c>
      <c r="R90" s="178">
        <f t="shared" si="57"/>
        <v>0</v>
      </c>
      <c r="S90" s="113">
        <f t="shared" si="58"/>
        <v>0</v>
      </c>
      <c r="T90" s="113">
        <f t="shared" si="43"/>
        <v>0</v>
      </c>
      <c r="U90" s="114">
        <f t="shared" si="59"/>
        <v>11.333333333333334</v>
      </c>
      <c r="V90" s="114">
        <f t="shared" si="60"/>
        <v>0</v>
      </c>
      <c r="W90" s="114">
        <f t="shared" si="61"/>
        <v>139.7777777777778</v>
      </c>
      <c r="X90" s="114"/>
      <c r="Y90" s="149">
        <f t="shared" si="62"/>
        <v>196893005.69304433</v>
      </c>
      <c r="Z90" s="149">
        <f t="shared" si="63"/>
        <v>965266.50843675435</v>
      </c>
      <c r="AA90" s="178">
        <f t="shared" si="64"/>
        <v>2817306.3973186319</v>
      </c>
      <c r="AB90" s="113">
        <f t="shared" si="65"/>
        <v>3782572.9057553862</v>
      </c>
      <c r="AC90" s="113">
        <f t="shared" si="44"/>
        <v>2728249.2835711613</v>
      </c>
      <c r="AD90" s="114">
        <f t="shared" si="66"/>
        <v>11.333333333333334</v>
      </c>
      <c r="AE90" s="114">
        <f t="shared" si="67"/>
        <v>1.3622827483945363E-2</v>
      </c>
      <c r="AF90" s="114">
        <f t="shared" si="68"/>
        <v>139.7777777777778</v>
      </c>
      <c r="AG90" s="114"/>
      <c r="AH90" s="176">
        <f t="shared" si="69"/>
        <v>138801537.48249984</v>
      </c>
      <c r="AI90" s="176">
        <f t="shared" si="70"/>
        <v>667647.13667150366</v>
      </c>
      <c r="AJ90" s="178">
        <f t="shared" si="71"/>
        <v>-667647.13667150366</v>
      </c>
      <c r="AK90" s="113">
        <f t="shared" si="72"/>
        <v>0</v>
      </c>
      <c r="AL90" s="113">
        <f t="shared" si="45"/>
        <v>0</v>
      </c>
      <c r="AM90" s="114">
        <f t="shared" si="73"/>
        <v>11.333333333333334</v>
      </c>
      <c r="AN90" s="114">
        <f t="shared" si="74"/>
        <v>0</v>
      </c>
      <c r="AO90" s="114">
        <f t="shared" si="75"/>
        <v>139.7777777777778</v>
      </c>
    </row>
    <row r="91" spans="1:41" x14ac:dyDescent="0.3">
      <c r="A91" s="146">
        <f t="shared" si="46"/>
        <v>69</v>
      </c>
      <c r="B91" s="147">
        <f t="shared" si="39"/>
        <v>216</v>
      </c>
      <c r="C91" s="147">
        <f t="shared" si="38"/>
        <v>144</v>
      </c>
      <c r="D91" s="149">
        <f t="shared" si="47"/>
        <v>333552131.09590781</v>
      </c>
      <c r="E91" s="149">
        <f t="shared" si="48"/>
        <v>2538588.4689178942</v>
      </c>
      <c r="F91" s="149">
        <f t="shared" si="40"/>
        <v>1678472.7158777204</v>
      </c>
      <c r="G91" s="149">
        <f t="shared" si="41"/>
        <v>1622523.6253484632</v>
      </c>
      <c r="H91" s="149">
        <f t="shared" si="49"/>
        <v>55949.090529257199</v>
      </c>
      <c r="I91" s="149">
        <f t="shared" si="50"/>
        <v>860115.75304017379</v>
      </c>
      <c r="J91" s="147">
        <f t="shared" si="51"/>
        <v>4.4999999999999998E-2</v>
      </c>
      <c r="K91" s="175">
        <f t="shared" si="42"/>
        <v>3.8296430163020645E-3</v>
      </c>
      <c r="L91" s="149">
        <f t="shared" si="52"/>
        <v>1282296.3265960924</v>
      </c>
      <c r="M91" s="149">
        <f t="shared" si="53"/>
        <v>3764935.7049847292</v>
      </c>
      <c r="N91" s="149">
        <f t="shared" si="54"/>
        <v>2142412.0796362665</v>
      </c>
      <c r="P91" s="149">
        <f t="shared" si="55"/>
        <v>0</v>
      </c>
      <c r="Q91" s="149">
        <f t="shared" si="56"/>
        <v>0</v>
      </c>
      <c r="R91" s="178">
        <f t="shared" si="57"/>
        <v>0</v>
      </c>
      <c r="S91" s="113">
        <f t="shared" si="58"/>
        <v>0</v>
      </c>
      <c r="T91" s="113">
        <f t="shared" si="43"/>
        <v>0</v>
      </c>
      <c r="U91" s="114">
        <f t="shared" si="59"/>
        <v>11.5</v>
      </c>
      <c r="V91" s="114">
        <f t="shared" si="60"/>
        <v>0</v>
      </c>
      <c r="W91" s="114">
        <f t="shared" si="61"/>
        <v>143.75</v>
      </c>
      <c r="X91" s="114"/>
      <c r="Y91" s="149">
        <f t="shared" si="62"/>
        <v>194079719.51557598</v>
      </c>
      <c r="Z91" s="149">
        <f t="shared" si="63"/>
        <v>951649.527516381</v>
      </c>
      <c r="AA91" s="178">
        <f t="shared" si="64"/>
        <v>2813286.1774683492</v>
      </c>
      <c r="AB91" s="113">
        <f t="shared" si="65"/>
        <v>3764935.7049847301</v>
      </c>
      <c r="AC91" s="113">
        <f t="shared" si="44"/>
        <v>2702511.1461192523</v>
      </c>
      <c r="AD91" s="114">
        <f t="shared" si="66"/>
        <v>11.5</v>
      </c>
      <c r="AE91" s="114">
        <f t="shared" si="67"/>
        <v>1.3494310559785679E-2</v>
      </c>
      <c r="AF91" s="114">
        <f t="shared" si="68"/>
        <v>143.75</v>
      </c>
      <c r="AG91" s="114"/>
      <c r="AH91" s="176">
        <f t="shared" si="69"/>
        <v>139472411.58033192</v>
      </c>
      <c r="AI91" s="176">
        <f t="shared" si="70"/>
        <v>670874.09783208254</v>
      </c>
      <c r="AJ91" s="178">
        <f t="shared" si="71"/>
        <v>-670874.09783208254</v>
      </c>
      <c r="AK91" s="113">
        <f t="shared" si="72"/>
        <v>0</v>
      </c>
      <c r="AL91" s="113">
        <f t="shared" si="45"/>
        <v>0</v>
      </c>
      <c r="AM91" s="114">
        <f t="shared" si="73"/>
        <v>11.5</v>
      </c>
      <c r="AN91" s="114">
        <f t="shared" si="74"/>
        <v>0</v>
      </c>
      <c r="AO91" s="114">
        <f t="shared" si="75"/>
        <v>143.75</v>
      </c>
    </row>
    <row r="92" spans="1:41" hidden="1" outlineLevel="1" x14ac:dyDescent="0.3">
      <c r="A92" s="146">
        <f t="shared" si="46"/>
        <v>70</v>
      </c>
      <c r="B92" s="147">
        <f t="shared" si="39"/>
        <v>215</v>
      </c>
      <c r="C92" s="147">
        <f t="shared" si="38"/>
        <v>145</v>
      </c>
      <c r="D92" s="149">
        <f t="shared" si="47"/>
        <v>331416937.30894178</v>
      </c>
      <c r="E92" s="149">
        <f t="shared" si="48"/>
        <v>2528866.5813166378</v>
      </c>
      <c r="F92" s="149">
        <f t="shared" si="40"/>
        <v>1667760.6554795392</v>
      </c>
      <c r="G92" s="149">
        <f t="shared" si="41"/>
        <v>1612168.6336302212</v>
      </c>
      <c r="H92" s="149">
        <f t="shared" si="49"/>
        <v>55592.021849317942</v>
      </c>
      <c r="I92" s="149">
        <f t="shared" si="50"/>
        <v>861105.92583709862</v>
      </c>
      <c r="J92" s="147">
        <f t="shared" si="51"/>
        <v>4.4999999999999998E-2</v>
      </c>
      <c r="K92" s="175">
        <f t="shared" si="42"/>
        <v>3.8296430163020645E-3</v>
      </c>
      <c r="L92" s="149">
        <f t="shared" si="52"/>
        <v>1274087.8611289356</v>
      </c>
      <c r="M92" s="149">
        <f t="shared" si="53"/>
        <v>3747362.4205962555</v>
      </c>
      <c r="N92" s="149">
        <f t="shared" si="54"/>
        <v>2135193.7869660342</v>
      </c>
      <c r="P92" s="149">
        <f t="shared" si="55"/>
        <v>0</v>
      </c>
      <c r="Q92" s="149">
        <f t="shared" si="56"/>
        <v>0</v>
      </c>
      <c r="R92" s="178">
        <f t="shared" si="57"/>
        <v>0</v>
      </c>
      <c r="S92" s="113">
        <f t="shared" si="58"/>
        <v>0</v>
      </c>
      <c r="T92" s="113">
        <f t="shared" si="43"/>
        <v>0</v>
      </c>
      <c r="U92" s="114">
        <f t="shared" si="59"/>
        <v>11.666666666666666</v>
      </c>
      <c r="V92" s="114">
        <f t="shared" si="60"/>
        <v>0</v>
      </c>
      <c r="W92" s="114">
        <f t="shared" si="61"/>
        <v>147.77777777777777</v>
      </c>
      <c r="X92" s="114"/>
      <c r="Y92" s="149">
        <f t="shared" si="62"/>
        <v>191270409.07263833</v>
      </c>
      <c r="Z92" s="149">
        <f t="shared" si="63"/>
        <v>938051.97765861731</v>
      </c>
      <c r="AA92" s="178">
        <f t="shared" si="64"/>
        <v>2809310.4429376386</v>
      </c>
      <c r="AB92" s="113">
        <f t="shared" si="65"/>
        <v>3747362.4205962559</v>
      </c>
      <c r="AC92" s="113">
        <f t="shared" si="44"/>
        <v>2677002.732347609</v>
      </c>
      <c r="AD92" s="114">
        <f t="shared" si="66"/>
        <v>11.666666666666666</v>
      </c>
      <c r="AE92" s="114">
        <f t="shared" si="67"/>
        <v>1.336694070311872E-2</v>
      </c>
      <c r="AF92" s="114">
        <f t="shared" si="68"/>
        <v>147.77777777777777</v>
      </c>
      <c r="AG92" s="114"/>
      <c r="AH92" s="176">
        <f t="shared" si="69"/>
        <v>140146528.23630354</v>
      </c>
      <c r="AI92" s="176">
        <f t="shared" si="70"/>
        <v>674116.65597160428</v>
      </c>
      <c r="AJ92" s="178">
        <f t="shared" si="71"/>
        <v>-674116.65597160428</v>
      </c>
      <c r="AK92" s="113">
        <f t="shared" si="72"/>
        <v>0</v>
      </c>
      <c r="AL92" s="113">
        <f t="shared" si="45"/>
        <v>0</v>
      </c>
      <c r="AM92" s="114">
        <f t="shared" si="73"/>
        <v>11.666666666666666</v>
      </c>
      <c r="AN92" s="114">
        <f t="shared" si="74"/>
        <v>0</v>
      </c>
      <c r="AO92" s="114">
        <f t="shared" si="75"/>
        <v>147.77777777777777</v>
      </c>
    </row>
    <row r="93" spans="1:41" hidden="1" outlineLevel="1" x14ac:dyDescent="0.3">
      <c r="A93" s="146">
        <f t="shared" si="46"/>
        <v>71</v>
      </c>
      <c r="B93" s="147">
        <f t="shared" si="39"/>
        <v>214</v>
      </c>
      <c r="C93" s="147">
        <f t="shared" si="38"/>
        <v>146</v>
      </c>
      <c r="D93" s="149">
        <f t="shared" si="47"/>
        <v>329288933.03563166</v>
      </c>
      <c r="E93" s="149">
        <f t="shared" si="48"/>
        <v>2519181.9250743389</v>
      </c>
      <c r="F93" s="149">
        <f t="shared" si="40"/>
        <v>1657084.6865447089</v>
      </c>
      <c r="G93" s="149">
        <f t="shared" si="41"/>
        <v>1601848.530326552</v>
      </c>
      <c r="H93" s="149">
        <f t="shared" si="49"/>
        <v>55236.156218156917</v>
      </c>
      <c r="I93" s="149">
        <f t="shared" si="50"/>
        <v>862097.23852963001</v>
      </c>
      <c r="J93" s="147">
        <f t="shared" si="51"/>
        <v>4.4999999999999998E-2</v>
      </c>
      <c r="K93" s="175">
        <f t="shared" si="42"/>
        <v>3.8296430163020645E-3</v>
      </c>
      <c r="L93" s="149">
        <f t="shared" si="52"/>
        <v>1265907.0347804998</v>
      </c>
      <c r="M93" s="149">
        <f t="shared" si="53"/>
        <v>3729852.8036366813</v>
      </c>
      <c r="N93" s="149">
        <f t="shared" si="54"/>
        <v>2128004.2733101295</v>
      </c>
      <c r="P93" s="149">
        <f t="shared" si="55"/>
        <v>0</v>
      </c>
      <c r="Q93" s="149">
        <f t="shared" si="56"/>
        <v>0</v>
      </c>
      <c r="R93" s="178">
        <f t="shared" si="57"/>
        <v>0</v>
      </c>
      <c r="S93" s="113">
        <f t="shared" si="58"/>
        <v>0</v>
      </c>
      <c r="T93" s="113">
        <f t="shared" si="43"/>
        <v>0</v>
      </c>
      <c r="U93" s="114">
        <f t="shared" si="59"/>
        <v>11.833333333333334</v>
      </c>
      <c r="V93" s="114">
        <f t="shared" si="60"/>
        <v>0</v>
      </c>
      <c r="W93" s="114">
        <f t="shared" si="61"/>
        <v>151.86111111111111</v>
      </c>
      <c r="X93" s="114"/>
      <c r="Y93" s="149">
        <f t="shared" si="62"/>
        <v>188465029.91285273</v>
      </c>
      <c r="Z93" s="149">
        <f t="shared" si="63"/>
        <v>924473.64385108533</v>
      </c>
      <c r="AA93" s="178">
        <f t="shared" si="64"/>
        <v>2805379.1597855967</v>
      </c>
      <c r="AB93" s="113">
        <f t="shared" si="65"/>
        <v>3729852.8036366822</v>
      </c>
      <c r="AC93" s="113">
        <f t="shared" si="44"/>
        <v>2651722.0354241501</v>
      </c>
      <c r="AD93" s="114">
        <f t="shared" si="66"/>
        <v>11.833333333333334</v>
      </c>
      <c r="AE93" s="114">
        <f t="shared" si="67"/>
        <v>1.3240707893332588E-2</v>
      </c>
      <c r="AF93" s="114">
        <f t="shared" si="68"/>
        <v>151.86111111111111</v>
      </c>
      <c r="AG93" s="114"/>
      <c r="AH93" s="176">
        <f t="shared" si="69"/>
        <v>140823903.12277901</v>
      </c>
      <c r="AI93" s="176">
        <f t="shared" si="70"/>
        <v>677374.88647546712</v>
      </c>
      <c r="AJ93" s="178">
        <f t="shared" si="71"/>
        <v>-677374.88647546712</v>
      </c>
      <c r="AK93" s="113">
        <f t="shared" si="72"/>
        <v>0</v>
      </c>
      <c r="AL93" s="113">
        <f t="shared" si="45"/>
        <v>0</v>
      </c>
      <c r="AM93" s="114">
        <f t="shared" si="73"/>
        <v>11.833333333333334</v>
      </c>
      <c r="AN93" s="114">
        <f t="shared" si="74"/>
        <v>0</v>
      </c>
      <c r="AO93" s="114">
        <f t="shared" si="75"/>
        <v>151.86111111111111</v>
      </c>
    </row>
    <row r="94" spans="1:41" hidden="1" outlineLevel="1" x14ac:dyDescent="0.3">
      <c r="A94" s="146">
        <f t="shared" si="46"/>
        <v>72</v>
      </c>
      <c r="B94" s="147">
        <f t="shared" si="39"/>
        <v>213</v>
      </c>
      <c r="C94" s="147">
        <f t="shared" si="38"/>
        <v>147</v>
      </c>
      <c r="D94" s="149">
        <f t="shared" si="47"/>
        <v>327168089.60586923</v>
      </c>
      <c r="E94" s="149">
        <f t="shared" si="48"/>
        <v>2509534.3576081838</v>
      </c>
      <c r="F94" s="149">
        <f t="shared" si="40"/>
        <v>1646444.6651781583</v>
      </c>
      <c r="G94" s="149">
        <f t="shared" si="41"/>
        <v>1591563.1763388864</v>
      </c>
      <c r="H94" s="149">
        <f t="shared" si="49"/>
        <v>54881.488839271944</v>
      </c>
      <c r="I94" s="149">
        <f t="shared" si="50"/>
        <v>863089.69243002543</v>
      </c>
      <c r="J94" s="147">
        <f t="shared" si="51"/>
        <v>4.4999999999999998E-2</v>
      </c>
      <c r="K94" s="175">
        <f t="shared" si="42"/>
        <v>3.8296430163020645E-3</v>
      </c>
      <c r="L94" s="149">
        <f t="shared" si="52"/>
        <v>1257753.7373324081</v>
      </c>
      <c r="M94" s="149">
        <f t="shared" si="53"/>
        <v>3712406.6061013201</v>
      </c>
      <c r="N94" s="149">
        <f t="shared" si="54"/>
        <v>2120843.4297624333</v>
      </c>
      <c r="P94" s="149">
        <f t="shared" si="55"/>
        <v>0</v>
      </c>
      <c r="Q94" s="149">
        <f t="shared" si="56"/>
        <v>0</v>
      </c>
      <c r="R94" s="178">
        <f t="shared" si="57"/>
        <v>0</v>
      </c>
      <c r="S94" s="113">
        <f t="shared" si="58"/>
        <v>0</v>
      </c>
      <c r="T94" s="113">
        <f t="shared" si="43"/>
        <v>0</v>
      </c>
      <c r="U94" s="114">
        <f t="shared" si="59"/>
        <v>12</v>
      </c>
      <c r="V94" s="114">
        <f t="shared" si="60"/>
        <v>0</v>
      </c>
      <c r="W94" s="114">
        <f t="shared" si="61"/>
        <v>156</v>
      </c>
      <c r="X94" s="114"/>
      <c r="Y94" s="149">
        <f t="shared" si="62"/>
        <v>185663537.61799687</v>
      </c>
      <c r="Z94" s="149">
        <f t="shared" si="63"/>
        <v>910914.31124545494</v>
      </c>
      <c r="AA94" s="178">
        <f t="shared" si="64"/>
        <v>2801492.2948558652</v>
      </c>
      <c r="AB94" s="113">
        <f t="shared" si="65"/>
        <v>3712406.6061013201</v>
      </c>
      <c r="AC94" s="113">
        <f t="shared" si="44"/>
        <v>2626667.0658950289</v>
      </c>
      <c r="AD94" s="114">
        <f t="shared" si="66"/>
        <v>12</v>
      </c>
      <c r="AE94" s="114">
        <f t="shared" si="67"/>
        <v>1.3115602196589233E-2</v>
      </c>
      <c r="AF94" s="114">
        <f t="shared" si="68"/>
        <v>156</v>
      </c>
      <c r="AG94" s="114"/>
      <c r="AH94" s="176">
        <f t="shared" si="69"/>
        <v>141504551.98787245</v>
      </c>
      <c r="AI94" s="176">
        <f t="shared" si="70"/>
        <v>680648.8650934319</v>
      </c>
      <c r="AJ94" s="178">
        <f t="shared" si="71"/>
        <v>-680648.8650934319</v>
      </c>
      <c r="AK94" s="113">
        <f t="shared" si="72"/>
        <v>0</v>
      </c>
      <c r="AL94" s="113">
        <f t="shared" si="45"/>
        <v>0</v>
      </c>
      <c r="AM94" s="114">
        <f t="shared" si="73"/>
        <v>12</v>
      </c>
      <c r="AN94" s="114">
        <f t="shared" si="74"/>
        <v>0</v>
      </c>
      <c r="AO94" s="114">
        <f t="shared" si="75"/>
        <v>156</v>
      </c>
    </row>
    <row r="95" spans="1:41" hidden="1" outlineLevel="1" x14ac:dyDescent="0.3">
      <c r="A95" s="146">
        <f t="shared" si="46"/>
        <v>73</v>
      </c>
      <c r="B95" s="147">
        <f t="shared" si="39"/>
        <v>212</v>
      </c>
      <c r="C95" s="147">
        <f t="shared" si="38"/>
        <v>148</v>
      </c>
      <c r="D95" s="149">
        <f t="shared" si="47"/>
        <v>325054378.45803386</v>
      </c>
      <c r="E95" s="149">
        <f t="shared" si="48"/>
        <v>2499923.7368813995</v>
      </c>
      <c r="F95" s="149">
        <f t="shared" si="40"/>
        <v>1635840.4480293463</v>
      </c>
      <c r="G95" s="149">
        <f t="shared" si="41"/>
        <v>1581312.4330950347</v>
      </c>
      <c r="H95" s="149">
        <f t="shared" si="49"/>
        <v>54528.014934311621</v>
      </c>
      <c r="I95" s="149">
        <f t="shared" si="50"/>
        <v>864083.28885205323</v>
      </c>
      <c r="J95" s="147">
        <f t="shared" si="51"/>
        <v>4.4999999999999998E-2</v>
      </c>
      <c r="K95" s="175">
        <f t="shared" si="42"/>
        <v>3.8296430163020645E-3</v>
      </c>
      <c r="L95" s="149">
        <f t="shared" si="52"/>
        <v>1249627.8589833498</v>
      </c>
      <c r="M95" s="149">
        <f t="shared" si="53"/>
        <v>3695023.5809304379</v>
      </c>
      <c r="N95" s="149">
        <f t="shared" si="54"/>
        <v>2113711.1478354027</v>
      </c>
      <c r="P95" s="149">
        <f t="shared" si="55"/>
        <v>0</v>
      </c>
      <c r="Q95" s="149">
        <f t="shared" si="56"/>
        <v>0</v>
      </c>
      <c r="R95" s="178">
        <f t="shared" si="57"/>
        <v>0</v>
      </c>
      <c r="S95" s="113">
        <f t="shared" si="58"/>
        <v>0</v>
      </c>
      <c r="T95" s="113">
        <f t="shared" si="43"/>
        <v>0</v>
      </c>
      <c r="U95" s="114">
        <f t="shared" si="59"/>
        <v>12.166666666666666</v>
      </c>
      <c r="V95" s="114">
        <f t="shared" si="60"/>
        <v>0</v>
      </c>
      <c r="W95" s="114">
        <f t="shared" si="61"/>
        <v>160.19444444444443</v>
      </c>
      <c r="X95" s="114"/>
      <c r="Y95" s="149">
        <f t="shared" si="62"/>
        <v>182865887.80222008</v>
      </c>
      <c r="Z95" s="149">
        <f t="shared" si="63"/>
        <v>897373.76515365159</v>
      </c>
      <c r="AA95" s="178">
        <f t="shared" si="64"/>
        <v>2797649.8157767863</v>
      </c>
      <c r="AB95" s="113">
        <f t="shared" si="65"/>
        <v>3695023.5809304379</v>
      </c>
      <c r="AC95" s="113">
        <f t="shared" si="44"/>
        <v>2601835.8515346991</v>
      </c>
      <c r="AD95" s="114">
        <f t="shared" si="66"/>
        <v>12.166666666666666</v>
      </c>
      <c r="AE95" s="114">
        <f t="shared" si="67"/>
        <v>1.29916137650758E-2</v>
      </c>
      <c r="AF95" s="114">
        <f t="shared" si="68"/>
        <v>160.19444444444443</v>
      </c>
      <c r="AG95" s="114"/>
      <c r="AH95" s="176">
        <f t="shared" si="69"/>
        <v>142188490.65581384</v>
      </c>
      <c r="AI95" s="176">
        <f t="shared" si="70"/>
        <v>683938.66794138355</v>
      </c>
      <c r="AJ95" s="178">
        <f t="shared" si="71"/>
        <v>-683938.66794138355</v>
      </c>
      <c r="AK95" s="113">
        <f t="shared" si="72"/>
        <v>0</v>
      </c>
      <c r="AL95" s="113">
        <f t="shared" si="45"/>
        <v>0</v>
      </c>
      <c r="AM95" s="114">
        <f t="shared" si="73"/>
        <v>12.166666666666666</v>
      </c>
      <c r="AN95" s="114">
        <f t="shared" si="74"/>
        <v>0</v>
      </c>
      <c r="AO95" s="114">
        <f t="shared" si="75"/>
        <v>160.19444444444443</v>
      </c>
    </row>
    <row r="96" spans="1:41" hidden="1" outlineLevel="1" x14ac:dyDescent="0.3">
      <c r="A96" s="146">
        <f t="shared" si="46"/>
        <v>74</v>
      </c>
      <c r="B96" s="147">
        <f t="shared" si="39"/>
        <v>211</v>
      </c>
      <c r="C96" s="147">
        <f t="shared" si="38"/>
        <v>149</v>
      </c>
      <c r="D96" s="149">
        <f t="shared" si="47"/>
        <v>322947771.13857543</v>
      </c>
      <c r="E96" s="149">
        <f t="shared" si="48"/>
        <v>2490349.921401164</v>
      </c>
      <c r="F96" s="149">
        <f t="shared" si="40"/>
        <v>1625271.8922901694</v>
      </c>
      <c r="G96" s="149">
        <f t="shared" si="41"/>
        <v>1571096.1625471637</v>
      </c>
      <c r="H96" s="149">
        <f t="shared" si="49"/>
        <v>54175.729743005708</v>
      </c>
      <c r="I96" s="149">
        <f t="shared" si="50"/>
        <v>865078.02911099466</v>
      </c>
      <c r="J96" s="147">
        <f t="shared" si="51"/>
        <v>4.4999999999999998E-2</v>
      </c>
      <c r="K96" s="175">
        <f t="shared" si="42"/>
        <v>3.8296430163020645E-3</v>
      </c>
      <c r="L96" s="149">
        <f t="shared" si="52"/>
        <v>1241529.2903474765</v>
      </c>
      <c r="M96" s="149">
        <f t="shared" si="53"/>
        <v>3677703.4820056348</v>
      </c>
      <c r="N96" s="149">
        <f t="shared" si="54"/>
        <v>2106607.3194584711</v>
      </c>
      <c r="P96" s="149">
        <f t="shared" si="55"/>
        <v>0</v>
      </c>
      <c r="Q96" s="149">
        <f t="shared" si="56"/>
        <v>0</v>
      </c>
      <c r="R96" s="178">
        <f t="shared" si="57"/>
        <v>0</v>
      </c>
      <c r="S96" s="113">
        <f t="shared" si="58"/>
        <v>0</v>
      </c>
      <c r="T96" s="113">
        <f t="shared" si="43"/>
        <v>0</v>
      </c>
      <c r="U96" s="114">
        <f t="shared" si="59"/>
        <v>12.333333333333334</v>
      </c>
      <c r="V96" s="114">
        <f t="shared" si="60"/>
        <v>0</v>
      </c>
      <c r="W96" s="114">
        <f t="shared" si="61"/>
        <v>164.44444444444446</v>
      </c>
      <c r="X96" s="114"/>
      <c r="Y96" s="149">
        <f t="shared" si="62"/>
        <v>180072036.11125851</v>
      </c>
      <c r="Z96" s="149">
        <f t="shared" si="63"/>
        <v>883851.79104406375</v>
      </c>
      <c r="AA96" s="178">
        <f t="shared" si="64"/>
        <v>2793851.6909615714</v>
      </c>
      <c r="AB96" s="113">
        <f t="shared" si="65"/>
        <v>3677703.4820056353</v>
      </c>
      <c r="AC96" s="113">
        <f t="shared" si="44"/>
        <v>2577226.4371972703</v>
      </c>
      <c r="AD96" s="114">
        <f t="shared" si="66"/>
        <v>12.333333333333334</v>
      </c>
      <c r="AE96" s="114">
        <f t="shared" si="67"/>
        <v>1.2868732836262397E-2</v>
      </c>
      <c r="AF96" s="114">
        <f t="shared" si="68"/>
        <v>164.44444444444446</v>
      </c>
      <c r="AG96" s="114"/>
      <c r="AH96" s="176">
        <f t="shared" si="69"/>
        <v>142875735.02731696</v>
      </c>
      <c r="AI96" s="176">
        <f t="shared" si="70"/>
        <v>687244.37150310026</v>
      </c>
      <c r="AJ96" s="178">
        <f t="shared" si="71"/>
        <v>-687244.37150310026</v>
      </c>
      <c r="AK96" s="113">
        <f t="shared" si="72"/>
        <v>0</v>
      </c>
      <c r="AL96" s="113">
        <f t="shared" si="45"/>
        <v>0</v>
      </c>
      <c r="AM96" s="114">
        <f t="shared" si="73"/>
        <v>12.333333333333334</v>
      </c>
      <c r="AN96" s="114">
        <f t="shared" si="74"/>
        <v>0</v>
      </c>
      <c r="AO96" s="114">
        <f t="shared" si="75"/>
        <v>164.44444444444446</v>
      </c>
    </row>
    <row r="97" spans="1:41" hidden="1" outlineLevel="1" x14ac:dyDescent="0.3">
      <c r="A97" s="146">
        <f t="shared" si="46"/>
        <v>75</v>
      </c>
      <c r="B97" s="147">
        <f t="shared" si="39"/>
        <v>210</v>
      </c>
      <c r="C97" s="147">
        <f t="shared" si="38"/>
        <v>150</v>
      </c>
      <c r="D97" s="149">
        <f t="shared" si="47"/>
        <v>320848239.30159897</v>
      </c>
      <c r="E97" s="149">
        <f t="shared" si="48"/>
        <v>2480812.7702165218</v>
      </c>
      <c r="F97" s="149">
        <f t="shared" si="40"/>
        <v>1614738.8556928772</v>
      </c>
      <c r="G97" s="149">
        <f t="shared" si="41"/>
        <v>1560914.2271697815</v>
      </c>
      <c r="H97" s="149">
        <f t="shared" si="49"/>
        <v>53824.628523095744</v>
      </c>
      <c r="I97" s="149">
        <f t="shared" si="50"/>
        <v>866073.91452364461</v>
      </c>
      <c r="J97" s="147">
        <f t="shared" si="51"/>
        <v>4.4999999999999998E-2</v>
      </c>
      <c r="K97" s="175">
        <f t="shared" si="42"/>
        <v>3.8296430163020645E-3</v>
      </c>
      <c r="L97" s="149">
        <f t="shared" si="52"/>
        <v>1233457.9224528058</v>
      </c>
      <c r="M97" s="149">
        <f t="shared" si="53"/>
        <v>3660446.0641462319</v>
      </c>
      <c r="N97" s="149">
        <f t="shared" si="54"/>
        <v>2099531.8369764504</v>
      </c>
      <c r="P97" s="149">
        <f t="shared" si="55"/>
        <v>0</v>
      </c>
      <c r="Q97" s="149">
        <f t="shared" si="56"/>
        <v>0</v>
      </c>
      <c r="R97" s="178">
        <f t="shared" si="57"/>
        <v>0</v>
      </c>
      <c r="S97" s="113">
        <f t="shared" si="58"/>
        <v>0</v>
      </c>
      <c r="T97" s="113">
        <f t="shared" si="43"/>
        <v>0</v>
      </c>
      <c r="U97" s="114">
        <f t="shared" si="59"/>
        <v>12.5</v>
      </c>
      <c r="V97" s="114">
        <f t="shared" si="60"/>
        <v>0</v>
      </c>
      <c r="W97" s="114">
        <f t="shared" si="61"/>
        <v>168.75</v>
      </c>
      <c r="X97" s="114"/>
      <c r="Y97" s="149">
        <f t="shared" si="62"/>
        <v>177281938.22165003</v>
      </c>
      <c r="Z97" s="149">
        <f t="shared" si="63"/>
        <v>870348.1745377495</v>
      </c>
      <c r="AA97" s="178">
        <f t="shared" si="64"/>
        <v>2790097.8896084824</v>
      </c>
      <c r="AB97" s="113">
        <f t="shared" si="65"/>
        <v>3660446.0641462319</v>
      </c>
      <c r="AC97" s="113">
        <f t="shared" si="44"/>
        <v>2552836.8846691381</v>
      </c>
      <c r="AD97" s="114">
        <f t="shared" si="66"/>
        <v>12.5</v>
      </c>
      <c r="AE97" s="114">
        <f t="shared" si="67"/>
        <v>1.2746949732166257E-2</v>
      </c>
      <c r="AF97" s="114">
        <f t="shared" si="68"/>
        <v>168.75</v>
      </c>
      <c r="AG97" s="114"/>
      <c r="AH97" s="176">
        <f t="shared" si="69"/>
        <v>143566301.07994899</v>
      </c>
      <c r="AI97" s="176">
        <f t="shared" si="70"/>
        <v>690566.05263203196</v>
      </c>
      <c r="AJ97" s="178">
        <f t="shared" si="71"/>
        <v>-690566.05263203196</v>
      </c>
      <c r="AK97" s="113">
        <f t="shared" si="72"/>
        <v>0</v>
      </c>
      <c r="AL97" s="113">
        <f t="shared" si="45"/>
        <v>0</v>
      </c>
      <c r="AM97" s="114">
        <f t="shared" si="73"/>
        <v>12.5</v>
      </c>
      <c r="AN97" s="114">
        <f t="shared" si="74"/>
        <v>0</v>
      </c>
      <c r="AO97" s="114">
        <f t="shared" si="75"/>
        <v>168.75</v>
      </c>
    </row>
    <row r="98" spans="1:41" hidden="1" outlineLevel="1" x14ac:dyDescent="0.3">
      <c r="A98" s="146">
        <f t="shared" si="46"/>
        <v>76</v>
      </c>
      <c r="B98" s="147">
        <f t="shared" si="39"/>
        <v>209</v>
      </c>
      <c r="C98" s="147">
        <f t="shared" si="38"/>
        <v>151</v>
      </c>
      <c r="D98" s="149">
        <f t="shared" si="47"/>
        <v>318755754.70845103</v>
      </c>
      <c r="E98" s="149">
        <f t="shared" si="48"/>
        <v>2471312.1429163092</v>
      </c>
      <c r="F98" s="149">
        <f t="shared" si="40"/>
        <v>1604241.1965079948</v>
      </c>
      <c r="G98" s="149">
        <f t="shared" si="41"/>
        <v>1550766.4899577284</v>
      </c>
      <c r="H98" s="149">
        <f t="shared" si="49"/>
        <v>53474.706550266361</v>
      </c>
      <c r="I98" s="149">
        <f t="shared" si="50"/>
        <v>867070.9464083144</v>
      </c>
      <c r="J98" s="147">
        <f t="shared" si="51"/>
        <v>4.4999999999999998E-2</v>
      </c>
      <c r="K98" s="175">
        <f t="shared" si="42"/>
        <v>3.8296430163020645E-3</v>
      </c>
      <c r="L98" s="149">
        <f t="shared" si="52"/>
        <v>1225413.646739631</v>
      </c>
      <c r="M98" s="149">
        <f t="shared" si="53"/>
        <v>3643251.083105674</v>
      </c>
      <c r="N98" s="149">
        <f t="shared" si="54"/>
        <v>2092484.5931479454</v>
      </c>
      <c r="P98" s="149">
        <f t="shared" si="55"/>
        <v>0</v>
      </c>
      <c r="Q98" s="149">
        <f t="shared" si="56"/>
        <v>0</v>
      </c>
      <c r="R98" s="178">
        <f t="shared" si="57"/>
        <v>0</v>
      </c>
      <c r="S98" s="113">
        <f t="shared" si="58"/>
        <v>0</v>
      </c>
      <c r="T98" s="113">
        <f t="shared" si="43"/>
        <v>0</v>
      </c>
      <c r="U98" s="114">
        <f t="shared" si="59"/>
        <v>12.666666666666666</v>
      </c>
      <c r="V98" s="114">
        <f t="shared" si="60"/>
        <v>0</v>
      </c>
      <c r="W98" s="114">
        <f t="shared" si="61"/>
        <v>173.11111111111109</v>
      </c>
      <c r="X98" s="114"/>
      <c r="Y98" s="149">
        <f t="shared" si="62"/>
        <v>174495549.83994901</v>
      </c>
      <c r="Z98" s="149">
        <f t="shared" si="63"/>
        <v>856862.70140464185</v>
      </c>
      <c r="AA98" s="178">
        <f t="shared" si="64"/>
        <v>2786388.3817010322</v>
      </c>
      <c r="AB98" s="113">
        <f t="shared" si="65"/>
        <v>3643251.083105674</v>
      </c>
      <c r="AC98" s="113">
        <f t="shared" si="44"/>
        <v>2528665.272522897</v>
      </c>
      <c r="AD98" s="114">
        <f t="shared" si="66"/>
        <v>12.666666666666666</v>
      </c>
      <c r="AE98" s="114">
        <f t="shared" si="67"/>
        <v>1.2626254858622274E-2</v>
      </c>
      <c r="AF98" s="114">
        <f t="shared" si="68"/>
        <v>173.11111111111109</v>
      </c>
      <c r="AG98" s="114"/>
      <c r="AH98" s="176">
        <f t="shared" si="69"/>
        <v>144260204.86850208</v>
      </c>
      <c r="AI98" s="176">
        <f t="shared" si="70"/>
        <v>693903.78855308681</v>
      </c>
      <c r="AJ98" s="178">
        <f t="shared" si="71"/>
        <v>-693903.78855308681</v>
      </c>
      <c r="AK98" s="113">
        <f t="shared" si="72"/>
        <v>0</v>
      </c>
      <c r="AL98" s="113">
        <f t="shared" si="45"/>
        <v>0</v>
      </c>
      <c r="AM98" s="114">
        <f t="shared" si="73"/>
        <v>12.666666666666666</v>
      </c>
      <c r="AN98" s="114">
        <f t="shared" si="74"/>
        <v>0</v>
      </c>
      <c r="AO98" s="114">
        <f t="shared" si="75"/>
        <v>173.11111111111109</v>
      </c>
    </row>
    <row r="99" spans="1:41" hidden="1" outlineLevel="1" x14ac:dyDescent="0.3">
      <c r="A99" s="146">
        <f t="shared" si="46"/>
        <v>77</v>
      </c>
      <c r="B99" s="147">
        <f t="shared" si="39"/>
        <v>208</v>
      </c>
      <c r="C99" s="147">
        <f t="shared" si="38"/>
        <v>152</v>
      </c>
      <c r="D99" s="149">
        <f t="shared" si="47"/>
        <v>316670289.22730732</v>
      </c>
      <c r="E99" s="149">
        <f t="shared" si="48"/>
        <v>2461847.8996270872</v>
      </c>
      <c r="F99" s="149">
        <f t="shared" si="40"/>
        <v>1593778.7735422552</v>
      </c>
      <c r="G99" s="149">
        <f t="shared" si="41"/>
        <v>1540652.81442418</v>
      </c>
      <c r="H99" s="149">
        <f t="shared" si="49"/>
        <v>53125.959118075203</v>
      </c>
      <c r="I99" s="149">
        <f t="shared" si="50"/>
        <v>868069.12608483201</v>
      </c>
      <c r="J99" s="147">
        <f t="shared" si="51"/>
        <v>4.4999999999999998E-2</v>
      </c>
      <c r="K99" s="175">
        <f t="shared" si="42"/>
        <v>3.8296430163020645E-3</v>
      </c>
      <c r="L99" s="149">
        <f t="shared" si="52"/>
        <v>1217396.3550589352</v>
      </c>
      <c r="M99" s="149">
        <f t="shared" si="53"/>
        <v>3626118.2955679474</v>
      </c>
      <c r="N99" s="149">
        <f t="shared" si="54"/>
        <v>2085465.4811437672</v>
      </c>
      <c r="P99" s="149">
        <f t="shared" si="55"/>
        <v>0</v>
      </c>
      <c r="Q99" s="149">
        <f t="shared" si="56"/>
        <v>0</v>
      </c>
      <c r="R99" s="178">
        <f t="shared" si="57"/>
        <v>0</v>
      </c>
      <c r="S99" s="113">
        <f t="shared" si="58"/>
        <v>0</v>
      </c>
      <c r="T99" s="113">
        <f t="shared" si="43"/>
        <v>0</v>
      </c>
      <c r="U99" s="114">
        <f t="shared" si="59"/>
        <v>12.833333333333334</v>
      </c>
      <c r="V99" s="114">
        <f t="shared" si="60"/>
        <v>0</v>
      </c>
      <c r="W99" s="114">
        <f t="shared" si="61"/>
        <v>177.5277777777778</v>
      </c>
      <c r="X99" s="114"/>
      <c r="Y99" s="149">
        <f t="shared" si="62"/>
        <v>171712826.7019408</v>
      </c>
      <c r="Z99" s="149">
        <f t="shared" si="63"/>
        <v>843395.15755975363</v>
      </c>
      <c r="AA99" s="178">
        <f t="shared" si="64"/>
        <v>2782723.138008194</v>
      </c>
      <c r="AB99" s="113">
        <f t="shared" si="65"/>
        <v>3626118.2955679474</v>
      </c>
      <c r="AC99" s="113">
        <f t="shared" si="44"/>
        <v>2504709.6959724934</v>
      </c>
      <c r="AD99" s="114">
        <f t="shared" si="66"/>
        <v>12.833333333333334</v>
      </c>
      <c r="AE99" s="114">
        <f t="shared" si="67"/>
        <v>1.2506638704559758E-2</v>
      </c>
      <c r="AF99" s="114">
        <f t="shared" si="68"/>
        <v>177.5277777777778</v>
      </c>
      <c r="AG99" s="114"/>
      <c r="AH99" s="176">
        <f t="shared" si="69"/>
        <v>144957462.52536651</v>
      </c>
      <c r="AI99" s="176">
        <f t="shared" si="70"/>
        <v>697257.6568644268</v>
      </c>
      <c r="AJ99" s="178">
        <f t="shared" si="71"/>
        <v>-697257.6568644268</v>
      </c>
      <c r="AK99" s="113">
        <f t="shared" si="72"/>
        <v>0</v>
      </c>
      <c r="AL99" s="113">
        <f t="shared" si="45"/>
        <v>0</v>
      </c>
      <c r="AM99" s="114">
        <f t="shared" si="73"/>
        <v>12.833333333333334</v>
      </c>
      <c r="AN99" s="114">
        <f t="shared" si="74"/>
        <v>0</v>
      </c>
      <c r="AO99" s="114">
        <f t="shared" si="75"/>
        <v>177.5277777777778</v>
      </c>
    </row>
    <row r="100" spans="1:41" hidden="1" outlineLevel="1" x14ac:dyDescent="0.3">
      <c r="A100" s="146">
        <f t="shared" si="46"/>
        <v>78</v>
      </c>
      <c r="B100" s="147">
        <f t="shared" si="39"/>
        <v>207</v>
      </c>
      <c r="C100" s="147">
        <f t="shared" si="38"/>
        <v>153</v>
      </c>
      <c r="D100" s="149">
        <f t="shared" si="47"/>
        <v>314591814.83276194</v>
      </c>
      <c r="E100" s="149">
        <f t="shared" si="48"/>
        <v>2452419.9010110823</v>
      </c>
      <c r="F100" s="149">
        <f t="shared" si="40"/>
        <v>1583351.4461365365</v>
      </c>
      <c r="G100" s="149">
        <f t="shared" si="41"/>
        <v>1530573.0645986521</v>
      </c>
      <c r="H100" s="149">
        <f t="shared" si="49"/>
        <v>52778.381537884474</v>
      </c>
      <c r="I100" s="149">
        <f t="shared" si="50"/>
        <v>869068.4548745458</v>
      </c>
      <c r="J100" s="147">
        <f t="shared" si="51"/>
        <v>4.4999999999999998E-2</v>
      </c>
      <c r="K100" s="175">
        <f t="shared" si="42"/>
        <v>3.8296430163020645E-3</v>
      </c>
      <c r="L100" s="149">
        <f t="shared" si="52"/>
        <v>1209405.9396708135</v>
      </c>
      <c r="M100" s="149">
        <f t="shared" si="53"/>
        <v>3609047.4591440111</v>
      </c>
      <c r="N100" s="149">
        <f t="shared" si="54"/>
        <v>2078474.3945453593</v>
      </c>
      <c r="P100" s="149">
        <f t="shared" si="55"/>
        <v>0</v>
      </c>
      <c r="Q100" s="149">
        <f t="shared" si="56"/>
        <v>0</v>
      </c>
      <c r="R100" s="178">
        <f t="shared" si="57"/>
        <v>0</v>
      </c>
      <c r="S100" s="113">
        <f t="shared" si="58"/>
        <v>0</v>
      </c>
      <c r="T100" s="113">
        <f t="shared" si="43"/>
        <v>0</v>
      </c>
      <c r="U100" s="114">
        <f t="shared" si="59"/>
        <v>13</v>
      </c>
      <c r="V100" s="114">
        <f t="shared" si="60"/>
        <v>0</v>
      </c>
      <c r="W100" s="114">
        <f t="shared" si="61"/>
        <v>182</v>
      </c>
      <c r="X100" s="114"/>
      <c r="Y100" s="149">
        <f t="shared" si="62"/>
        <v>168933724.57185617</v>
      </c>
      <c r="Z100" s="149">
        <f t="shared" si="63"/>
        <v>829945.32905938057</v>
      </c>
      <c r="AA100" s="178">
        <f t="shared" si="64"/>
        <v>2779102.130084631</v>
      </c>
      <c r="AB100" s="113">
        <f t="shared" si="65"/>
        <v>3609047.4591440116</v>
      </c>
      <c r="AC100" s="113">
        <f t="shared" si="44"/>
        <v>2480968.2667296422</v>
      </c>
      <c r="AD100" s="114">
        <f t="shared" si="66"/>
        <v>13</v>
      </c>
      <c r="AE100" s="114">
        <f t="shared" si="67"/>
        <v>1.2388091841285481E-2</v>
      </c>
      <c r="AF100" s="114">
        <f t="shared" si="68"/>
        <v>182</v>
      </c>
      <c r="AG100" s="114"/>
      <c r="AH100" s="176">
        <f t="shared" si="69"/>
        <v>145658090.26090577</v>
      </c>
      <c r="AI100" s="176">
        <f t="shared" si="70"/>
        <v>700627.7355392715</v>
      </c>
      <c r="AJ100" s="178">
        <f t="shared" si="71"/>
        <v>-700627.7355392715</v>
      </c>
      <c r="AK100" s="113">
        <f t="shared" si="72"/>
        <v>0</v>
      </c>
      <c r="AL100" s="113">
        <f t="shared" si="45"/>
        <v>0</v>
      </c>
      <c r="AM100" s="114">
        <f t="shared" si="73"/>
        <v>13</v>
      </c>
      <c r="AN100" s="114">
        <f t="shared" si="74"/>
        <v>0</v>
      </c>
      <c r="AO100" s="114">
        <f t="shared" si="75"/>
        <v>182</v>
      </c>
    </row>
    <row r="101" spans="1:41" hidden="1" outlineLevel="1" x14ac:dyDescent="0.3">
      <c r="A101" s="146">
        <f t="shared" si="46"/>
        <v>79</v>
      </c>
      <c r="B101" s="147">
        <f t="shared" si="39"/>
        <v>206</v>
      </c>
      <c r="C101" s="147">
        <f t="shared" si="38"/>
        <v>154</v>
      </c>
      <c r="D101" s="149">
        <f t="shared" si="47"/>
        <v>312520303.60541874</v>
      </c>
      <c r="E101" s="149">
        <f t="shared" si="48"/>
        <v>2443028.0082641351</v>
      </c>
      <c r="F101" s="149">
        <f t="shared" si="40"/>
        <v>1572959.0741638097</v>
      </c>
      <c r="G101" s="149">
        <f t="shared" si="41"/>
        <v>1520527.1050250162</v>
      </c>
      <c r="H101" s="149">
        <f t="shared" si="49"/>
        <v>52431.969138793414</v>
      </c>
      <c r="I101" s="149">
        <f t="shared" si="50"/>
        <v>870068.93410032545</v>
      </c>
      <c r="J101" s="147">
        <f t="shared" si="51"/>
        <v>4.4999999999999998E-2</v>
      </c>
      <c r="K101" s="175">
        <f t="shared" si="42"/>
        <v>3.8296430163020645E-3</v>
      </c>
      <c r="L101" s="149">
        <f t="shared" si="52"/>
        <v>1201442.2932429004</v>
      </c>
      <c r="M101" s="149">
        <f t="shared" si="53"/>
        <v>3592038.3323682426</v>
      </c>
      <c r="N101" s="149">
        <f t="shared" si="54"/>
        <v>2071511.2273432259</v>
      </c>
      <c r="P101" s="149">
        <f t="shared" si="55"/>
        <v>0</v>
      </c>
      <c r="Q101" s="149">
        <f t="shared" si="56"/>
        <v>0</v>
      </c>
      <c r="R101" s="178">
        <f t="shared" si="57"/>
        <v>0</v>
      </c>
      <c r="S101" s="113">
        <f t="shared" si="58"/>
        <v>0</v>
      </c>
      <c r="T101" s="113">
        <f t="shared" si="43"/>
        <v>0</v>
      </c>
      <c r="U101" s="114">
        <f t="shared" si="59"/>
        <v>13.166666666666666</v>
      </c>
      <c r="V101" s="114">
        <f t="shared" si="60"/>
        <v>0</v>
      </c>
      <c r="W101" s="114">
        <f t="shared" si="61"/>
        <v>186.52777777777777</v>
      </c>
      <c r="X101" s="114"/>
      <c r="Y101" s="149">
        <f t="shared" si="62"/>
        <v>166158199.24158522</v>
      </c>
      <c r="Z101" s="149">
        <f t="shared" si="63"/>
        <v>816513.00209730491</v>
      </c>
      <c r="AA101" s="178">
        <f t="shared" si="64"/>
        <v>2775525.3302709372</v>
      </c>
      <c r="AB101" s="113">
        <f t="shared" si="65"/>
        <v>3592038.3323682421</v>
      </c>
      <c r="AC101" s="113">
        <f t="shared" si="44"/>
        <v>2457439.1128614773</v>
      </c>
      <c r="AD101" s="114">
        <f t="shared" si="66"/>
        <v>13.166666666666666</v>
      </c>
      <c r="AE101" s="114">
        <f t="shared" si="67"/>
        <v>1.2270604921772888E-2</v>
      </c>
      <c r="AF101" s="114">
        <f t="shared" si="68"/>
        <v>186.52777777777777</v>
      </c>
      <c r="AG101" s="114"/>
      <c r="AH101" s="176">
        <f t="shared" si="69"/>
        <v>146362104.36383349</v>
      </c>
      <c r="AI101" s="176">
        <f t="shared" si="70"/>
        <v>704014.10292771133</v>
      </c>
      <c r="AJ101" s="178">
        <f t="shared" si="71"/>
        <v>-704014.10292771133</v>
      </c>
      <c r="AK101" s="113">
        <f t="shared" si="72"/>
        <v>0</v>
      </c>
      <c r="AL101" s="113">
        <f t="shared" si="45"/>
        <v>0</v>
      </c>
      <c r="AM101" s="114">
        <f t="shared" si="73"/>
        <v>13.166666666666666</v>
      </c>
      <c r="AN101" s="114">
        <f t="shared" si="74"/>
        <v>0</v>
      </c>
      <c r="AO101" s="114">
        <f t="shared" si="75"/>
        <v>186.52777777777777</v>
      </c>
    </row>
    <row r="102" spans="1:41" hidden="1" outlineLevel="1" x14ac:dyDescent="0.3">
      <c r="A102" s="146">
        <f t="shared" si="46"/>
        <v>80</v>
      </c>
      <c r="B102" s="147">
        <f t="shared" si="39"/>
        <v>205</v>
      </c>
      <c r="C102" s="147">
        <f t="shared" si="38"/>
        <v>155</v>
      </c>
      <c r="D102" s="149">
        <f t="shared" si="47"/>
        <v>310455727.7314834</v>
      </c>
      <c r="E102" s="149">
        <f t="shared" si="48"/>
        <v>2433672.0831136559</v>
      </c>
      <c r="F102" s="149">
        <f t="shared" si="40"/>
        <v>1562601.5180270937</v>
      </c>
      <c r="G102" s="149">
        <f t="shared" si="41"/>
        <v>1510514.8007595241</v>
      </c>
      <c r="H102" s="149">
        <f t="shared" si="49"/>
        <v>52086.71726756962</v>
      </c>
      <c r="I102" s="149">
        <f t="shared" si="50"/>
        <v>871070.56508656219</v>
      </c>
      <c r="J102" s="147">
        <f t="shared" si="51"/>
        <v>4.4999999999999998E-2</v>
      </c>
      <c r="K102" s="175">
        <f t="shared" si="42"/>
        <v>3.8296430163020645E-3</v>
      </c>
      <c r="L102" s="149">
        <f t="shared" si="52"/>
        <v>1193505.3088488029</v>
      </c>
      <c r="M102" s="149">
        <f t="shared" si="53"/>
        <v>3575090.6746948892</v>
      </c>
      <c r="N102" s="149">
        <f t="shared" si="54"/>
        <v>2064575.8739353651</v>
      </c>
      <c r="P102" s="149">
        <f t="shared" si="55"/>
        <v>0</v>
      </c>
      <c r="Q102" s="149">
        <f t="shared" si="56"/>
        <v>0</v>
      </c>
      <c r="R102" s="178">
        <f t="shared" si="57"/>
        <v>0</v>
      </c>
      <c r="S102" s="113">
        <f t="shared" si="58"/>
        <v>0</v>
      </c>
      <c r="T102" s="113">
        <f t="shared" si="43"/>
        <v>0</v>
      </c>
      <c r="U102" s="114">
        <f t="shared" si="59"/>
        <v>13.333333333333334</v>
      </c>
      <c r="V102" s="114">
        <f t="shared" si="60"/>
        <v>0</v>
      </c>
      <c r="W102" s="114">
        <f t="shared" si="61"/>
        <v>191.11111111111111</v>
      </c>
      <c r="X102" s="114"/>
      <c r="Y102" s="149">
        <f t="shared" si="62"/>
        <v>163386206.52989134</v>
      </c>
      <c r="Z102" s="149">
        <f t="shared" si="63"/>
        <v>803097.96300099534</v>
      </c>
      <c r="AA102" s="178">
        <f t="shared" si="64"/>
        <v>2771992.7116938937</v>
      </c>
      <c r="AB102" s="113">
        <f t="shared" si="65"/>
        <v>3575090.6746948892</v>
      </c>
      <c r="AC102" s="113">
        <f t="shared" si="44"/>
        <v>2434120.3786494168</v>
      </c>
      <c r="AD102" s="114">
        <f t="shared" si="66"/>
        <v>13.333333333333334</v>
      </c>
      <c r="AE102" s="114">
        <f t="shared" si="67"/>
        <v>1.215416867995738E-2</v>
      </c>
      <c r="AF102" s="114">
        <f t="shared" si="68"/>
        <v>191.11111111111111</v>
      </c>
      <c r="AG102" s="114"/>
      <c r="AH102" s="176">
        <f t="shared" si="69"/>
        <v>147069521.20159203</v>
      </c>
      <c r="AI102" s="176">
        <f t="shared" si="70"/>
        <v>707416.83775852853</v>
      </c>
      <c r="AJ102" s="178">
        <f t="shared" si="71"/>
        <v>-707416.83775852853</v>
      </c>
      <c r="AK102" s="113">
        <f t="shared" si="72"/>
        <v>0</v>
      </c>
      <c r="AL102" s="113">
        <f t="shared" si="45"/>
        <v>0</v>
      </c>
      <c r="AM102" s="114">
        <f t="shared" si="73"/>
        <v>13.333333333333334</v>
      </c>
      <c r="AN102" s="114">
        <f t="shared" si="74"/>
        <v>0</v>
      </c>
      <c r="AO102" s="114">
        <f t="shared" si="75"/>
        <v>191.11111111111111</v>
      </c>
    </row>
    <row r="103" spans="1:41" hidden="1" outlineLevel="1" x14ac:dyDescent="0.3">
      <c r="A103" s="146">
        <f t="shared" si="46"/>
        <v>81</v>
      </c>
      <c r="B103" s="147">
        <f t="shared" si="39"/>
        <v>204</v>
      </c>
      <c r="C103" s="147">
        <f t="shared" si="38"/>
        <v>156</v>
      </c>
      <c r="D103" s="149">
        <f t="shared" si="47"/>
        <v>308398059.50235766</v>
      </c>
      <c r="E103" s="149">
        <f t="shared" si="48"/>
        <v>2424351.9878165904</v>
      </c>
      <c r="F103" s="149">
        <f t="shared" si="40"/>
        <v>1552278.6386574169</v>
      </c>
      <c r="G103" s="149">
        <f t="shared" si="41"/>
        <v>1500536.0173688366</v>
      </c>
      <c r="H103" s="149">
        <f t="shared" si="49"/>
        <v>51742.621288580354</v>
      </c>
      <c r="I103" s="149">
        <f t="shared" si="50"/>
        <v>872073.34915917343</v>
      </c>
      <c r="J103" s="147">
        <f t="shared" si="51"/>
        <v>4.4999999999999998E-2</v>
      </c>
      <c r="K103" s="175">
        <f t="shared" si="42"/>
        <v>3.8296430163020645E-3</v>
      </c>
      <c r="L103" s="149">
        <f t="shared" si="52"/>
        <v>1185594.87996654</v>
      </c>
      <c r="M103" s="149">
        <f t="shared" si="53"/>
        <v>3558204.2464945503</v>
      </c>
      <c r="N103" s="149">
        <f t="shared" si="54"/>
        <v>2057668.2291257135</v>
      </c>
      <c r="P103" s="149">
        <f t="shared" si="55"/>
        <v>0</v>
      </c>
      <c r="Q103" s="149">
        <f t="shared" si="56"/>
        <v>0</v>
      </c>
      <c r="R103" s="178">
        <f t="shared" si="57"/>
        <v>0</v>
      </c>
      <c r="S103" s="113">
        <f t="shared" si="58"/>
        <v>0</v>
      </c>
      <c r="T103" s="113">
        <f t="shared" si="43"/>
        <v>0</v>
      </c>
      <c r="U103" s="114">
        <f t="shared" si="59"/>
        <v>13.5</v>
      </c>
      <c r="V103" s="114">
        <f t="shared" si="60"/>
        <v>0</v>
      </c>
      <c r="W103" s="114">
        <f t="shared" si="61"/>
        <v>195.75</v>
      </c>
      <c r="X103" s="114"/>
      <c r="Y103" s="149">
        <f t="shared" si="62"/>
        <v>160617702.28162462</v>
      </c>
      <c r="Z103" s="149">
        <f t="shared" si="63"/>
        <v>789699.99822780816</v>
      </c>
      <c r="AA103" s="178">
        <f t="shared" si="64"/>
        <v>2768504.2482667416</v>
      </c>
      <c r="AB103" s="113">
        <f t="shared" si="65"/>
        <v>3558204.2464945498</v>
      </c>
      <c r="AC103" s="113">
        <f t="shared" si="44"/>
        <v>2411010.2244492625</v>
      </c>
      <c r="AD103" s="114">
        <f t="shared" si="66"/>
        <v>13.5</v>
      </c>
      <c r="AE103" s="114">
        <f t="shared" si="67"/>
        <v>1.2038773930037759E-2</v>
      </c>
      <c r="AF103" s="114">
        <f t="shared" si="68"/>
        <v>195.75</v>
      </c>
      <c r="AG103" s="114"/>
      <c r="AH103" s="176">
        <f t="shared" si="69"/>
        <v>147780357.22073305</v>
      </c>
      <c r="AI103" s="176">
        <f t="shared" si="70"/>
        <v>710836.01914102817</v>
      </c>
      <c r="AJ103" s="178">
        <f t="shared" si="71"/>
        <v>-710836.01914102817</v>
      </c>
      <c r="AK103" s="113">
        <f t="shared" si="72"/>
        <v>0</v>
      </c>
      <c r="AL103" s="113">
        <f t="shared" si="45"/>
        <v>0</v>
      </c>
      <c r="AM103" s="114">
        <f t="shared" si="73"/>
        <v>13.5</v>
      </c>
      <c r="AN103" s="114">
        <f t="shared" si="74"/>
        <v>0</v>
      </c>
      <c r="AO103" s="114">
        <f t="shared" si="75"/>
        <v>195.75</v>
      </c>
    </row>
    <row r="104" spans="1:41" hidden="1" outlineLevel="1" x14ac:dyDescent="0.3">
      <c r="A104" s="146">
        <f t="shared" si="46"/>
        <v>82</v>
      </c>
      <c r="B104" s="147">
        <f t="shared" si="39"/>
        <v>203</v>
      </c>
      <c r="C104" s="147">
        <f t="shared" si="38"/>
        <v>157</v>
      </c>
      <c r="D104" s="149">
        <f t="shared" si="47"/>
        <v>306347271.31423509</v>
      </c>
      <c r="E104" s="149">
        <f t="shared" si="48"/>
        <v>2415067.5851573907</v>
      </c>
      <c r="F104" s="149">
        <f t="shared" si="40"/>
        <v>1541990.2975117883</v>
      </c>
      <c r="G104" s="149">
        <f t="shared" si="41"/>
        <v>1490590.6209280621</v>
      </c>
      <c r="H104" s="149">
        <f t="shared" si="49"/>
        <v>51399.676583726192</v>
      </c>
      <c r="I104" s="149">
        <f t="shared" si="50"/>
        <v>873077.28764560237</v>
      </c>
      <c r="J104" s="147">
        <f t="shared" si="51"/>
        <v>4.4999999999999998E-2</v>
      </c>
      <c r="K104" s="175">
        <f t="shared" si="42"/>
        <v>3.8296430163020645E-3</v>
      </c>
      <c r="L104" s="149">
        <f t="shared" si="52"/>
        <v>1177710.9004769886</v>
      </c>
      <c r="M104" s="149">
        <f t="shared" si="53"/>
        <v>3541378.8090506531</v>
      </c>
      <c r="N104" s="149">
        <f t="shared" si="54"/>
        <v>2050788.188122591</v>
      </c>
      <c r="P104" s="149">
        <f t="shared" si="55"/>
        <v>0</v>
      </c>
      <c r="Q104" s="149">
        <f t="shared" si="56"/>
        <v>0</v>
      </c>
      <c r="R104" s="178">
        <f t="shared" si="57"/>
        <v>0</v>
      </c>
      <c r="S104" s="113">
        <f t="shared" si="58"/>
        <v>0</v>
      </c>
      <c r="T104" s="113">
        <f t="shared" si="43"/>
        <v>0</v>
      </c>
      <c r="U104" s="114">
        <f t="shared" si="59"/>
        <v>13.666666666666666</v>
      </c>
      <c r="V104" s="114">
        <f t="shared" si="60"/>
        <v>0</v>
      </c>
      <c r="W104" s="114">
        <f t="shared" si="61"/>
        <v>200.44444444444443</v>
      </c>
      <c r="X104" s="114"/>
      <c r="Y104" s="149">
        <f t="shared" si="62"/>
        <v>157852642.36693513</v>
      </c>
      <c r="Z104" s="149">
        <f t="shared" si="63"/>
        <v>776318.89436118572</v>
      </c>
      <c r="AA104" s="178">
        <f t="shared" si="64"/>
        <v>2765059.9146894673</v>
      </c>
      <c r="AB104" s="113">
        <f t="shared" si="65"/>
        <v>3541378.8090506531</v>
      </c>
      <c r="AC104" s="113">
        <f t="shared" si="44"/>
        <v>2388106.8265524893</v>
      </c>
      <c r="AD104" s="114">
        <f t="shared" si="66"/>
        <v>13.666666666666666</v>
      </c>
      <c r="AE104" s="114">
        <f t="shared" si="67"/>
        <v>1.1924411565783607E-2</v>
      </c>
      <c r="AF104" s="114">
        <f t="shared" si="68"/>
        <v>200.44444444444443</v>
      </c>
      <c r="AG104" s="114"/>
      <c r="AH104" s="176">
        <f t="shared" si="69"/>
        <v>148494628.94729993</v>
      </c>
      <c r="AI104" s="176">
        <f t="shared" si="70"/>
        <v>714271.7265668764</v>
      </c>
      <c r="AJ104" s="178">
        <f t="shared" si="71"/>
        <v>-714271.7265668764</v>
      </c>
      <c r="AK104" s="113">
        <f t="shared" si="72"/>
        <v>0</v>
      </c>
      <c r="AL104" s="113">
        <f t="shared" si="45"/>
        <v>0</v>
      </c>
      <c r="AM104" s="114">
        <f t="shared" si="73"/>
        <v>13.666666666666666</v>
      </c>
      <c r="AN104" s="114">
        <f t="shared" si="74"/>
        <v>0</v>
      </c>
      <c r="AO104" s="114">
        <f t="shared" si="75"/>
        <v>200.44444444444443</v>
      </c>
    </row>
    <row r="105" spans="1:41" hidden="1" outlineLevel="1" x14ac:dyDescent="0.3">
      <c r="A105" s="146">
        <f t="shared" si="46"/>
        <v>83</v>
      </c>
      <c r="B105" s="147">
        <f t="shared" si="39"/>
        <v>202</v>
      </c>
      <c r="C105" s="147">
        <f t="shared" si="38"/>
        <v>158</v>
      </c>
      <c r="D105" s="149">
        <f t="shared" si="47"/>
        <v>304303335.66769797</v>
      </c>
      <c r="E105" s="149">
        <f t="shared" si="48"/>
        <v>2405818.7384459954</v>
      </c>
      <c r="F105" s="149">
        <f t="shared" si="40"/>
        <v>1531736.3565711754</v>
      </c>
      <c r="G105" s="149">
        <f t="shared" si="41"/>
        <v>1480678.4780188031</v>
      </c>
      <c r="H105" s="149">
        <f t="shared" si="49"/>
        <v>51057.878552372335</v>
      </c>
      <c r="I105" s="149">
        <f t="shared" si="50"/>
        <v>874082.38187481998</v>
      </c>
      <c r="J105" s="147">
        <f t="shared" si="51"/>
        <v>4.4999999999999998E-2</v>
      </c>
      <c r="K105" s="175">
        <f t="shared" si="42"/>
        <v>3.8296430163020645E-3</v>
      </c>
      <c r="L105" s="149">
        <f t="shared" si="52"/>
        <v>1169853.2646623347</v>
      </c>
      <c r="M105" s="149">
        <f t="shared" si="53"/>
        <v>3524614.1245559575</v>
      </c>
      <c r="N105" s="149">
        <f t="shared" si="54"/>
        <v>2043935.6465371547</v>
      </c>
      <c r="P105" s="149">
        <f t="shared" si="55"/>
        <v>0</v>
      </c>
      <c r="Q105" s="149">
        <f t="shared" si="56"/>
        <v>0</v>
      </c>
      <c r="R105" s="178">
        <f t="shared" si="57"/>
        <v>0</v>
      </c>
      <c r="S105" s="113">
        <f t="shared" si="58"/>
        <v>0</v>
      </c>
      <c r="T105" s="113">
        <f t="shared" si="43"/>
        <v>0</v>
      </c>
      <c r="U105" s="114">
        <f t="shared" si="59"/>
        <v>13.833333333333334</v>
      </c>
      <c r="V105" s="114">
        <f t="shared" si="60"/>
        <v>0</v>
      </c>
      <c r="W105" s="114">
        <f t="shared" si="61"/>
        <v>205.19444444444446</v>
      </c>
      <c r="X105" s="114"/>
      <c r="Y105" s="149">
        <f t="shared" si="62"/>
        <v>155090982.68048602</v>
      </c>
      <c r="Z105" s="149">
        <f t="shared" si="63"/>
        <v>762954.43810685317</v>
      </c>
      <c r="AA105" s="178">
        <f t="shared" si="64"/>
        <v>2761659.6864491045</v>
      </c>
      <c r="AB105" s="113">
        <f t="shared" si="65"/>
        <v>3524614.1245559575</v>
      </c>
      <c r="AC105" s="113">
        <f t="shared" si="44"/>
        <v>2365408.3770487355</v>
      </c>
      <c r="AD105" s="114">
        <f t="shared" si="66"/>
        <v>13.833333333333334</v>
      </c>
      <c r="AE105" s="114">
        <f t="shared" si="67"/>
        <v>1.1811072559848661E-2</v>
      </c>
      <c r="AF105" s="114">
        <f t="shared" si="68"/>
        <v>205.19444444444446</v>
      </c>
      <c r="AG105" s="114"/>
      <c r="AH105" s="176">
        <f t="shared" si="69"/>
        <v>149212352.98721188</v>
      </c>
      <c r="AI105" s="176">
        <f t="shared" si="70"/>
        <v>717724.03991194966</v>
      </c>
      <c r="AJ105" s="178">
        <f t="shared" si="71"/>
        <v>-717724.03991194966</v>
      </c>
      <c r="AK105" s="113">
        <f t="shared" si="72"/>
        <v>0</v>
      </c>
      <c r="AL105" s="113">
        <f t="shared" si="45"/>
        <v>0</v>
      </c>
      <c r="AM105" s="114">
        <f t="shared" si="73"/>
        <v>13.833333333333334</v>
      </c>
      <c r="AN105" s="114">
        <f t="shared" si="74"/>
        <v>0</v>
      </c>
      <c r="AO105" s="114">
        <f t="shared" si="75"/>
        <v>205.19444444444446</v>
      </c>
    </row>
    <row r="106" spans="1:41" hidden="1" outlineLevel="1" x14ac:dyDescent="0.3">
      <c r="A106" s="146">
        <f t="shared" si="46"/>
        <v>84</v>
      </c>
      <c r="B106" s="147">
        <f t="shared" si="39"/>
        <v>201</v>
      </c>
      <c r="C106" s="147">
        <f t="shared" si="38"/>
        <v>159</v>
      </c>
      <c r="D106" s="149">
        <f t="shared" si="47"/>
        <v>302266225.16731608</v>
      </c>
      <c r="E106" s="149">
        <f t="shared" si="48"/>
        <v>2396605.311515817</v>
      </c>
      <c r="F106" s="149">
        <f t="shared" si="40"/>
        <v>1521516.67833849</v>
      </c>
      <c r="G106" s="149">
        <f t="shared" si="41"/>
        <v>1470799.455727207</v>
      </c>
      <c r="H106" s="149">
        <f t="shared" si="49"/>
        <v>50717.222611282952</v>
      </c>
      <c r="I106" s="149">
        <f t="shared" si="50"/>
        <v>875088.63317732699</v>
      </c>
      <c r="J106" s="147">
        <f t="shared" si="51"/>
        <v>4.4999999999999998E-2</v>
      </c>
      <c r="K106" s="175">
        <f t="shared" si="42"/>
        <v>3.8296430163020645E-3</v>
      </c>
      <c r="L106" s="149">
        <f t="shared" si="52"/>
        <v>1162021.8672045295</v>
      </c>
      <c r="M106" s="149">
        <f t="shared" si="53"/>
        <v>3507909.9561090637</v>
      </c>
      <c r="N106" s="149">
        <f t="shared" si="54"/>
        <v>2037110.5003818565</v>
      </c>
      <c r="P106" s="149">
        <f t="shared" si="55"/>
        <v>0</v>
      </c>
      <c r="Q106" s="149">
        <f t="shared" si="56"/>
        <v>0</v>
      </c>
      <c r="R106" s="178">
        <f t="shared" si="57"/>
        <v>0</v>
      </c>
      <c r="S106" s="113">
        <f t="shared" si="58"/>
        <v>0</v>
      </c>
      <c r="T106" s="113">
        <f t="shared" si="43"/>
        <v>0</v>
      </c>
      <c r="U106" s="114">
        <f t="shared" si="59"/>
        <v>14</v>
      </c>
      <c r="V106" s="114">
        <f t="shared" si="60"/>
        <v>0</v>
      </c>
      <c r="W106" s="114">
        <f t="shared" si="61"/>
        <v>210</v>
      </c>
      <c r="X106" s="114"/>
      <c r="Y106" s="149">
        <f t="shared" si="62"/>
        <v>152332679.14066598</v>
      </c>
      <c r="Z106" s="149">
        <f t="shared" si="63"/>
        <v>749606.41628901579</v>
      </c>
      <c r="AA106" s="178">
        <f t="shared" si="64"/>
        <v>2758303.5398200471</v>
      </c>
      <c r="AB106" s="113">
        <f t="shared" si="65"/>
        <v>3507909.9561090628</v>
      </c>
      <c r="AC106" s="113">
        <f t="shared" si="44"/>
        <v>2342913.0836894806</v>
      </c>
      <c r="AD106" s="114">
        <f t="shared" si="66"/>
        <v>14</v>
      </c>
      <c r="AE106" s="114">
        <f t="shared" si="67"/>
        <v>1.1698747963090134E-2</v>
      </c>
      <c r="AF106" s="114">
        <f t="shared" si="68"/>
        <v>210</v>
      </c>
      <c r="AG106" s="114"/>
      <c r="AH106" s="176">
        <f t="shared" si="69"/>
        <v>149933546.02665007</v>
      </c>
      <c r="AI106" s="176">
        <f t="shared" si="70"/>
        <v>721193.03943819075</v>
      </c>
      <c r="AJ106" s="178">
        <f t="shared" si="71"/>
        <v>-721193.03943819075</v>
      </c>
      <c r="AK106" s="113">
        <f t="shared" si="72"/>
        <v>0</v>
      </c>
      <c r="AL106" s="113">
        <f t="shared" si="45"/>
        <v>0</v>
      </c>
      <c r="AM106" s="114">
        <f t="shared" si="73"/>
        <v>14</v>
      </c>
      <c r="AN106" s="114">
        <f t="shared" si="74"/>
        <v>0</v>
      </c>
      <c r="AO106" s="114">
        <f t="shared" si="75"/>
        <v>210</v>
      </c>
    </row>
    <row r="107" spans="1:41" hidden="1" outlineLevel="1" x14ac:dyDescent="0.3">
      <c r="A107" s="146">
        <f t="shared" si="46"/>
        <v>85</v>
      </c>
      <c r="B107" s="147">
        <f t="shared" si="39"/>
        <v>200</v>
      </c>
      <c r="C107" s="147">
        <f t="shared" si="38"/>
        <v>160</v>
      </c>
      <c r="D107" s="149">
        <f t="shared" si="47"/>
        <v>300235912.52124715</v>
      </c>
      <c r="E107" s="149">
        <f t="shared" si="48"/>
        <v>2387427.1687217378</v>
      </c>
      <c r="F107" s="149">
        <f t="shared" si="40"/>
        <v>1511331.1258365805</v>
      </c>
      <c r="G107" s="149">
        <f t="shared" si="41"/>
        <v>1460953.4216420278</v>
      </c>
      <c r="H107" s="149">
        <f t="shared" si="49"/>
        <v>50377.704194552731</v>
      </c>
      <c r="I107" s="149">
        <f t="shared" si="50"/>
        <v>876096.04288515728</v>
      </c>
      <c r="J107" s="147">
        <f t="shared" si="51"/>
        <v>4.4999999999999998E-2</v>
      </c>
      <c r="K107" s="175">
        <f t="shared" si="42"/>
        <v>3.8296430163020645E-3</v>
      </c>
      <c r="L107" s="149">
        <f t="shared" si="52"/>
        <v>1154216.6031837543</v>
      </c>
      <c r="M107" s="149">
        <f t="shared" si="53"/>
        <v>3491266.0677109393</v>
      </c>
      <c r="N107" s="149">
        <f t="shared" si="54"/>
        <v>2030312.6460689115</v>
      </c>
      <c r="P107" s="149">
        <f t="shared" si="55"/>
        <v>0</v>
      </c>
      <c r="Q107" s="149">
        <f t="shared" si="56"/>
        <v>0</v>
      </c>
      <c r="R107" s="178">
        <f t="shared" si="57"/>
        <v>0</v>
      </c>
      <c r="S107" s="113">
        <f t="shared" si="58"/>
        <v>0</v>
      </c>
      <c r="T107" s="113">
        <f t="shared" si="43"/>
        <v>0</v>
      </c>
      <c r="U107" s="114">
        <f t="shared" si="59"/>
        <v>14.166666666666666</v>
      </c>
      <c r="V107" s="114">
        <f t="shared" si="60"/>
        <v>0</v>
      </c>
      <c r="W107" s="114">
        <f t="shared" si="61"/>
        <v>214.86111111111109</v>
      </c>
      <c r="X107" s="114"/>
      <c r="Y107" s="149">
        <f t="shared" si="62"/>
        <v>149577687.68880159</v>
      </c>
      <c r="Z107" s="149">
        <f t="shared" si="63"/>
        <v>736274.6158465523</v>
      </c>
      <c r="AA107" s="178">
        <f t="shared" si="64"/>
        <v>2754991.4518643869</v>
      </c>
      <c r="AB107" s="113">
        <f t="shared" si="65"/>
        <v>3491266.0677109393</v>
      </c>
      <c r="AC107" s="113">
        <f t="shared" si="44"/>
        <v>2320619.169752894</v>
      </c>
      <c r="AD107" s="114">
        <f t="shared" si="66"/>
        <v>14.166666666666666</v>
      </c>
      <c r="AE107" s="114">
        <f t="shared" si="67"/>
        <v>1.1587428903893861E-2</v>
      </c>
      <c r="AF107" s="114">
        <f t="shared" si="68"/>
        <v>214.86111111111109</v>
      </c>
      <c r="AG107" s="114"/>
      <c r="AH107" s="176">
        <f t="shared" si="69"/>
        <v>150658224.83244553</v>
      </c>
      <c r="AI107" s="176">
        <f t="shared" si="70"/>
        <v>724678.80579547537</v>
      </c>
      <c r="AJ107" s="178">
        <f t="shared" si="71"/>
        <v>-724678.80579547537</v>
      </c>
      <c r="AK107" s="113">
        <f t="shared" si="72"/>
        <v>0</v>
      </c>
      <c r="AL107" s="113">
        <f t="shared" si="45"/>
        <v>0</v>
      </c>
      <c r="AM107" s="114">
        <f t="shared" si="73"/>
        <v>14.166666666666666</v>
      </c>
      <c r="AN107" s="114">
        <f t="shared" si="74"/>
        <v>0</v>
      </c>
      <c r="AO107" s="114">
        <f t="shared" si="75"/>
        <v>214.86111111111109</v>
      </c>
    </row>
    <row r="108" spans="1:41" hidden="1" outlineLevel="1" x14ac:dyDescent="0.3">
      <c r="A108" s="146">
        <f t="shared" si="46"/>
        <v>86</v>
      </c>
      <c r="B108" s="147">
        <f t="shared" si="39"/>
        <v>199</v>
      </c>
      <c r="C108" s="147">
        <f t="shared" si="38"/>
        <v>161</v>
      </c>
      <c r="D108" s="149">
        <f t="shared" si="47"/>
        <v>298212370.54083842</v>
      </c>
      <c r="E108" s="149">
        <f t="shared" si="48"/>
        <v>2378284.174938113</v>
      </c>
      <c r="F108" s="149">
        <f t="shared" si="40"/>
        <v>1501179.5626062357</v>
      </c>
      <c r="G108" s="149">
        <f t="shared" si="41"/>
        <v>1451140.2438526945</v>
      </c>
      <c r="H108" s="149">
        <f t="shared" si="49"/>
        <v>50039.318753541214</v>
      </c>
      <c r="I108" s="149">
        <f t="shared" si="50"/>
        <v>877104.61233187723</v>
      </c>
      <c r="J108" s="147">
        <f t="shared" si="51"/>
        <v>4.4999999999999998E-2</v>
      </c>
      <c r="K108" s="175">
        <f t="shared" si="42"/>
        <v>3.8296430163020645E-3</v>
      </c>
      <c r="L108" s="149">
        <f t="shared" si="52"/>
        <v>1146437.3680768886</v>
      </c>
      <c r="M108" s="149">
        <f t="shared" si="53"/>
        <v>3474682.2242614608</v>
      </c>
      <c r="N108" s="149">
        <f t="shared" si="54"/>
        <v>2023541.9804087658</v>
      </c>
      <c r="P108" s="149">
        <f t="shared" si="55"/>
        <v>0</v>
      </c>
      <c r="Q108" s="149">
        <f t="shared" si="56"/>
        <v>0</v>
      </c>
      <c r="R108" s="178">
        <f t="shared" si="57"/>
        <v>0</v>
      </c>
      <c r="S108" s="113">
        <f t="shared" si="58"/>
        <v>0</v>
      </c>
      <c r="T108" s="113">
        <f t="shared" si="43"/>
        <v>0</v>
      </c>
      <c r="U108" s="114">
        <f t="shared" si="59"/>
        <v>14.333333333333334</v>
      </c>
      <c r="V108" s="114">
        <f t="shared" si="60"/>
        <v>0</v>
      </c>
      <c r="W108" s="114">
        <f t="shared" si="61"/>
        <v>219.7777777777778</v>
      </c>
      <c r="X108" s="114"/>
      <c r="Y108" s="149">
        <f t="shared" si="62"/>
        <v>146825964.28836933</v>
      </c>
      <c r="Z108" s="149">
        <f t="shared" si="63"/>
        <v>722958.82382920769</v>
      </c>
      <c r="AA108" s="178">
        <f t="shared" si="64"/>
        <v>2751723.4004322528</v>
      </c>
      <c r="AB108" s="113">
        <f t="shared" si="65"/>
        <v>3474682.2242614604</v>
      </c>
      <c r="AC108" s="113">
        <f t="shared" si="44"/>
        <v>2298524.8739098436</v>
      </c>
      <c r="AD108" s="114">
        <f t="shared" si="66"/>
        <v>14.333333333333334</v>
      </c>
      <c r="AE108" s="114">
        <f t="shared" si="67"/>
        <v>1.1477106587505255E-2</v>
      </c>
      <c r="AF108" s="114">
        <f t="shared" si="68"/>
        <v>219.7777777777778</v>
      </c>
      <c r="AG108" s="114"/>
      <c r="AH108" s="176">
        <f t="shared" si="69"/>
        <v>151386406.25246903</v>
      </c>
      <c r="AI108" s="176">
        <f t="shared" si="70"/>
        <v>728181.42002348683</v>
      </c>
      <c r="AJ108" s="178">
        <f t="shared" si="71"/>
        <v>-728181.42002348683</v>
      </c>
      <c r="AK108" s="113">
        <f t="shared" si="72"/>
        <v>0</v>
      </c>
      <c r="AL108" s="113">
        <f t="shared" si="45"/>
        <v>0</v>
      </c>
      <c r="AM108" s="114">
        <f t="shared" si="73"/>
        <v>14.333333333333334</v>
      </c>
      <c r="AN108" s="114">
        <f t="shared" si="74"/>
        <v>0</v>
      </c>
      <c r="AO108" s="114">
        <f t="shared" si="75"/>
        <v>219.7777777777778</v>
      </c>
    </row>
    <row r="109" spans="1:41" hidden="1" outlineLevel="1" x14ac:dyDescent="0.3">
      <c r="A109" s="146">
        <f t="shared" si="46"/>
        <v>87</v>
      </c>
      <c r="B109" s="147">
        <f t="shared" si="39"/>
        <v>198</v>
      </c>
      <c r="C109" s="147">
        <f t="shared" si="38"/>
        <v>162</v>
      </c>
      <c r="D109" s="149">
        <f t="shared" si="47"/>
        <v>296195572.14022982</v>
      </c>
      <c r="E109" s="149">
        <f t="shared" si="48"/>
        <v>2369176.1955567794</v>
      </c>
      <c r="F109" s="149">
        <f t="shared" si="40"/>
        <v>1491061.852704192</v>
      </c>
      <c r="G109" s="149">
        <f t="shared" si="41"/>
        <v>1441359.7909473858</v>
      </c>
      <c r="H109" s="149">
        <f t="shared" si="49"/>
        <v>49702.061756806215</v>
      </c>
      <c r="I109" s="149">
        <f t="shared" si="50"/>
        <v>878114.34285258735</v>
      </c>
      <c r="J109" s="147">
        <f t="shared" si="51"/>
        <v>4.4999999999999998E-2</v>
      </c>
      <c r="K109" s="175">
        <f t="shared" si="42"/>
        <v>3.8296430163020645E-3</v>
      </c>
      <c r="L109" s="149">
        <f t="shared" si="52"/>
        <v>1138684.0577559853</v>
      </c>
      <c r="M109" s="149">
        <f t="shared" si="53"/>
        <v>3458158.1915559582</v>
      </c>
      <c r="N109" s="149">
        <f t="shared" si="54"/>
        <v>2016798.4006085726</v>
      </c>
      <c r="P109" s="149">
        <f t="shared" si="55"/>
        <v>0</v>
      </c>
      <c r="Q109" s="149">
        <f t="shared" si="56"/>
        <v>0</v>
      </c>
      <c r="R109" s="178">
        <f t="shared" si="57"/>
        <v>0</v>
      </c>
      <c r="S109" s="113">
        <f t="shared" si="58"/>
        <v>0</v>
      </c>
      <c r="T109" s="113">
        <f t="shared" si="43"/>
        <v>0</v>
      </c>
      <c r="U109" s="114">
        <f t="shared" si="59"/>
        <v>14.5</v>
      </c>
      <c r="V109" s="114">
        <f t="shared" si="60"/>
        <v>0</v>
      </c>
      <c r="W109" s="114">
        <f t="shared" si="61"/>
        <v>224.75</v>
      </c>
      <c r="X109" s="114"/>
      <c r="Y109" s="149">
        <f t="shared" si="62"/>
        <v>144077464.92420715</v>
      </c>
      <c r="Z109" s="149">
        <f t="shared" si="63"/>
        <v>709658.82739378512</v>
      </c>
      <c r="AA109" s="178">
        <f t="shared" si="64"/>
        <v>2748499.3641621731</v>
      </c>
      <c r="AB109" s="113">
        <f t="shared" si="65"/>
        <v>3458158.1915559582</v>
      </c>
      <c r="AC109" s="113">
        <f t="shared" si="44"/>
        <v>2276628.4500910733</v>
      </c>
      <c r="AD109" s="114">
        <f t="shared" si="66"/>
        <v>14.5</v>
      </c>
      <c r="AE109" s="114">
        <f t="shared" si="67"/>
        <v>1.1367772295366082E-2</v>
      </c>
      <c r="AF109" s="114">
        <f t="shared" si="68"/>
        <v>224.75</v>
      </c>
      <c r="AG109" s="114"/>
      <c r="AH109" s="176">
        <f t="shared" si="69"/>
        <v>152118107.21602264</v>
      </c>
      <c r="AI109" s="176">
        <f t="shared" si="70"/>
        <v>731700.96355360036</v>
      </c>
      <c r="AJ109" s="178">
        <f t="shared" si="71"/>
        <v>-731700.96355360036</v>
      </c>
      <c r="AK109" s="113">
        <f t="shared" si="72"/>
        <v>0</v>
      </c>
      <c r="AL109" s="113">
        <f t="shared" si="45"/>
        <v>0</v>
      </c>
      <c r="AM109" s="114">
        <f t="shared" si="73"/>
        <v>14.5</v>
      </c>
      <c r="AN109" s="114">
        <f t="shared" si="74"/>
        <v>0</v>
      </c>
      <c r="AO109" s="114">
        <f t="shared" si="75"/>
        <v>224.75</v>
      </c>
    </row>
    <row r="110" spans="1:41" hidden="1" outlineLevel="1" x14ac:dyDescent="0.3">
      <c r="A110" s="146">
        <f t="shared" si="46"/>
        <v>88</v>
      </c>
      <c r="B110" s="147">
        <f t="shared" si="39"/>
        <v>197</v>
      </c>
      <c r="C110" s="147">
        <f t="shared" si="38"/>
        <v>163</v>
      </c>
      <c r="D110" s="149">
        <f t="shared" si="47"/>
        <v>294185490.33595914</v>
      </c>
      <c r="E110" s="149">
        <f t="shared" si="48"/>
        <v>2360103.0964850765</v>
      </c>
      <c r="F110" s="149">
        <f t="shared" si="40"/>
        <v>1480977.8607011491</v>
      </c>
      <c r="G110" s="149">
        <f t="shared" si="41"/>
        <v>1431611.9320111109</v>
      </c>
      <c r="H110" s="149">
        <f t="shared" si="49"/>
        <v>49365.928690038156</v>
      </c>
      <c r="I110" s="149">
        <f t="shared" si="50"/>
        <v>879125.23578392738</v>
      </c>
      <c r="J110" s="147">
        <f t="shared" si="51"/>
        <v>4.4999999999999998E-2</v>
      </c>
      <c r="K110" s="175">
        <f t="shared" si="42"/>
        <v>3.8296430163020645E-3</v>
      </c>
      <c r="L110" s="149">
        <f t="shared" si="52"/>
        <v>1130956.5684867506</v>
      </c>
      <c r="M110" s="149">
        <f t="shared" si="53"/>
        <v>3441693.7362817889</v>
      </c>
      <c r="N110" s="149">
        <f t="shared" si="54"/>
        <v>2010081.804270678</v>
      </c>
      <c r="P110" s="149">
        <f t="shared" si="55"/>
        <v>0</v>
      </c>
      <c r="Q110" s="149">
        <f t="shared" si="56"/>
        <v>0</v>
      </c>
      <c r="R110" s="178">
        <f t="shared" si="57"/>
        <v>0</v>
      </c>
      <c r="S110" s="113">
        <f t="shared" si="58"/>
        <v>0</v>
      </c>
      <c r="T110" s="113">
        <f t="shared" si="43"/>
        <v>0</v>
      </c>
      <c r="U110" s="114">
        <f t="shared" si="59"/>
        <v>14.666666666666666</v>
      </c>
      <c r="V110" s="114">
        <f t="shared" si="60"/>
        <v>0</v>
      </c>
      <c r="W110" s="114">
        <f t="shared" si="61"/>
        <v>229.77777777777777</v>
      </c>
      <c r="X110" s="114"/>
      <c r="Y110" s="149">
        <f t="shared" si="62"/>
        <v>141332145.6017257</v>
      </c>
      <c r="Z110" s="149">
        <f t="shared" si="63"/>
        <v>696374.41380033456</v>
      </c>
      <c r="AA110" s="178">
        <f t="shared" si="64"/>
        <v>2745319.3224814544</v>
      </c>
      <c r="AB110" s="113">
        <f t="shared" si="65"/>
        <v>3441693.7362817889</v>
      </c>
      <c r="AC110" s="113">
        <f t="shared" si="44"/>
        <v>2254928.1673555053</v>
      </c>
      <c r="AD110" s="114">
        <f t="shared" si="66"/>
        <v>14.666666666666666</v>
      </c>
      <c r="AE110" s="114">
        <f t="shared" si="67"/>
        <v>1.1259417384456868E-2</v>
      </c>
      <c r="AF110" s="114">
        <f t="shared" si="68"/>
        <v>229.77777777777777</v>
      </c>
      <c r="AG110" s="114"/>
      <c r="AH110" s="176">
        <f t="shared" si="69"/>
        <v>152853344.73423341</v>
      </c>
      <c r="AI110" s="176">
        <f t="shared" si="70"/>
        <v>735237.51821077615</v>
      </c>
      <c r="AJ110" s="178">
        <f t="shared" si="71"/>
        <v>-735237.51821077615</v>
      </c>
      <c r="AK110" s="113">
        <f t="shared" si="72"/>
        <v>0</v>
      </c>
      <c r="AL110" s="113">
        <f t="shared" si="45"/>
        <v>0</v>
      </c>
      <c r="AM110" s="114">
        <f t="shared" si="73"/>
        <v>14.666666666666666</v>
      </c>
      <c r="AN110" s="114">
        <f t="shared" si="74"/>
        <v>0</v>
      </c>
      <c r="AO110" s="114">
        <f t="shared" si="75"/>
        <v>229.77777777777777</v>
      </c>
    </row>
    <row r="111" spans="1:41" hidden="1" outlineLevel="1" x14ac:dyDescent="0.3">
      <c r="A111" s="146">
        <f t="shared" si="46"/>
        <v>89</v>
      </c>
      <c r="B111" s="147">
        <f t="shared" si="39"/>
        <v>196</v>
      </c>
      <c r="C111" s="147">
        <f t="shared" si="38"/>
        <v>164</v>
      </c>
      <c r="D111" s="149">
        <f t="shared" si="47"/>
        <v>292182098.24656802</v>
      </c>
      <c r="E111" s="149">
        <f t="shared" si="48"/>
        <v>2351064.7441438697</v>
      </c>
      <c r="F111" s="149">
        <f t="shared" si="40"/>
        <v>1470927.4516797957</v>
      </c>
      <c r="G111" s="149">
        <f t="shared" si="41"/>
        <v>1421896.5366238025</v>
      </c>
      <c r="H111" s="149">
        <f t="shared" si="49"/>
        <v>49030.915055993246</v>
      </c>
      <c r="I111" s="149">
        <f t="shared" si="50"/>
        <v>880137.29246407398</v>
      </c>
      <c r="J111" s="147">
        <f t="shared" si="51"/>
        <v>4.4999999999999998E-2</v>
      </c>
      <c r="K111" s="175">
        <f t="shared" si="42"/>
        <v>3.8296430163020645E-3</v>
      </c>
      <c r="L111" s="149">
        <f t="shared" si="52"/>
        <v>1123254.7969270323</v>
      </c>
      <c r="M111" s="149">
        <f t="shared" si="53"/>
        <v>3425288.6260149088</v>
      </c>
      <c r="N111" s="149">
        <f t="shared" si="54"/>
        <v>2003392.0893911063</v>
      </c>
      <c r="P111" s="149">
        <f t="shared" si="55"/>
        <v>0</v>
      </c>
      <c r="Q111" s="149">
        <f t="shared" si="56"/>
        <v>0</v>
      </c>
      <c r="R111" s="178">
        <f t="shared" si="57"/>
        <v>0</v>
      </c>
      <c r="S111" s="113">
        <f t="shared" si="58"/>
        <v>0</v>
      </c>
      <c r="T111" s="113">
        <f t="shared" si="43"/>
        <v>0</v>
      </c>
      <c r="U111" s="114">
        <f t="shared" si="59"/>
        <v>14.833333333333334</v>
      </c>
      <c r="V111" s="114">
        <f t="shared" si="60"/>
        <v>0</v>
      </c>
      <c r="W111" s="114">
        <f t="shared" si="61"/>
        <v>234.86111111111114</v>
      </c>
      <c r="X111" s="114"/>
      <c r="Y111" s="149">
        <f t="shared" si="62"/>
        <v>138589962.34611914</v>
      </c>
      <c r="Z111" s="149">
        <f t="shared" si="63"/>
        <v>683105.37040834094</v>
      </c>
      <c r="AA111" s="178">
        <f t="shared" si="64"/>
        <v>2742183.255606568</v>
      </c>
      <c r="AB111" s="113">
        <f t="shared" si="65"/>
        <v>3425288.6260149088</v>
      </c>
      <c r="AC111" s="113">
        <f t="shared" si="44"/>
        <v>2233422.3097596937</v>
      </c>
      <c r="AD111" s="114">
        <f t="shared" si="66"/>
        <v>14.833333333333334</v>
      </c>
      <c r="AE111" s="114">
        <f t="shared" si="67"/>
        <v>1.1152033286645047E-2</v>
      </c>
      <c r="AF111" s="114">
        <f t="shared" si="68"/>
        <v>234.86111111111114</v>
      </c>
      <c r="AG111" s="114"/>
      <c r="AH111" s="176">
        <f t="shared" si="69"/>
        <v>153592135.90044886</v>
      </c>
      <c r="AI111" s="176">
        <f t="shared" si="70"/>
        <v>738791.16621546156</v>
      </c>
      <c r="AJ111" s="178">
        <f t="shared" si="71"/>
        <v>-738791.16621546156</v>
      </c>
      <c r="AK111" s="113">
        <f t="shared" si="72"/>
        <v>0</v>
      </c>
      <c r="AL111" s="113">
        <f t="shared" si="45"/>
        <v>0</v>
      </c>
      <c r="AM111" s="114">
        <f t="shared" si="73"/>
        <v>14.833333333333334</v>
      </c>
      <c r="AN111" s="114">
        <f t="shared" si="74"/>
        <v>0</v>
      </c>
      <c r="AO111" s="114">
        <f t="shared" si="75"/>
        <v>234.86111111111114</v>
      </c>
    </row>
    <row r="112" spans="1:41" hidden="1" outlineLevel="1" x14ac:dyDescent="0.3">
      <c r="A112" s="146">
        <f t="shared" si="46"/>
        <v>90</v>
      </c>
      <c r="B112" s="147">
        <f t="shared" si="39"/>
        <v>195</v>
      </c>
      <c r="C112" s="147">
        <f t="shared" si="38"/>
        <v>165</v>
      </c>
      <c r="D112" s="149">
        <f t="shared" si="47"/>
        <v>290185369.09220994</v>
      </c>
      <c r="E112" s="149">
        <f t="shared" si="48"/>
        <v>2342061.0054655853</v>
      </c>
      <c r="F112" s="149">
        <f t="shared" si="40"/>
        <v>1460910.4912328401</v>
      </c>
      <c r="G112" s="149">
        <f t="shared" si="41"/>
        <v>1412213.4748584123</v>
      </c>
      <c r="H112" s="149">
        <f t="shared" si="49"/>
        <v>48697.016374427825</v>
      </c>
      <c r="I112" s="149">
        <f t="shared" si="50"/>
        <v>881150.51423274516</v>
      </c>
      <c r="J112" s="147">
        <f t="shared" si="51"/>
        <v>4.4999999999999998E-2</v>
      </c>
      <c r="K112" s="175">
        <f t="shared" si="42"/>
        <v>3.8296430163020645E-3</v>
      </c>
      <c r="L112" s="149">
        <f t="shared" si="52"/>
        <v>1115578.6401253105</v>
      </c>
      <c r="M112" s="149">
        <f t="shared" si="53"/>
        <v>3408942.629216468</v>
      </c>
      <c r="N112" s="149">
        <f t="shared" si="54"/>
        <v>1996729.1543580557</v>
      </c>
      <c r="P112" s="149">
        <f t="shared" si="55"/>
        <v>0</v>
      </c>
      <c r="Q112" s="149">
        <f t="shared" si="56"/>
        <v>0</v>
      </c>
      <c r="R112" s="178">
        <f t="shared" si="57"/>
        <v>0</v>
      </c>
      <c r="S112" s="113">
        <f t="shared" si="58"/>
        <v>0</v>
      </c>
      <c r="T112" s="113">
        <f t="shared" si="43"/>
        <v>0</v>
      </c>
      <c r="U112" s="114">
        <f t="shared" si="59"/>
        <v>15</v>
      </c>
      <c r="V112" s="114">
        <f t="shared" si="60"/>
        <v>0</v>
      </c>
      <c r="W112" s="114">
        <f t="shared" si="61"/>
        <v>240</v>
      </c>
      <c r="X112" s="114"/>
      <c r="Y112" s="149">
        <f t="shared" si="62"/>
        <v>135850871.20157558</v>
      </c>
      <c r="Z112" s="149">
        <f t="shared" si="63"/>
        <v>669851.48467290914</v>
      </c>
      <c r="AA112" s="178">
        <f t="shared" si="64"/>
        <v>2739091.1445435584</v>
      </c>
      <c r="AB112" s="113">
        <f t="shared" si="65"/>
        <v>3408942.6292164675</v>
      </c>
      <c r="AC112" s="113">
        <f t="shared" si="44"/>
        <v>2212109.1762283933</v>
      </c>
      <c r="AD112" s="114">
        <f t="shared" si="66"/>
        <v>15</v>
      </c>
      <c r="AE112" s="114">
        <f t="shared" si="67"/>
        <v>1.1045611508038677E-2</v>
      </c>
      <c r="AF112" s="114">
        <f t="shared" si="68"/>
        <v>240</v>
      </c>
      <c r="AG112" s="114"/>
      <c r="AH112" s="176">
        <f t="shared" si="69"/>
        <v>154334497.89063436</v>
      </c>
      <c r="AI112" s="176">
        <f t="shared" si="70"/>
        <v>742361.9901855028</v>
      </c>
      <c r="AJ112" s="178">
        <f t="shared" si="71"/>
        <v>-742361.9901855028</v>
      </c>
      <c r="AK112" s="113">
        <f t="shared" si="72"/>
        <v>0</v>
      </c>
      <c r="AL112" s="113">
        <f t="shared" si="45"/>
        <v>0</v>
      </c>
      <c r="AM112" s="114">
        <f t="shared" si="73"/>
        <v>15</v>
      </c>
      <c r="AN112" s="114">
        <f t="shared" si="74"/>
        <v>0</v>
      </c>
      <c r="AO112" s="114">
        <f t="shared" si="75"/>
        <v>240</v>
      </c>
    </row>
    <row r="113" spans="1:41" hidden="1" outlineLevel="1" x14ac:dyDescent="0.3">
      <c r="A113" s="146">
        <f t="shared" si="46"/>
        <v>91</v>
      </c>
      <c r="B113" s="147">
        <f t="shared" si="39"/>
        <v>194</v>
      </c>
      <c r="C113" s="147">
        <f t="shared" si="38"/>
        <v>166</v>
      </c>
      <c r="D113" s="149">
        <f t="shared" si="47"/>
        <v>288195276.19425952</v>
      </c>
      <c r="E113" s="149">
        <f t="shared" si="48"/>
        <v>2333091.7478922508</v>
      </c>
      <c r="F113" s="149">
        <f t="shared" si="40"/>
        <v>1450926.8454610498</v>
      </c>
      <c r="G113" s="149">
        <f t="shared" si="41"/>
        <v>1402562.6172790148</v>
      </c>
      <c r="H113" s="149">
        <f t="shared" si="49"/>
        <v>48364.228182035033</v>
      </c>
      <c r="I113" s="149">
        <f t="shared" si="50"/>
        <v>882164.90243120096</v>
      </c>
      <c r="J113" s="147">
        <f t="shared" si="51"/>
        <v>4.4999999999999998E-2</v>
      </c>
      <c r="K113" s="175">
        <f t="shared" si="42"/>
        <v>3.8296430163020645E-3</v>
      </c>
      <c r="L113" s="149">
        <f t="shared" si="52"/>
        <v>1107927.9955191964</v>
      </c>
      <c r="M113" s="149">
        <f t="shared" si="53"/>
        <v>3392655.5152294124</v>
      </c>
      <c r="N113" s="149">
        <f t="shared" si="54"/>
        <v>1990092.8979503973</v>
      </c>
      <c r="P113" s="149">
        <f t="shared" si="55"/>
        <v>0</v>
      </c>
      <c r="Q113" s="149">
        <f t="shared" si="56"/>
        <v>0</v>
      </c>
      <c r="R113" s="178">
        <f t="shared" si="57"/>
        <v>0</v>
      </c>
      <c r="S113" s="113">
        <f t="shared" si="58"/>
        <v>0</v>
      </c>
      <c r="T113" s="113">
        <f t="shared" si="43"/>
        <v>0</v>
      </c>
      <c r="U113" s="114">
        <f t="shared" si="59"/>
        <v>15.166666666666666</v>
      </c>
      <c r="V113" s="114">
        <f t="shared" si="60"/>
        <v>0</v>
      </c>
      <c r="W113" s="114">
        <f t="shared" si="61"/>
        <v>245.1944444444444</v>
      </c>
      <c r="X113" s="114"/>
      <c r="Y113" s="149">
        <f t="shared" si="62"/>
        <v>133114828.23048711</v>
      </c>
      <c r="Z113" s="149">
        <f t="shared" si="63"/>
        <v>656612.54414094868</v>
      </c>
      <c r="AA113" s="178">
        <f t="shared" si="64"/>
        <v>2736042.9710884634</v>
      </c>
      <c r="AB113" s="113">
        <f t="shared" si="65"/>
        <v>3392655.5152294124</v>
      </c>
      <c r="AC113" s="113">
        <f t="shared" si="44"/>
        <v>2190987.0804262464</v>
      </c>
      <c r="AD113" s="114">
        <f t="shared" si="66"/>
        <v>15.166666666666666</v>
      </c>
      <c r="AE113" s="114">
        <f t="shared" si="67"/>
        <v>1.0940143628345743E-2</v>
      </c>
      <c r="AF113" s="114">
        <f t="shared" si="68"/>
        <v>245.1944444444444</v>
      </c>
      <c r="AG113" s="114"/>
      <c r="AH113" s="176">
        <f t="shared" si="69"/>
        <v>155080447.96377242</v>
      </c>
      <c r="AI113" s="176">
        <f t="shared" si="70"/>
        <v>745950.0731380661</v>
      </c>
      <c r="AJ113" s="178">
        <f t="shared" si="71"/>
        <v>-745950.0731380661</v>
      </c>
      <c r="AK113" s="113">
        <f t="shared" si="72"/>
        <v>0</v>
      </c>
      <c r="AL113" s="113">
        <f t="shared" si="45"/>
        <v>0</v>
      </c>
      <c r="AM113" s="114">
        <f t="shared" si="73"/>
        <v>15.166666666666666</v>
      </c>
      <c r="AN113" s="114">
        <f t="shared" si="74"/>
        <v>0</v>
      </c>
      <c r="AO113" s="114">
        <f t="shared" si="75"/>
        <v>245.1944444444444</v>
      </c>
    </row>
    <row r="114" spans="1:41" hidden="1" outlineLevel="1" x14ac:dyDescent="0.3">
      <c r="A114" s="146">
        <f t="shared" si="46"/>
        <v>92</v>
      </c>
      <c r="B114" s="147">
        <f t="shared" si="39"/>
        <v>193</v>
      </c>
      <c r="C114" s="147">
        <f t="shared" si="38"/>
        <v>167</v>
      </c>
      <c r="D114" s="149">
        <f t="shared" si="47"/>
        <v>286211792.97492337</v>
      </c>
      <c r="E114" s="149">
        <f t="shared" si="48"/>
        <v>2324156.8393735434</v>
      </c>
      <c r="F114" s="149">
        <f t="shared" si="40"/>
        <v>1440976.3809712976</v>
      </c>
      <c r="G114" s="149">
        <f t="shared" si="41"/>
        <v>1392943.834938921</v>
      </c>
      <c r="H114" s="149">
        <f t="shared" si="49"/>
        <v>48032.546032376587</v>
      </c>
      <c r="I114" s="149">
        <f t="shared" si="50"/>
        <v>883180.45840224577</v>
      </c>
      <c r="J114" s="147">
        <f t="shared" si="51"/>
        <v>4.4999999999999998E-2</v>
      </c>
      <c r="K114" s="175">
        <f t="shared" si="42"/>
        <v>3.8296430163020645E-3</v>
      </c>
      <c r="L114" s="149">
        <f t="shared" si="52"/>
        <v>1100302.7609339361</v>
      </c>
      <c r="M114" s="149">
        <f t="shared" si="53"/>
        <v>3376427.0542751029</v>
      </c>
      <c r="N114" s="149">
        <f t="shared" si="54"/>
        <v>1983483.2193361819</v>
      </c>
      <c r="P114" s="149">
        <f t="shared" si="55"/>
        <v>0</v>
      </c>
      <c r="Q114" s="149">
        <f t="shared" si="56"/>
        <v>0</v>
      </c>
      <c r="R114" s="178">
        <f t="shared" si="57"/>
        <v>0</v>
      </c>
      <c r="S114" s="113">
        <f t="shared" si="58"/>
        <v>0</v>
      </c>
      <c r="T114" s="113">
        <f t="shared" si="43"/>
        <v>0</v>
      </c>
      <c r="U114" s="114">
        <f t="shared" si="59"/>
        <v>15.333333333333334</v>
      </c>
      <c r="V114" s="114">
        <f t="shared" si="60"/>
        <v>0</v>
      </c>
      <c r="W114" s="114">
        <f t="shared" si="61"/>
        <v>250.44444444444449</v>
      </c>
      <c r="X114" s="114"/>
      <c r="Y114" s="149">
        <f t="shared" si="62"/>
        <v>130381789.51265936</v>
      </c>
      <c r="Z114" s="149">
        <f t="shared" si="63"/>
        <v>643388.33644735441</v>
      </c>
      <c r="AA114" s="178">
        <f t="shared" si="64"/>
        <v>2733038.7178277485</v>
      </c>
      <c r="AB114" s="113">
        <f t="shared" si="65"/>
        <v>3376427.0542751029</v>
      </c>
      <c r="AC114" s="113">
        <f t="shared" si="44"/>
        <v>2170054.3506305777</v>
      </c>
      <c r="AD114" s="114">
        <f t="shared" si="66"/>
        <v>15.333333333333334</v>
      </c>
      <c r="AE114" s="114">
        <f t="shared" si="67"/>
        <v>1.083562130023899E-2</v>
      </c>
      <c r="AF114" s="114">
        <f t="shared" si="68"/>
        <v>250.44444444444449</v>
      </c>
      <c r="AG114" s="114"/>
      <c r="AH114" s="176">
        <f t="shared" si="69"/>
        <v>155830003.46226397</v>
      </c>
      <c r="AI114" s="176">
        <f t="shared" si="70"/>
        <v>749555.49849156674</v>
      </c>
      <c r="AJ114" s="178">
        <f t="shared" si="71"/>
        <v>-749555.49849156674</v>
      </c>
      <c r="AK114" s="113">
        <f t="shared" si="72"/>
        <v>0</v>
      </c>
      <c r="AL114" s="113">
        <f t="shared" si="45"/>
        <v>0</v>
      </c>
      <c r="AM114" s="114">
        <f t="shared" si="73"/>
        <v>15.333333333333334</v>
      </c>
      <c r="AN114" s="114">
        <f t="shared" si="74"/>
        <v>0</v>
      </c>
      <c r="AO114" s="114">
        <f t="shared" si="75"/>
        <v>250.44444444444449</v>
      </c>
    </row>
    <row r="115" spans="1:41" hidden="1" outlineLevel="1" x14ac:dyDescent="0.3">
      <c r="A115" s="146">
        <f t="shared" si="46"/>
        <v>93</v>
      </c>
      <c r="B115" s="147">
        <f t="shared" si="39"/>
        <v>192</v>
      </c>
      <c r="C115" s="147">
        <f t="shared" si="38"/>
        <v>168</v>
      </c>
      <c r="D115" s="149">
        <f t="shared" si="47"/>
        <v>284234892.95685226</v>
      </c>
      <c r="E115" s="149">
        <f t="shared" si="48"/>
        <v>2315256.1483648457</v>
      </c>
      <c r="F115" s="149">
        <f t="shared" si="40"/>
        <v>1431058.9648746168</v>
      </c>
      <c r="G115" s="149">
        <f t="shared" si="41"/>
        <v>1383356.9993787964</v>
      </c>
      <c r="H115" s="149">
        <f t="shared" si="49"/>
        <v>47701.96549582039</v>
      </c>
      <c r="I115" s="149">
        <f t="shared" si="50"/>
        <v>884197.18349022884</v>
      </c>
      <c r="J115" s="147">
        <f t="shared" si="51"/>
        <v>4.4999999999999998E-2</v>
      </c>
      <c r="K115" s="175">
        <f t="shared" si="42"/>
        <v>3.8296430163020645E-3</v>
      </c>
      <c r="L115" s="149">
        <f t="shared" si="52"/>
        <v>1092702.8345809204</v>
      </c>
      <c r="M115" s="149">
        <f t="shared" si="53"/>
        <v>3360257.0174499461</v>
      </c>
      <c r="N115" s="149">
        <f t="shared" si="54"/>
        <v>1976900.0180711492</v>
      </c>
      <c r="P115" s="149">
        <f t="shared" si="55"/>
        <v>0</v>
      </c>
      <c r="Q115" s="149">
        <f t="shared" si="56"/>
        <v>0</v>
      </c>
      <c r="R115" s="178">
        <f t="shared" si="57"/>
        <v>0</v>
      </c>
      <c r="S115" s="113">
        <f t="shared" si="58"/>
        <v>0</v>
      </c>
      <c r="T115" s="113">
        <f t="shared" si="43"/>
        <v>0</v>
      </c>
      <c r="U115" s="114">
        <f t="shared" si="59"/>
        <v>15.5</v>
      </c>
      <c r="V115" s="114">
        <f t="shared" si="60"/>
        <v>0</v>
      </c>
      <c r="W115" s="114">
        <f t="shared" si="61"/>
        <v>255.75</v>
      </c>
      <c r="X115" s="114"/>
      <c r="Y115" s="149">
        <f t="shared" si="62"/>
        <v>127651711.1445206</v>
      </c>
      <c r="Z115" s="149">
        <f t="shared" si="63"/>
        <v>630178.64931118686</v>
      </c>
      <c r="AA115" s="178">
        <f t="shared" si="64"/>
        <v>2730078.3681387585</v>
      </c>
      <c r="AB115" s="113">
        <f t="shared" si="65"/>
        <v>3360257.0174499452</v>
      </c>
      <c r="AC115" s="113">
        <f t="shared" si="44"/>
        <v>2149309.3296052767</v>
      </c>
      <c r="AD115" s="114">
        <f t="shared" si="66"/>
        <v>15.5</v>
      </c>
      <c r="AE115" s="114">
        <f t="shared" si="67"/>
        <v>1.0732036248726186E-2</v>
      </c>
      <c r="AF115" s="114">
        <f t="shared" si="68"/>
        <v>255.75</v>
      </c>
      <c r="AG115" s="114"/>
      <c r="AH115" s="176">
        <f t="shared" si="69"/>
        <v>156583181.81233159</v>
      </c>
      <c r="AI115" s="176">
        <f t="shared" si="70"/>
        <v>753178.35006760922</v>
      </c>
      <c r="AJ115" s="178">
        <f t="shared" si="71"/>
        <v>-753178.35006760922</v>
      </c>
      <c r="AK115" s="113">
        <f t="shared" si="72"/>
        <v>0</v>
      </c>
      <c r="AL115" s="113">
        <f t="shared" si="45"/>
        <v>0</v>
      </c>
      <c r="AM115" s="114">
        <f t="shared" si="73"/>
        <v>15.5</v>
      </c>
      <c r="AN115" s="114">
        <f t="shared" si="74"/>
        <v>0</v>
      </c>
      <c r="AO115" s="114">
        <f t="shared" si="75"/>
        <v>255.75</v>
      </c>
    </row>
    <row r="116" spans="1:41" hidden="1" outlineLevel="1" x14ac:dyDescent="0.3">
      <c r="A116" s="146">
        <f t="shared" si="46"/>
        <v>94</v>
      </c>
      <c r="B116" s="147">
        <f t="shared" si="39"/>
        <v>191</v>
      </c>
      <c r="C116" s="147">
        <f t="shared" si="38"/>
        <v>169</v>
      </c>
      <c r="D116" s="149">
        <f t="shared" si="47"/>
        <v>282264549.76275498</v>
      </c>
      <c r="E116" s="149">
        <f t="shared" si="48"/>
        <v>2306389.5438253097</v>
      </c>
      <c r="F116" s="149">
        <f t="shared" si="40"/>
        <v>1421174.4647842613</v>
      </c>
      <c r="G116" s="149">
        <f t="shared" si="41"/>
        <v>1373801.982624786</v>
      </c>
      <c r="H116" s="149">
        <f t="shared" si="49"/>
        <v>47372.48215947533</v>
      </c>
      <c r="I116" s="149">
        <f t="shared" si="50"/>
        <v>885215.07904104842</v>
      </c>
      <c r="J116" s="147">
        <f t="shared" si="51"/>
        <v>4.4999999999999998E-2</v>
      </c>
      <c r="K116" s="175">
        <f t="shared" si="42"/>
        <v>3.8296430163020645E-3</v>
      </c>
      <c r="L116" s="149">
        <f t="shared" si="52"/>
        <v>1085128.1150561993</v>
      </c>
      <c r="M116" s="149">
        <f t="shared" si="53"/>
        <v>3344145.1767220339</v>
      </c>
      <c r="N116" s="149">
        <f t="shared" si="54"/>
        <v>1970343.1940972477</v>
      </c>
      <c r="P116" s="149">
        <f t="shared" si="55"/>
        <v>0</v>
      </c>
      <c r="Q116" s="149">
        <f t="shared" si="56"/>
        <v>0</v>
      </c>
      <c r="R116" s="178">
        <f t="shared" si="57"/>
        <v>0</v>
      </c>
      <c r="S116" s="113">
        <f t="shared" si="58"/>
        <v>0</v>
      </c>
      <c r="T116" s="113">
        <f t="shared" si="43"/>
        <v>0</v>
      </c>
      <c r="U116" s="114">
        <f t="shared" si="59"/>
        <v>15.666666666666666</v>
      </c>
      <c r="V116" s="114">
        <f t="shared" si="60"/>
        <v>0</v>
      </c>
      <c r="W116" s="114">
        <f t="shared" si="61"/>
        <v>261.11111111111109</v>
      </c>
      <c r="X116" s="114"/>
      <c r="Y116" s="149">
        <f t="shared" si="62"/>
        <v>124924549.23833041</v>
      </c>
      <c r="Z116" s="149">
        <f t="shared" si="63"/>
        <v>616983.27053184959</v>
      </c>
      <c r="AA116" s="178">
        <f t="shared" si="64"/>
        <v>2727161.9061901839</v>
      </c>
      <c r="AB116" s="113">
        <f t="shared" si="65"/>
        <v>3344145.1767220334</v>
      </c>
      <c r="AC116" s="113">
        <f t="shared" si="44"/>
        <v>2128750.374475779</v>
      </c>
      <c r="AD116" s="114">
        <f t="shared" si="66"/>
        <v>15.666666666666666</v>
      </c>
      <c r="AE116" s="114">
        <f t="shared" si="67"/>
        <v>1.0629380270525865E-2</v>
      </c>
      <c r="AF116" s="114">
        <f t="shared" si="68"/>
        <v>261.11111111111109</v>
      </c>
      <c r="AG116" s="114"/>
      <c r="AH116" s="176">
        <f t="shared" si="69"/>
        <v>157340000.52442452</v>
      </c>
      <c r="AI116" s="176">
        <f t="shared" si="70"/>
        <v>756818.71209293604</v>
      </c>
      <c r="AJ116" s="178">
        <f t="shared" si="71"/>
        <v>-756818.71209293604</v>
      </c>
      <c r="AK116" s="113">
        <f t="shared" si="72"/>
        <v>0</v>
      </c>
      <c r="AL116" s="113">
        <f t="shared" si="45"/>
        <v>0</v>
      </c>
      <c r="AM116" s="114">
        <f t="shared" si="73"/>
        <v>15.666666666666666</v>
      </c>
      <c r="AN116" s="114">
        <f t="shared" si="74"/>
        <v>0</v>
      </c>
      <c r="AO116" s="114">
        <f t="shared" si="75"/>
        <v>261.11111111111109</v>
      </c>
    </row>
    <row r="117" spans="1:41" hidden="1" outlineLevel="1" x14ac:dyDescent="0.3">
      <c r="A117" s="146">
        <f t="shared" si="46"/>
        <v>95</v>
      </c>
      <c r="B117" s="147">
        <f t="shared" si="39"/>
        <v>190</v>
      </c>
      <c r="C117" s="147">
        <f t="shared" si="38"/>
        <v>170</v>
      </c>
      <c r="D117" s="149">
        <f t="shared" si="47"/>
        <v>280300737.11501378</v>
      </c>
      <c r="E117" s="149">
        <f t="shared" si="48"/>
        <v>2297556.8952159272</v>
      </c>
      <c r="F117" s="149">
        <f t="shared" si="40"/>
        <v>1411322.7488137749</v>
      </c>
      <c r="G117" s="149">
        <f t="shared" si="41"/>
        <v>1364278.657186649</v>
      </c>
      <c r="H117" s="149">
        <f t="shared" si="49"/>
        <v>47044.091627125861</v>
      </c>
      <c r="I117" s="149">
        <f t="shared" si="50"/>
        <v>886234.14640215226</v>
      </c>
      <c r="J117" s="147">
        <f t="shared" si="51"/>
        <v>4.4999999999999998E-2</v>
      </c>
      <c r="K117" s="175">
        <f t="shared" si="42"/>
        <v>3.8296430163020645E-3</v>
      </c>
      <c r="L117" s="149">
        <f t="shared" si="52"/>
        <v>1077578.5013390037</v>
      </c>
      <c r="M117" s="149">
        <f t="shared" si="53"/>
        <v>3328091.3049278045</v>
      </c>
      <c r="N117" s="149">
        <f t="shared" si="54"/>
        <v>1963812.6477411559</v>
      </c>
      <c r="P117" s="149">
        <f t="shared" si="55"/>
        <v>0</v>
      </c>
      <c r="Q117" s="149">
        <f t="shared" si="56"/>
        <v>0</v>
      </c>
      <c r="R117" s="178">
        <f t="shared" si="57"/>
        <v>0</v>
      </c>
      <c r="S117" s="113">
        <f t="shared" si="58"/>
        <v>0</v>
      </c>
      <c r="T117" s="113">
        <f t="shared" si="43"/>
        <v>0</v>
      </c>
      <c r="U117" s="114">
        <f t="shared" si="59"/>
        <v>15.833333333333334</v>
      </c>
      <c r="V117" s="114">
        <f t="shared" si="60"/>
        <v>0</v>
      </c>
      <c r="W117" s="114">
        <f t="shared" si="61"/>
        <v>266.52777777777783</v>
      </c>
      <c r="X117" s="114"/>
      <c r="Y117" s="149">
        <f t="shared" si="62"/>
        <v>122200259.92138787</v>
      </c>
      <c r="Z117" s="149">
        <f t="shared" si="63"/>
        <v>603801.9879852637</v>
      </c>
      <c r="AA117" s="178">
        <f t="shared" si="64"/>
        <v>2724289.3169425409</v>
      </c>
      <c r="AB117" s="113">
        <f t="shared" si="65"/>
        <v>3328091.3049278045</v>
      </c>
      <c r="AC117" s="113">
        <f t="shared" si="44"/>
        <v>2108375.8566051149</v>
      </c>
      <c r="AD117" s="114">
        <f t="shared" si="66"/>
        <v>15.833333333333334</v>
      </c>
      <c r="AE117" s="114">
        <f t="shared" si="67"/>
        <v>1.0527645233448422E-2</v>
      </c>
      <c r="AF117" s="114">
        <f t="shared" si="68"/>
        <v>266.52777777777783</v>
      </c>
      <c r="AG117" s="114"/>
      <c r="AH117" s="176">
        <f t="shared" si="69"/>
        <v>158100477.1936259</v>
      </c>
      <c r="AI117" s="176">
        <f t="shared" si="70"/>
        <v>760476.66920138523</v>
      </c>
      <c r="AJ117" s="178">
        <f t="shared" si="71"/>
        <v>-760476.66920138523</v>
      </c>
      <c r="AK117" s="113">
        <f t="shared" si="72"/>
        <v>0</v>
      </c>
      <c r="AL117" s="113">
        <f t="shared" si="45"/>
        <v>0</v>
      </c>
      <c r="AM117" s="114">
        <f t="shared" si="73"/>
        <v>15.833333333333334</v>
      </c>
      <c r="AN117" s="114">
        <f t="shared" si="74"/>
        <v>0</v>
      </c>
      <c r="AO117" s="114">
        <f t="shared" si="75"/>
        <v>266.52777777777783</v>
      </c>
    </row>
    <row r="118" spans="1:41" hidden="1" outlineLevel="1" x14ac:dyDescent="0.3">
      <c r="A118" s="146">
        <f t="shared" si="46"/>
        <v>96</v>
      </c>
      <c r="B118" s="147">
        <f t="shared" si="39"/>
        <v>189</v>
      </c>
      <c r="C118" s="147">
        <f t="shared" si="38"/>
        <v>171</v>
      </c>
      <c r="D118" s="149">
        <f t="shared" si="47"/>
        <v>278343428.83530098</v>
      </c>
      <c r="E118" s="149">
        <f t="shared" si="48"/>
        <v>2288758.0724976067</v>
      </c>
      <c r="F118" s="149">
        <f t="shared" si="40"/>
        <v>1401503.6855750689</v>
      </c>
      <c r="G118" s="149">
        <f t="shared" si="41"/>
        <v>1354786.8960559</v>
      </c>
      <c r="H118" s="149">
        <f t="shared" si="49"/>
        <v>46716.789519168902</v>
      </c>
      <c r="I118" s="149">
        <f t="shared" si="50"/>
        <v>887254.38692253781</v>
      </c>
      <c r="J118" s="147">
        <f t="shared" si="51"/>
        <v>4.4999999999999998E-2</v>
      </c>
      <c r="K118" s="175">
        <f t="shared" si="42"/>
        <v>3.8296430163020645E-3</v>
      </c>
      <c r="L118" s="149">
        <f t="shared" si="52"/>
        <v>1070053.8927902721</v>
      </c>
      <c r="M118" s="149">
        <f t="shared" si="53"/>
        <v>3312095.1757687097</v>
      </c>
      <c r="N118" s="149">
        <f t="shared" si="54"/>
        <v>1957308.2797128099</v>
      </c>
      <c r="P118" s="149">
        <f t="shared" si="55"/>
        <v>0</v>
      </c>
      <c r="Q118" s="149">
        <f t="shared" si="56"/>
        <v>0</v>
      </c>
      <c r="R118" s="178">
        <f t="shared" si="57"/>
        <v>0</v>
      </c>
      <c r="S118" s="113">
        <f t="shared" si="58"/>
        <v>0</v>
      </c>
      <c r="T118" s="113">
        <f t="shared" si="43"/>
        <v>0</v>
      </c>
      <c r="U118" s="114">
        <f t="shared" si="59"/>
        <v>16</v>
      </c>
      <c r="V118" s="114">
        <f t="shared" si="60"/>
        <v>0</v>
      </c>
      <c r="W118" s="114">
        <f t="shared" si="61"/>
        <v>272</v>
      </c>
      <c r="X118" s="114"/>
      <c r="Y118" s="149">
        <f t="shared" si="62"/>
        <v>119478799.3352392</v>
      </c>
      <c r="Z118" s="149">
        <f t="shared" si="63"/>
        <v>590634.58962004143</v>
      </c>
      <c r="AA118" s="178">
        <f t="shared" si="64"/>
        <v>2721460.5861486685</v>
      </c>
      <c r="AB118" s="113">
        <f t="shared" si="65"/>
        <v>3312095.1757687097</v>
      </c>
      <c r="AC118" s="113">
        <f t="shared" si="44"/>
        <v>2088184.1614710276</v>
      </c>
      <c r="AD118" s="114">
        <f t="shared" si="66"/>
        <v>16</v>
      </c>
      <c r="AE118" s="114">
        <f t="shared" si="67"/>
        <v>1.0426823075782523E-2</v>
      </c>
      <c r="AF118" s="114">
        <f t="shared" si="68"/>
        <v>272</v>
      </c>
      <c r="AG118" s="114"/>
      <c r="AH118" s="176">
        <f t="shared" si="69"/>
        <v>158864629.50006175</v>
      </c>
      <c r="AI118" s="176">
        <f t="shared" si="70"/>
        <v>764152.3064358586</v>
      </c>
      <c r="AJ118" s="178">
        <f t="shared" si="71"/>
        <v>-764152.3064358586</v>
      </c>
      <c r="AK118" s="113">
        <f t="shared" si="72"/>
        <v>0</v>
      </c>
      <c r="AL118" s="113">
        <f t="shared" si="45"/>
        <v>0</v>
      </c>
      <c r="AM118" s="114">
        <f t="shared" si="73"/>
        <v>16</v>
      </c>
      <c r="AN118" s="114">
        <f t="shared" si="74"/>
        <v>0</v>
      </c>
      <c r="AO118" s="114">
        <f t="shared" si="75"/>
        <v>272</v>
      </c>
    </row>
    <row r="119" spans="1:41" hidden="1" outlineLevel="1" x14ac:dyDescent="0.3">
      <c r="A119" s="146">
        <f t="shared" si="46"/>
        <v>97</v>
      </c>
      <c r="B119" s="147">
        <f t="shared" si="39"/>
        <v>188</v>
      </c>
      <c r="C119" s="147">
        <f t="shared" si="38"/>
        <v>172</v>
      </c>
      <c r="D119" s="149">
        <f t="shared" si="47"/>
        <v>276392598.84419703</v>
      </c>
      <c r="E119" s="149">
        <f t="shared" si="48"/>
        <v>2279992.9461292615</v>
      </c>
      <c r="F119" s="149">
        <f t="shared" si="40"/>
        <v>1391717.144176505</v>
      </c>
      <c r="G119" s="149">
        <f t="shared" si="41"/>
        <v>1345326.5727039548</v>
      </c>
      <c r="H119" s="149">
        <f t="shared" si="49"/>
        <v>46390.571472550277</v>
      </c>
      <c r="I119" s="149">
        <f t="shared" si="50"/>
        <v>888275.80195275648</v>
      </c>
      <c r="J119" s="147">
        <f t="shared" si="51"/>
        <v>4.4999999999999998E-2</v>
      </c>
      <c r="K119" s="175">
        <f t="shared" si="42"/>
        <v>3.8296430163020645E-3</v>
      </c>
      <c r="L119" s="149">
        <f t="shared" si="52"/>
        <v>1062554.1891511825</v>
      </c>
      <c r="M119" s="149">
        <f t="shared" si="53"/>
        <v>3296156.5638078935</v>
      </c>
      <c r="N119" s="149">
        <f t="shared" si="54"/>
        <v>1950829.991103939</v>
      </c>
      <c r="P119" s="149">
        <f t="shared" si="55"/>
        <v>0</v>
      </c>
      <c r="Q119" s="149">
        <f t="shared" si="56"/>
        <v>0</v>
      </c>
      <c r="R119" s="178">
        <f t="shared" si="57"/>
        <v>0</v>
      </c>
      <c r="S119" s="113">
        <f t="shared" si="58"/>
        <v>0</v>
      </c>
      <c r="T119" s="113">
        <f t="shared" si="43"/>
        <v>0</v>
      </c>
      <c r="U119" s="114">
        <f t="shared" si="59"/>
        <v>16.166666666666668</v>
      </c>
      <c r="V119" s="114">
        <f t="shared" si="60"/>
        <v>0</v>
      </c>
      <c r="W119" s="114">
        <f t="shared" si="61"/>
        <v>277.52777777777783</v>
      </c>
      <c r="X119" s="114"/>
      <c r="Y119" s="149">
        <f t="shared" si="62"/>
        <v>116760123.63488497</v>
      </c>
      <c r="Z119" s="149">
        <f t="shared" si="63"/>
        <v>577480.8634536562</v>
      </c>
      <c r="AA119" s="178">
        <f t="shared" si="64"/>
        <v>2718675.7003542376</v>
      </c>
      <c r="AB119" s="113">
        <f t="shared" si="65"/>
        <v>3296156.5638078935</v>
      </c>
      <c r="AC119" s="113">
        <f t="shared" si="44"/>
        <v>2068173.6885441556</v>
      </c>
      <c r="AD119" s="114">
        <f t="shared" si="66"/>
        <v>16.166666666666668</v>
      </c>
      <c r="AE119" s="114">
        <f t="shared" si="67"/>
        <v>1.0326905805686837E-2</v>
      </c>
      <c r="AF119" s="114">
        <f t="shared" si="68"/>
        <v>277.52777777777783</v>
      </c>
      <c r="AG119" s="114"/>
      <c r="AH119" s="176">
        <f t="shared" si="69"/>
        <v>159632475.20931205</v>
      </c>
      <c r="AI119" s="176">
        <f t="shared" si="70"/>
        <v>767845.70925029845</v>
      </c>
      <c r="AJ119" s="178">
        <f t="shared" si="71"/>
        <v>-767845.70925029845</v>
      </c>
      <c r="AK119" s="113">
        <f t="shared" si="72"/>
        <v>0</v>
      </c>
      <c r="AL119" s="113">
        <f t="shared" si="45"/>
        <v>0</v>
      </c>
      <c r="AM119" s="114">
        <f t="shared" si="73"/>
        <v>16.166666666666668</v>
      </c>
      <c r="AN119" s="114">
        <f t="shared" si="74"/>
        <v>0</v>
      </c>
      <c r="AO119" s="114">
        <f t="shared" si="75"/>
        <v>277.52777777777783</v>
      </c>
    </row>
    <row r="120" spans="1:41" hidden="1" outlineLevel="1" x14ac:dyDescent="0.3">
      <c r="A120" s="146">
        <f t="shared" si="46"/>
        <v>98</v>
      </c>
      <c r="B120" s="147">
        <f t="shared" si="39"/>
        <v>187</v>
      </c>
      <c r="C120" s="147">
        <f t="shared" si="38"/>
        <v>173</v>
      </c>
      <c r="D120" s="149">
        <f t="shared" si="47"/>
        <v>274448221.16081041</v>
      </c>
      <c r="E120" s="149">
        <f t="shared" si="48"/>
        <v>2271261.3870658996</v>
      </c>
      <c r="F120" s="149">
        <f t="shared" si="40"/>
        <v>1381962.9942209851</v>
      </c>
      <c r="G120" s="149">
        <f t="shared" si="41"/>
        <v>1335897.5610802858</v>
      </c>
      <c r="H120" s="149">
        <f t="shared" si="49"/>
        <v>46065.433140699286</v>
      </c>
      <c r="I120" s="149">
        <f t="shared" si="50"/>
        <v>889298.39284491446</v>
      </c>
      <c r="J120" s="147">
        <f t="shared" si="51"/>
        <v>4.4999999999999998E-2</v>
      </c>
      <c r="K120" s="175">
        <f t="shared" si="42"/>
        <v>3.8296430163020645E-3</v>
      </c>
      <c r="L120" s="149">
        <f t="shared" si="52"/>
        <v>1055079.2905416901</v>
      </c>
      <c r="M120" s="149">
        <f t="shared" si="53"/>
        <v>3280275.2444668906</v>
      </c>
      <c r="N120" s="149">
        <f t="shared" si="54"/>
        <v>1944377.6833866045</v>
      </c>
      <c r="P120" s="149">
        <f t="shared" si="55"/>
        <v>0</v>
      </c>
      <c r="Q120" s="149">
        <f t="shared" si="56"/>
        <v>0</v>
      </c>
      <c r="R120" s="178">
        <f t="shared" si="57"/>
        <v>0</v>
      </c>
      <c r="S120" s="113">
        <f t="shared" si="58"/>
        <v>0</v>
      </c>
      <c r="T120" s="113">
        <f t="shared" si="43"/>
        <v>0</v>
      </c>
      <c r="U120" s="114">
        <f t="shared" si="59"/>
        <v>16.333333333333332</v>
      </c>
      <c r="V120" s="114">
        <f t="shared" si="60"/>
        <v>0</v>
      </c>
      <c r="W120" s="114">
        <f t="shared" si="61"/>
        <v>283.11111111111109</v>
      </c>
      <c r="X120" s="114"/>
      <c r="Y120" s="149">
        <f t="shared" si="62"/>
        <v>114044188.98798668</v>
      </c>
      <c r="Z120" s="149">
        <f t="shared" si="63"/>
        <v>564340.59756861068</v>
      </c>
      <c r="AA120" s="178">
        <f t="shared" si="64"/>
        <v>2715934.6468982794</v>
      </c>
      <c r="AB120" s="113">
        <f t="shared" si="65"/>
        <v>3280275.2444668901</v>
      </c>
      <c r="AC120" s="113">
        <f t="shared" si="44"/>
        <v>2048342.8511672572</v>
      </c>
      <c r="AD120" s="114">
        <f t="shared" si="66"/>
        <v>16.333333333333332</v>
      </c>
      <c r="AE120" s="114">
        <f t="shared" si="67"/>
        <v>1.0227885500586988E-2</v>
      </c>
      <c r="AF120" s="114">
        <f t="shared" si="68"/>
        <v>283.11111111111109</v>
      </c>
      <c r="AG120" s="114"/>
      <c r="AH120" s="176">
        <f t="shared" si="69"/>
        <v>160404032.17282373</v>
      </c>
      <c r="AI120" s="176">
        <f t="shared" si="70"/>
        <v>771556.9635116749</v>
      </c>
      <c r="AJ120" s="178">
        <f t="shared" si="71"/>
        <v>-771556.9635116749</v>
      </c>
      <c r="AK120" s="113">
        <f t="shared" si="72"/>
        <v>0</v>
      </c>
      <c r="AL120" s="113">
        <f t="shared" si="45"/>
        <v>0</v>
      </c>
      <c r="AM120" s="114">
        <f t="shared" si="73"/>
        <v>16.333333333333332</v>
      </c>
      <c r="AN120" s="114">
        <f t="shared" si="74"/>
        <v>0</v>
      </c>
      <c r="AO120" s="114">
        <f t="shared" si="75"/>
        <v>283.11111111111109</v>
      </c>
    </row>
    <row r="121" spans="1:41" hidden="1" outlineLevel="1" x14ac:dyDescent="0.3">
      <c r="A121" s="146">
        <f t="shared" si="46"/>
        <v>99</v>
      </c>
      <c r="B121" s="147">
        <f t="shared" si="39"/>
        <v>186</v>
      </c>
      <c r="C121" s="147">
        <f t="shared" si="38"/>
        <v>174</v>
      </c>
      <c r="D121" s="149">
        <f t="shared" si="47"/>
        <v>272510269.90239865</v>
      </c>
      <c r="E121" s="149">
        <f t="shared" si="48"/>
        <v>2262563.266756726</v>
      </c>
      <c r="F121" s="149">
        <f t="shared" si="40"/>
        <v>1372241.105804052</v>
      </c>
      <c r="G121" s="149">
        <f t="shared" si="41"/>
        <v>1326499.7356105838</v>
      </c>
      <c r="H121" s="149">
        <f t="shared" si="49"/>
        <v>45741.370193468174</v>
      </c>
      <c r="I121" s="149">
        <f t="shared" si="50"/>
        <v>890322.16095267399</v>
      </c>
      <c r="J121" s="147">
        <f t="shared" si="51"/>
        <v>4.4999999999999998E-2</v>
      </c>
      <c r="K121" s="175">
        <f t="shared" si="42"/>
        <v>3.8296430163020645E-3</v>
      </c>
      <c r="L121" s="149">
        <f t="shared" si="52"/>
        <v>1047629.0974590706</v>
      </c>
      <c r="M121" s="149">
        <f t="shared" si="53"/>
        <v>3264450.9940223284</v>
      </c>
      <c r="N121" s="149">
        <f t="shared" si="54"/>
        <v>1937951.2584117446</v>
      </c>
      <c r="P121" s="149">
        <f t="shared" si="55"/>
        <v>0</v>
      </c>
      <c r="Q121" s="149">
        <f t="shared" si="56"/>
        <v>0</v>
      </c>
      <c r="R121" s="178">
        <f t="shared" si="57"/>
        <v>0</v>
      </c>
      <c r="S121" s="113">
        <f t="shared" si="58"/>
        <v>0</v>
      </c>
      <c r="T121" s="113">
        <f t="shared" si="43"/>
        <v>0</v>
      </c>
      <c r="U121" s="114">
        <f t="shared" si="59"/>
        <v>16.5</v>
      </c>
      <c r="V121" s="114">
        <f t="shared" si="60"/>
        <v>0</v>
      </c>
      <c r="W121" s="114">
        <f t="shared" si="61"/>
        <v>288.75</v>
      </c>
      <c r="X121" s="114"/>
      <c r="Y121" s="149">
        <f t="shared" si="62"/>
        <v>111330951.57407296</v>
      </c>
      <c r="Z121" s="149">
        <f t="shared" si="63"/>
        <v>551213.5801086023</v>
      </c>
      <c r="AA121" s="178">
        <f t="shared" si="64"/>
        <v>2713237.4139137259</v>
      </c>
      <c r="AB121" s="113">
        <f t="shared" si="65"/>
        <v>3264450.9940223284</v>
      </c>
      <c r="AC121" s="113">
        <f t="shared" si="44"/>
        <v>2028690.0764354805</v>
      </c>
      <c r="AD121" s="114">
        <f t="shared" si="66"/>
        <v>16.5</v>
      </c>
      <c r="AE121" s="114">
        <f t="shared" si="67"/>
        <v>1.0129754306577695E-2</v>
      </c>
      <c r="AF121" s="114">
        <f t="shared" si="68"/>
        <v>288.75</v>
      </c>
      <c r="AG121" s="114"/>
      <c r="AH121" s="176">
        <f t="shared" si="69"/>
        <v>161179318.32832572</v>
      </c>
      <c r="AI121" s="176">
        <f t="shared" si="70"/>
        <v>775286.15550198138</v>
      </c>
      <c r="AJ121" s="178">
        <f t="shared" si="71"/>
        <v>-775286.15550198138</v>
      </c>
      <c r="AK121" s="113">
        <f t="shared" si="72"/>
        <v>0</v>
      </c>
      <c r="AL121" s="113">
        <f t="shared" si="45"/>
        <v>0</v>
      </c>
      <c r="AM121" s="114">
        <f t="shared" si="73"/>
        <v>16.5</v>
      </c>
      <c r="AN121" s="114">
        <f t="shared" si="74"/>
        <v>0</v>
      </c>
      <c r="AO121" s="114">
        <f t="shared" si="75"/>
        <v>288.75</v>
      </c>
    </row>
    <row r="122" spans="1:41" hidden="1" outlineLevel="1" x14ac:dyDescent="0.3">
      <c r="A122" s="146">
        <f t="shared" si="46"/>
        <v>100</v>
      </c>
      <c r="B122" s="147">
        <f t="shared" si="39"/>
        <v>185</v>
      </c>
      <c r="C122" s="147">
        <f t="shared" si="38"/>
        <v>175</v>
      </c>
      <c r="D122" s="149">
        <f t="shared" si="47"/>
        <v>270578719.28399092</v>
      </c>
      <c r="E122" s="149">
        <f t="shared" si="48"/>
        <v>2253898.4571432495</v>
      </c>
      <c r="F122" s="149">
        <f t="shared" si="40"/>
        <v>1362551.3495119934</v>
      </c>
      <c r="G122" s="149">
        <f t="shared" si="41"/>
        <v>1317132.9711949269</v>
      </c>
      <c r="H122" s="149">
        <f t="shared" si="49"/>
        <v>45418.378317066468</v>
      </c>
      <c r="I122" s="149">
        <f t="shared" si="50"/>
        <v>891347.10763125611</v>
      </c>
      <c r="J122" s="147">
        <f t="shared" si="51"/>
        <v>4.4999999999999998E-2</v>
      </c>
      <c r="K122" s="175">
        <f t="shared" si="42"/>
        <v>3.8296430163020645E-3</v>
      </c>
      <c r="L122" s="149">
        <f t="shared" si="52"/>
        <v>1040203.5107764705</v>
      </c>
      <c r="M122" s="149">
        <f t="shared" si="53"/>
        <v>3248683.5896026534</v>
      </c>
      <c r="N122" s="149">
        <f t="shared" si="54"/>
        <v>1931550.6184077268</v>
      </c>
      <c r="P122" s="149">
        <f t="shared" si="55"/>
        <v>0</v>
      </c>
      <c r="Q122" s="149">
        <f t="shared" si="56"/>
        <v>0</v>
      </c>
      <c r="R122" s="178">
        <f t="shared" si="57"/>
        <v>0</v>
      </c>
      <c r="S122" s="113">
        <f t="shared" si="58"/>
        <v>0</v>
      </c>
      <c r="T122" s="113">
        <f t="shared" si="43"/>
        <v>0</v>
      </c>
      <c r="U122" s="114">
        <f t="shared" si="59"/>
        <v>16.666666666666668</v>
      </c>
      <c r="V122" s="114">
        <f t="shared" si="60"/>
        <v>0</v>
      </c>
      <c r="W122" s="114">
        <f t="shared" si="61"/>
        <v>294.44444444444446</v>
      </c>
      <c r="X122" s="114"/>
      <c r="Y122" s="149">
        <f t="shared" si="62"/>
        <v>108620367.58374499</v>
      </c>
      <c r="Z122" s="149">
        <f t="shared" si="63"/>
        <v>538099.59927468596</v>
      </c>
      <c r="AA122" s="178">
        <f t="shared" si="64"/>
        <v>2710583.9903279678</v>
      </c>
      <c r="AB122" s="113">
        <f t="shared" si="65"/>
        <v>3248683.5896026539</v>
      </c>
      <c r="AC122" s="113">
        <f t="shared" si="44"/>
        <v>2009213.8050776648</v>
      </c>
      <c r="AD122" s="114">
        <f t="shared" si="66"/>
        <v>16.666666666666668</v>
      </c>
      <c r="AE122" s="114">
        <f t="shared" si="67"/>
        <v>1.0032504437830096E-2</v>
      </c>
      <c r="AF122" s="114">
        <f t="shared" si="68"/>
        <v>294.44444444444446</v>
      </c>
      <c r="AG122" s="114"/>
      <c r="AH122" s="176">
        <f t="shared" si="69"/>
        <v>161958351.70024595</v>
      </c>
      <c r="AI122" s="176">
        <f t="shared" si="70"/>
        <v>779033.37192024104</v>
      </c>
      <c r="AJ122" s="178">
        <f t="shared" si="71"/>
        <v>-779033.37192024104</v>
      </c>
      <c r="AK122" s="113">
        <f t="shared" si="72"/>
        <v>0</v>
      </c>
      <c r="AL122" s="113">
        <f t="shared" si="45"/>
        <v>0</v>
      </c>
      <c r="AM122" s="114">
        <f t="shared" si="73"/>
        <v>16.666666666666668</v>
      </c>
      <c r="AN122" s="114">
        <f t="shared" si="74"/>
        <v>0</v>
      </c>
      <c r="AO122" s="114">
        <f t="shared" si="75"/>
        <v>294.44444444444446</v>
      </c>
    </row>
    <row r="123" spans="1:41" hidden="1" outlineLevel="1" x14ac:dyDescent="0.3">
      <c r="A123" s="146">
        <f t="shared" si="46"/>
        <v>101</v>
      </c>
      <c r="B123" s="147">
        <f t="shared" si="39"/>
        <v>184</v>
      </c>
      <c r="C123" s="147">
        <f t="shared" si="38"/>
        <v>176</v>
      </c>
      <c r="D123" s="149">
        <f t="shared" si="47"/>
        <v>268653543.61801201</v>
      </c>
      <c r="E123" s="149">
        <f t="shared" si="48"/>
        <v>2245266.8306573969</v>
      </c>
      <c r="F123" s="149">
        <f t="shared" si="40"/>
        <v>1352893.5964199547</v>
      </c>
      <c r="G123" s="149">
        <f t="shared" si="41"/>
        <v>1307797.1432059561</v>
      </c>
      <c r="H123" s="149">
        <f t="shared" si="49"/>
        <v>45096.453213998582</v>
      </c>
      <c r="I123" s="149">
        <f t="shared" si="50"/>
        <v>892373.23423744226</v>
      </c>
      <c r="J123" s="147">
        <f t="shared" si="51"/>
        <v>4.4999999999999998E-2</v>
      </c>
      <c r="K123" s="175">
        <f t="shared" si="42"/>
        <v>3.8296430163020645E-3</v>
      </c>
      <c r="L123" s="149">
        <f t="shared" si="52"/>
        <v>1032802.4317414603</v>
      </c>
      <c r="M123" s="149">
        <f t="shared" si="53"/>
        <v>3232972.8091848586</v>
      </c>
      <c r="N123" s="149">
        <f t="shared" si="54"/>
        <v>1925175.6659789025</v>
      </c>
      <c r="P123" s="149">
        <f t="shared" si="55"/>
        <v>0</v>
      </c>
      <c r="Q123" s="149">
        <f t="shared" si="56"/>
        <v>0</v>
      </c>
      <c r="R123" s="178">
        <f t="shared" si="57"/>
        <v>0</v>
      </c>
      <c r="S123" s="113">
        <f t="shared" si="58"/>
        <v>0</v>
      </c>
      <c r="T123" s="113">
        <f t="shared" si="43"/>
        <v>0</v>
      </c>
      <c r="U123" s="114">
        <f t="shared" si="59"/>
        <v>16.833333333333332</v>
      </c>
      <c r="V123" s="114">
        <f t="shared" si="60"/>
        <v>0</v>
      </c>
      <c r="W123" s="114">
        <f t="shared" si="61"/>
        <v>300.1944444444444</v>
      </c>
      <c r="X123" s="114"/>
      <c r="Y123" s="149">
        <f t="shared" si="62"/>
        <v>105912393.21788156</v>
      </c>
      <c r="Z123" s="149">
        <f t="shared" si="63"/>
        <v>524998.44332143408</v>
      </c>
      <c r="AA123" s="178">
        <f t="shared" si="64"/>
        <v>2707974.3658634247</v>
      </c>
      <c r="AB123" s="113">
        <f t="shared" si="65"/>
        <v>3232972.8091848586</v>
      </c>
      <c r="AC123" s="113">
        <f t="shared" si="44"/>
        <v>1989912.4913386612</v>
      </c>
      <c r="AD123" s="114">
        <f t="shared" si="66"/>
        <v>16.833333333333332</v>
      </c>
      <c r="AE123" s="114">
        <f t="shared" si="67"/>
        <v>9.9361281760041321E-3</v>
      </c>
      <c r="AF123" s="114">
        <f t="shared" si="68"/>
        <v>300.1944444444444</v>
      </c>
      <c r="AG123" s="114"/>
      <c r="AH123" s="176">
        <f t="shared" si="69"/>
        <v>162741150.40013048</v>
      </c>
      <c r="AI123" s="176">
        <f t="shared" si="70"/>
        <v>782798.69988452212</v>
      </c>
      <c r="AJ123" s="178">
        <f t="shared" si="71"/>
        <v>-782798.69988452212</v>
      </c>
      <c r="AK123" s="113">
        <f t="shared" si="72"/>
        <v>0</v>
      </c>
      <c r="AL123" s="113">
        <f t="shared" si="45"/>
        <v>0</v>
      </c>
      <c r="AM123" s="114">
        <f t="shared" si="73"/>
        <v>16.833333333333332</v>
      </c>
      <c r="AN123" s="114">
        <f t="shared" si="74"/>
        <v>0</v>
      </c>
      <c r="AO123" s="114">
        <f t="shared" si="75"/>
        <v>300.1944444444444</v>
      </c>
    </row>
    <row r="124" spans="1:41" hidden="1" outlineLevel="1" x14ac:dyDescent="0.3">
      <c r="A124" s="146">
        <f t="shared" si="46"/>
        <v>102</v>
      </c>
      <c r="B124" s="147">
        <f t="shared" si="39"/>
        <v>183</v>
      </c>
      <c r="C124" s="147">
        <f t="shared" si="38"/>
        <v>177</v>
      </c>
      <c r="D124" s="149">
        <f t="shared" si="47"/>
        <v>266734717.31390783</v>
      </c>
      <c r="E124" s="149">
        <f t="shared" si="48"/>
        <v>2236668.260219635</v>
      </c>
      <c r="F124" s="149">
        <f t="shared" si="40"/>
        <v>1343267.7180900602</v>
      </c>
      <c r="G124" s="149">
        <f t="shared" si="41"/>
        <v>1298492.1274870581</v>
      </c>
      <c r="H124" s="149">
        <f t="shared" si="49"/>
        <v>44775.590603002114</v>
      </c>
      <c r="I124" s="149">
        <f t="shared" si="50"/>
        <v>893400.54212957481</v>
      </c>
      <c r="J124" s="147">
        <f t="shared" si="51"/>
        <v>4.4999999999999998E-2</v>
      </c>
      <c r="K124" s="175">
        <f t="shared" si="42"/>
        <v>3.8296430163020645E-3</v>
      </c>
      <c r="L124" s="149">
        <f t="shared" si="52"/>
        <v>1025425.7619745948</v>
      </c>
      <c r="M124" s="149">
        <f t="shared" si="53"/>
        <v>3217318.4315912277</v>
      </c>
      <c r="N124" s="149">
        <f t="shared" si="54"/>
        <v>1918826.3041041696</v>
      </c>
      <c r="P124" s="149">
        <f t="shared" si="55"/>
        <v>0</v>
      </c>
      <c r="Q124" s="149">
        <f t="shared" si="56"/>
        <v>0</v>
      </c>
      <c r="R124" s="178">
        <f t="shared" si="57"/>
        <v>0</v>
      </c>
      <c r="S124" s="113">
        <f t="shared" si="58"/>
        <v>0</v>
      </c>
      <c r="T124" s="113">
        <f t="shared" si="43"/>
        <v>0</v>
      </c>
      <c r="U124" s="114">
        <f t="shared" si="59"/>
        <v>17</v>
      </c>
      <c r="V124" s="114">
        <f t="shared" si="60"/>
        <v>0</v>
      </c>
      <c r="W124" s="114">
        <f t="shared" si="61"/>
        <v>306</v>
      </c>
      <c r="X124" s="114"/>
      <c r="Y124" s="149">
        <f t="shared" si="62"/>
        <v>103206984.68684343</v>
      </c>
      <c r="Z124" s="149">
        <f t="shared" si="63"/>
        <v>511909.90055309422</v>
      </c>
      <c r="AA124" s="178">
        <f t="shared" si="64"/>
        <v>2705408.5310381334</v>
      </c>
      <c r="AB124" s="113">
        <f t="shared" si="65"/>
        <v>3217318.4315912277</v>
      </c>
      <c r="AC124" s="113">
        <f t="shared" si="44"/>
        <v>1970784.6028626713</v>
      </c>
      <c r="AD124" s="114">
        <f t="shared" si="66"/>
        <v>17</v>
      </c>
      <c r="AE124" s="114">
        <f t="shared" si="67"/>
        <v>9.8406178696660417E-3</v>
      </c>
      <c r="AF124" s="114">
        <f t="shared" si="68"/>
        <v>306</v>
      </c>
      <c r="AG124" s="114"/>
      <c r="AH124" s="176">
        <f t="shared" si="69"/>
        <v>163527732.62706444</v>
      </c>
      <c r="AI124" s="176">
        <f t="shared" si="70"/>
        <v>786582.22693396406</v>
      </c>
      <c r="AJ124" s="178">
        <f t="shared" si="71"/>
        <v>-786582.22693396406</v>
      </c>
      <c r="AK124" s="113">
        <f t="shared" si="72"/>
        <v>0</v>
      </c>
      <c r="AL124" s="113">
        <f t="shared" si="45"/>
        <v>0</v>
      </c>
      <c r="AM124" s="114">
        <f t="shared" si="73"/>
        <v>17</v>
      </c>
      <c r="AN124" s="114">
        <f t="shared" si="74"/>
        <v>0</v>
      </c>
      <c r="AO124" s="114">
        <f t="shared" si="75"/>
        <v>306</v>
      </c>
    </row>
    <row r="125" spans="1:41" hidden="1" outlineLevel="1" x14ac:dyDescent="0.3">
      <c r="A125" s="146">
        <f t="shared" si="46"/>
        <v>103</v>
      </c>
      <c r="B125" s="147">
        <f t="shared" si="39"/>
        <v>182</v>
      </c>
      <c r="C125" s="147">
        <f t="shared" si="38"/>
        <v>178</v>
      </c>
      <c r="D125" s="149">
        <f t="shared" si="47"/>
        <v>264822214.8777723</v>
      </c>
      <c r="E125" s="149">
        <f t="shared" si="48"/>
        <v>2228102.6192371002</v>
      </c>
      <c r="F125" s="149">
        <f t="shared" si="40"/>
        <v>1333673.5865695393</v>
      </c>
      <c r="G125" s="149">
        <f t="shared" si="41"/>
        <v>1289217.8003505545</v>
      </c>
      <c r="H125" s="149">
        <f t="shared" si="49"/>
        <v>44455.786218984751</v>
      </c>
      <c r="I125" s="149">
        <f t="shared" si="50"/>
        <v>894429.03266756097</v>
      </c>
      <c r="J125" s="147">
        <f t="shared" si="51"/>
        <v>4.4999999999999998E-2</v>
      </c>
      <c r="K125" s="175">
        <f t="shared" si="42"/>
        <v>3.8296430163020645E-3</v>
      </c>
      <c r="L125" s="149">
        <f t="shared" si="52"/>
        <v>1018073.4034679794</v>
      </c>
      <c r="M125" s="149">
        <f t="shared" si="53"/>
        <v>3201720.236486095</v>
      </c>
      <c r="N125" s="149">
        <f t="shared" si="54"/>
        <v>1912502.4361355403</v>
      </c>
      <c r="P125" s="149">
        <f t="shared" si="55"/>
        <v>0</v>
      </c>
      <c r="Q125" s="149">
        <f t="shared" si="56"/>
        <v>0</v>
      </c>
      <c r="R125" s="178">
        <f t="shared" si="57"/>
        <v>0</v>
      </c>
      <c r="S125" s="113">
        <f t="shared" si="58"/>
        <v>0</v>
      </c>
      <c r="T125" s="113">
        <f t="shared" si="43"/>
        <v>0</v>
      </c>
      <c r="U125" s="114">
        <f t="shared" si="59"/>
        <v>17.166666666666668</v>
      </c>
      <c r="V125" s="114">
        <f t="shared" si="60"/>
        <v>0</v>
      </c>
      <c r="W125" s="114">
        <f t="shared" si="61"/>
        <v>311.86111111111114</v>
      </c>
      <c r="X125" s="114"/>
      <c r="Y125" s="149">
        <f t="shared" si="62"/>
        <v>100504098.20967707</v>
      </c>
      <c r="Z125" s="149">
        <f t="shared" si="63"/>
        <v>498833.75931974326</v>
      </c>
      <c r="AA125" s="178">
        <f t="shared" si="64"/>
        <v>2702886.4771663519</v>
      </c>
      <c r="AB125" s="113">
        <f t="shared" si="65"/>
        <v>3201720.236486095</v>
      </c>
      <c r="AC125" s="113">
        <f t="shared" si="44"/>
        <v>1951828.6205775889</v>
      </c>
      <c r="AD125" s="114">
        <f t="shared" si="66"/>
        <v>17.166666666666668</v>
      </c>
      <c r="AE125" s="114">
        <f t="shared" si="67"/>
        <v>9.7459659337108401E-3</v>
      </c>
      <c r="AF125" s="114">
        <f t="shared" si="68"/>
        <v>311.86111111111114</v>
      </c>
      <c r="AG125" s="114"/>
      <c r="AH125" s="176">
        <f t="shared" si="69"/>
        <v>164318116.66809526</v>
      </c>
      <c r="AI125" s="176">
        <f t="shared" si="70"/>
        <v>790384.0410308115</v>
      </c>
      <c r="AJ125" s="178">
        <f t="shared" si="71"/>
        <v>-790384.0410308115</v>
      </c>
      <c r="AK125" s="113">
        <f t="shared" si="72"/>
        <v>0</v>
      </c>
      <c r="AL125" s="113">
        <f t="shared" si="45"/>
        <v>0</v>
      </c>
      <c r="AM125" s="114">
        <f t="shared" si="73"/>
        <v>17.166666666666668</v>
      </c>
      <c r="AN125" s="114">
        <f t="shared" si="74"/>
        <v>0</v>
      </c>
      <c r="AO125" s="114">
        <f t="shared" si="75"/>
        <v>311.86111111111114</v>
      </c>
    </row>
    <row r="126" spans="1:41" hidden="1" outlineLevel="1" x14ac:dyDescent="0.3">
      <c r="A126" s="146">
        <f t="shared" si="46"/>
        <v>104</v>
      </c>
      <c r="B126" s="147">
        <f t="shared" si="39"/>
        <v>181</v>
      </c>
      <c r="C126" s="147">
        <f t="shared" si="38"/>
        <v>179</v>
      </c>
      <c r="D126" s="149">
        <f t="shared" si="47"/>
        <v>262916010.91197559</v>
      </c>
      <c r="E126" s="149">
        <f t="shared" si="48"/>
        <v>2219569.7816017345</v>
      </c>
      <c r="F126" s="149">
        <f t="shared" si="40"/>
        <v>1324111.0743888614</v>
      </c>
      <c r="G126" s="149">
        <f t="shared" si="41"/>
        <v>1279974.0385758996</v>
      </c>
      <c r="H126" s="149">
        <f t="shared" si="49"/>
        <v>44137.035812961869</v>
      </c>
      <c r="I126" s="149">
        <f t="shared" si="50"/>
        <v>895458.70721287304</v>
      </c>
      <c r="J126" s="147">
        <f t="shared" si="51"/>
        <v>4.4999999999999998E-2</v>
      </c>
      <c r="K126" s="175">
        <f t="shared" si="42"/>
        <v>3.8296430163020645E-3</v>
      </c>
      <c r="L126" s="149">
        <f t="shared" si="52"/>
        <v>1010745.2585838408</v>
      </c>
      <c r="M126" s="149">
        <f t="shared" si="53"/>
        <v>3186178.0043726135</v>
      </c>
      <c r="N126" s="149">
        <f t="shared" si="54"/>
        <v>1906203.9657967137</v>
      </c>
      <c r="P126" s="149">
        <f t="shared" si="55"/>
        <v>0</v>
      </c>
      <c r="Q126" s="149">
        <f t="shared" si="56"/>
        <v>0</v>
      </c>
      <c r="R126" s="178">
        <f t="shared" si="57"/>
        <v>0</v>
      </c>
      <c r="S126" s="113">
        <f t="shared" si="58"/>
        <v>0</v>
      </c>
      <c r="T126" s="113">
        <f t="shared" si="43"/>
        <v>0</v>
      </c>
      <c r="U126" s="114">
        <f t="shared" si="59"/>
        <v>17.333333333333332</v>
      </c>
      <c r="V126" s="114">
        <f t="shared" si="60"/>
        <v>0</v>
      </c>
      <c r="W126" s="114">
        <f t="shared" si="61"/>
        <v>317.77777777777771</v>
      </c>
      <c r="X126" s="114"/>
      <c r="Y126" s="149">
        <f t="shared" si="62"/>
        <v>97803690.013317898</v>
      </c>
      <c r="Z126" s="149">
        <f t="shared" si="63"/>
        <v>485769.80801343918</v>
      </c>
      <c r="AA126" s="178">
        <f t="shared" si="64"/>
        <v>2700408.1963591743</v>
      </c>
      <c r="AB126" s="113">
        <f t="shared" si="65"/>
        <v>3186178.0043726135</v>
      </c>
      <c r="AC126" s="113">
        <f t="shared" si="44"/>
        <v>1933043.0385803375</v>
      </c>
      <c r="AD126" s="114">
        <f t="shared" si="66"/>
        <v>17.333333333333332</v>
      </c>
      <c r="AE126" s="114">
        <f t="shared" si="67"/>
        <v>9.6521648487897863E-3</v>
      </c>
      <c r="AF126" s="114">
        <f t="shared" si="68"/>
        <v>317.77777777777771</v>
      </c>
      <c r="AG126" s="114"/>
      <c r="AH126" s="176">
        <f t="shared" si="69"/>
        <v>165112320.89865771</v>
      </c>
      <c r="AI126" s="176">
        <f t="shared" si="70"/>
        <v>794204.23056246049</v>
      </c>
      <c r="AJ126" s="178">
        <f t="shared" si="71"/>
        <v>-794204.23056246049</v>
      </c>
      <c r="AK126" s="113">
        <f t="shared" si="72"/>
        <v>0</v>
      </c>
      <c r="AL126" s="113">
        <f t="shared" si="45"/>
        <v>0</v>
      </c>
      <c r="AM126" s="114">
        <f t="shared" si="73"/>
        <v>17.333333333333332</v>
      </c>
      <c r="AN126" s="114">
        <f t="shared" si="74"/>
        <v>0</v>
      </c>
      <c r="AO126" s="114">
        <f t="shared" si="75"/>
        <v>317.77777777777771</v>
      </c>
    </row>
    <row r="127" spans="1:41" hidden="1" outlineLevel="1" x14ac:dyDescent="0.3">
      <c r="A127" s="146">
        <f t="shared" si="46"/>
        <v>105</v>
      </c>
      <c r="B127" s="147">
        <f t="shared" si="39"/>
        <v>180</v>
      </c>
      <c r="C127" s="147">
        <f t="shared" si="38"/>
        <v>180</v>
      </c>
      <c r="D127" s="149">
        <f t="shared" si="47"/>
        <v>261016080.11479396</v>
      </c>
      <c r="E127" s="149">
        <f t="shared" si="48"/>
        <v>2211069.6216884283</v>
      </c>
      <c r="F127" s="149">
        <f t="shared" si="40"/>
        <v>1314580.0545598781</v>
      </c>
      <c r="G127" s="149">
        <f t="shared" si="41"/>
        <v>1270760.7194078821</v>
      </c>
      <c r="H127" s="149">
        <f t="shared" si="49"/>
        <v>43819.335151995998</v>
      </c>
      <c r="I127" s="149">
        <f t="shared" si="50"/>
        <v>896489.56712855026</v>
      </c>
      <c r="J127" s="147">
        <f t="shared" si="51"/>
        <v>4.4999999999999998E-2</v>
      </c>
      <c r="K127" s="175">
        <f t="shared" si="42"/>
        <v>3.8296430163020645E-3</v>
      </c>
      <c r="L127" s="149">
        <f t="shared" si="52"/>
        <v>1003441.2300531033</v>
      </c>
      <c r="M127" s="149">
        <f t="shared" si="53"/>
        <v>3170691.5165895354</v>
      </c>
      <c r="N127" s="149">
        <f t="shared" si="54"/>
        <v>1899930.7971816536</v>
      </c>
      <c r="P127" s="149">
        <f t="shared" si="55"/>
        <v>0</v>
      </c>
      <c r="Q127" s="149">
        <f t="shared" si="56"/>
        <v>0</v>
      </c>
      <c r="R127" s="178">
        <f t="shared" si="57"/>
        <v>0</v>
      </c>
      <c r="S127" s="113">
        <f t="shared" si="58"/>
        <v>0</v>
      </c>
      <c r="T127" s="113">
        <f t="shared" si="43"/>
        <v>0</v>
      </c>
      <c r="U127" s="114">
        <f t="shared" si="59"/>
        <v>17.5</v>
      </c>
      <c r="V127" s="114">
        <f t="shared" si="60"/>
        <v>0</v>
      </c>
      <c r="W127" s="114">
        <f t="shared" si="61"/>
        <v>323.75</v>
      </c>
      <c r="X127" s="114"/>
      <c r="Y127" s="149">
        <f t="shared" si="62"/>
        <v>95105716.331792727</v>
      </c>
      <c r="Z127" s="149">
        <f t="shared" si="63"/>
        <v>472717.83506436984</v>
      </c>
      <c r="AA127" s="178">
        <f t="shared" si="64"/>
        <v>2697973.6815251661</v>
      </c>
      <c r="AB127" s="113">
        <f t="shared" si="65"/>
        <v>3170691.5165895359</v>
      </c>
      <c r="AC127" s="113">
        <f t="shared" si="44"/>
        <v>1914426.364023197</v>
      </c>
      <c r="AD127" s="114">
        <f t="shared" si="66"/>
        <v>17.5</v>
      </c>
      <c r="AE127" s="114">
        <f t="shared" si="67"/>
        <v>9.5592071607427786E-3</v>
      </c>
      <c r="AF127" s="114">
        <f t="shared" si="68"/>
        <v>323.75</v>
      </c>
      <c r="AG127" s="114"/>
      <c r="AH127" s="176">
        <f t="shared" si="69"/>
        <v>165910363.78300121</v>
      </c>
      <c r="AI127" s="176">
        <f t="shared" si="70"/>
        <v>798042.88434351236</v>
      </c>
      <c r="AJ127" s="178">
        <f t="shared" si="71"/>
        <v>-798042.88434351236</v>
      </c>
      <c r="AK127" s="113">
        <f t="shared" si="72"/>
        <v>0</v>
      </c>
      <c r="AL127" s="113">
        <f t="shared" si="45"/>
        <v>0</v>
      </c>
      <c r="AM127" s="114">
        <f t="shared" si="73"/>
        <v>17.5</v>
      </c>
      <c r="AN127" s="114">
        <f t="shared" si="74"/>
        <v>0</v>
      </c>
      <c r="AO127" s="114">
        <f t="shared" si="75"/>
        <v>323.75</v>
      </c>
    </row>
    <row r="128" spans="1:41" hidden="1" outlineLevel="1" x14ac:dyDescent="0.3">
      <c r="A128" s="146">
        <f t="shared" si="46"/>
        <v>106</v>
      </c>
      <c r="B128" s="147">
        <f t="shared" si="39"/>
        <v>179</v>
      </c>
      <c r="C128" s="147">
        <f t="shared" si="38"/>
        <v>181</v>
      </c>
      <c r="D128" s="149">
        <f t="shared" si="47"/>
        <v>259122397.2800408</v>
      </c>
      <c r="E128" s="149">
        <f t="shared" si="48"/>
        <v>2202602.0143531715</v>
      </c>
      <c r="F128" s="149">
        <f t="shared" si="40"/>
        <v>1305080.4005739698</v>
      </c>
      <c r="G128" s="149">
        <f t="shared" si="41"/>
        <v>1261577.7205548375</v>
      </c>
      <c r="H128" s="149">
        <f t="shared" si="49"/>
        <v>43502.680019132327</v>
      </c>
      <c r="I128" s="149">
        <f t="shared" si="50"/>
        <v>897521.61377920164</v>
      </c>
      <c r="J128" s="147">
        <f t="shared" si="51"/>
        <v>4.4999999999999998E-2</v>
      </c>
      <c r="K128" s="175">
        <f t="shared" si="42"/>
        <v>3.8296430163020645E-3</v>
      </c>
      <c r="L128" s="149">
        <f t="shared" si="52"/>
        <v>996161.22097397118</v>
      </c>
      <c r="M128" s="149">
        <f t="shared" si="53"/>
        <v>3155260.5553080104</v>
      </c>
      <c r="N128" s="149">
        <f t="shared" si="54"/>
        <v>1893682.8347531729</v>
      </c>
      <c r="P128" s="149">
        <f t="shared" si="55"/>
        <v>0</v>
      </c>
      <c r="Q128" s="149">
        <f t="shared" si="56"/>
        <v>0</v>
      </c>
      <c r="R128" s="178">
        <f t="shared" si="57"/>
        <v>0</v>
      </c>
      <c r="S128" s="113">
        <f t="shared" si="58"/>
        <v>0</v>
      </c>
      <c r="T128" s="113">
        <f t="shared" si="43"/>
        <v>0</v>
      </c>
      <c r="U128" s="114">
        <f t="shared" si="59"/>
        <v>17.666666666666668</v>
      </c>
      <c r="V128" s="114">
        <f t="shared" si="60"/>
        <v>0</v>
      </c>
      <c r="W128" s="114">
        <f t="shared" si="61"/>
        <v>329.77777777777783</v>
      </c>
      <c r="X128" s="114"/>
      <c r="Y128" s="149">
        <f t="shared" si="62"/>
        <v>92410133.405421719</v>
      </c>
      <c r="Z128" s="149">
        <f t="shared" si="63"/>
        <v>459677.6289369982</v>
      </c>
      <c r="AA128" s="178">
        <f t="shared" si="64"/>
        <v>2695582.9263710123</v>
      </c>
      <c r="AB128" s="113">
        <f t="shared" si="65"/>
        <v>3155260.5553080104</v>
      </c>
      <c r="AC128" s="113">
        <f t="shared" si="44"/>
        <v>1895977.1170011121</v>
      </c>
      <c r="AD128" s="114">
        <f t="shared" si="66"/>
        <v>17.666666666666668</v>
      </c>
      <c r="AE128" s="114">
        <f t="shared" si="67"/>
        <v>9.4670854800356641E-3</v>
      </c>
      <c r="AF128" s="114">
        <f t="shared" si="68"/>
        <v>329.77777777777783</v>
      </c>
      <c r="AG128" s="114"/>
      <c r="AH128" s="176">
        <f t="shared" si="69"/>
        <v>166712263.87461907</v>
      </c>
      <c r="AI128" s="176">
        <f t="shared" si="70"/>
        <v>801900.09161783929</v>
      </c>
      <c r="AJ128" s="178">
        <f t="shared" si="71"/>
        <v>-801900.09161783929</v>
      </c>
      <c r="AK128" s="113">
        <f t="shared" si="72"/>
        <v>0</v>
      </c>
      <c r="AL128" s="113">
        <f t="shared" si="45"/>
        <v>0</v>
      </c>
      <c r="AM128" s="114">
        <f t="shared" si="73"/>
        <v>17.666666666666668</v>
      </c>
      <c r="AN128" s="114">
        <f t="shared" si="74"/>
        <v>0</v>
      </c>
      <c r="AO128" s="114">
        <f t="shared" si="75"/>
        <v>329.77777777777783</v>
      </c>
    </row>
    <row r="129" spans="1:41" hidden="1" outlineLevel="1" x14ac:dyDescent="0.3">
      <c r="A129" s="146">
        <f t="shared" si="46"/>
        <v>107</v>
      </c>
      <c r="B129" s="147">
        <f t="shared" si="39"/>
        <v>178</v>
      </c>
      <c r="C129" s="147">
        <f t="shared" si="38"/>
        <v>182</v>
      </c>
      <c r="D129" s="149">
        <f t="shared" si="47"/>
        <v>257234937.29669929</v>
      </c>
      <c r="E129" s="149">
        <f t="shared" si="48"/>
        <v>2194166.8349312111</v>
      </c>
      <c r="F129" s="149">
        <f t="shared" si="40"/>
        <v>1295611.986400204</v>
      </c>
      <c r="G129" s="149">
        <f t="shared" si="41"/>
        <v>1252424.920186864</v>
      </c>
      <c r="H129" s="149">
        <f t="shared" si="49"/>
        <v>43187.066213340033</v>
      </c>
      <c r="I129" s="149">
        <f t="shared" si="50"/>
        <v>898554.84853100707</v>
      </c>
      <c r="J129" s="147">
        <f t="shared" si="51"/>
        <v>4.4999999999999998E-2</v>
      </c>
      <c r="K129" s="175">
        <f t="shared" si="42"/>
        <v>3.8296430163020645E-3</v>
      </c>
      <c r="L129" s="149">
        <f t="shared" si="52"/>
        <v>988905.13481051615</v>
      </c>
      <c r="M129" s="149">
        <f t="shared" si="53"/>
        <v>3139884.9035283872</v>
      </c>
      <c r="N129" s="149">
        <f t="shared" si="54"/>
        <v>1887459.9833415232</v>
      </c>
      <c r="P129" s="149">
        <f t="shared" si="55"/>
        <v>0</v>
      </c>
      <c r="Q129" s="149">
        <f t="shared" si="56"/>
        <v>0</v>
      </c>
      <c r="R129" s="178">
        <f t="shared" si="57"/>
        <v>0</v>
      </c>
      <c r="S129" s="113">
        <f t="shared" si="58"/>
        <v>0</v>
      </c>
      <c r="T129" s="113">
        <f t="shared" si="43"/>
        <v>0</v>
      </c>
      <c r="U129" s="114">
        <f t="shared" si="59"/>
        <v>17.833333333333332</v>
      </c>
      <c r="V129" s="114">
        <f t="shared" si="60"/>
        <v>0</v>
      </c>
      <c r="W129" s="114">
        <f t="shared" si="61"/>
        <v>335.86111111111109</v>
      </c>
      <c r="X129" s="114"/>
      <c r="Y129" s="149">
        <f t="shared" si="62"/>
        <v>89716897.48001954</v>
      </c>
      <c r="Z129" s="149">
        <f t="shared" si="63"/>
        <v>446648.97812620498</v>
      </c>
      <c r="AA129" s="178">
        <f t="shared" si="64"/>
        <v>2693235.9254021822</v>
      </c>
      <c r="AB129" s="113">
        <f t="shared" si="65"/>
        <v>3139884.9035283872</v>
      </c>
      <c r="AC129" s="113">
        <f t="shared" si="44"/>
        <v>1877693.8304399638</v>
      </c>
      <c r="AD129" s="114">
        <f t="shared" si="66"/>
        <v>17.833333333333332</v>
      </c>
      <c r="AE129" s="114">
        <f t="shared" si="67"/>
        <v>9.3757924812023479E-3</v>
      </c>
      <c r="AF129" s="114">
        <f t="shared" si="68"/>
        <v>335.86111111111109</v>
      </c>
      <c r="AG129" s="114"/>
      <c r="AH129" s="176">
        <f t="shared" si="69"/>
        <v>167518039.81667972</v>
      </c>
      <c r="AI129" s="176">
        <f t="shared" si="70"/>
        <v>805775.94206065882</v>
      </c>
      <c r="AJ129" s="178">
        <f t="shared" si="71"/>
        <v>-805775.94206065882</v>
      </c>
      <c r="AK129" s="113">
        <f t="shared" si="72"/>
        <v>0</v>
      </c>
      <c r="AL129" s="113">
        <f t="shared" si="45"/>
        <v>0</v>
      </c>
      <c r="AM129" s="114">
        <f t="shared" si="73"/>
        <v>17.833333333333332</v>
      </c>
      <c r="AN129" s="114">
        <f t="shared" si="74"/>
        <v>0</v>
      </c>
      <c r="AO129" s="114">
        <f t="shared" si="75"/>
        <v>335.86111111111109</v>
      </c>
    </row>
    <row r="130" spans="1:41" hidden="1" outlineLevel="1" x14ac:dyDescent="0.3">
      <c r="A130" s="146">
        <f t="shared" si="46"/>
        <v>108</v>
      </c>
      <c r="B130" s="147">
        <f t="shared" si="39"/>
        <v>177</v>
      </c>
      <c r="C130" s="147">
        <f t="shared" si="38"/>
        <v>183</v>
      </c>
      <c r="D130" s="149">
        <f t="shared" si="47"/>
        <v>255353675.14855629</v>
      </c>
      <c r="E130" s="149">
        <f t="shared" si="48"/>
        <v>2185763.9592352151</v>
      </c>
      <c r="F130" s="149">
        <f t="shared" si="40"/>
        <v>1286174.6864834966</v>
      </c>
      <c r="G130" s="149">
        <f t="shared" si="41"/>
        <v>1243302.1969340467</v>
      </c>
      <c r="H130" s="149">
        <f t="shared" si="49"/>
        <v>42872.489549449878</v>
      </c>
      <c r="I130" s="149">
        <f t="shared" si="50"/>
        <v>899589.27275171853</v>
      </c>
      <c r="J130" s="147">
        <f t="shared" si="51"/>
        <v>4.4999999999999998E-2</v>
      </c>
      <c r="K130" s="175">
        <f t="shared" si="42"/>
        <v>3.8296430163020645E-3</v>
      </c>
      <c r="L130" s="149">
        <f t="shared" si="52"/>
        <v>981672.87539127003</v>
      </c>
      <c r="M130" s="149">
        <f t="shared" si="53"/>
        <v>3124564.345077035</v>
      </c>
      <c r="N130" s="149">
        <f t="shared" si="54"/>
        <v>1881262.1481429886</v>
      </c>
      <c r="P130" s="149">
        <f t="shared" si="55"/>
        <v>0</v>
      </c>
      <c r="Q130" s="149">
        <f t="shared" si="56"/>
        <v>0</v>
      </c>
      <c r="R130" s="178">
        <f t="shared" si="57"/>
        <v>0</v>
      </c>
      <c r="S130" s="113">
        <f t="shared" si="58"/>
        <v>0</v>
      </c>
      <c r="T130" s="113">
        <f t="shared" si="43"/>
        <v>0</v>
      </c>
      <c r="U130" s="114">
        <f t="shared" si="59"/>
        <v>18</v>
      </c>
      <c r="V130" s="114">
        <f t="shared" si="60"/>
        <v>0</v>
      </c>
      <c r="W130" s="114">
        <f t="shared" si="61"/>
        <v>342</v>
      </c>
      <c r="X130" s="114"/>
      <c r="Y130" s="149">
        <f t="shared" si="62"/>
        <v>87025964.806095928</v>
      </c>
      <c r="Z130" s="149">
        <f t="shared" si="63"/>
        <v>433631.6711534278</v>
      </c>
      <c r="AA130" s="178">
        <f t="shared" si="64"/>
        <v>2690932.673923607</v>
      </c>
      <c r="AB130" s="113">
        <f t="shared" si="65"/>
        <v>3124564.345077035</v>
      </c>
      <c r="AC130" s="113">
        <f t="shared" si="44"/>
        <v>1859575.0499858172</v>
      </c>
      <c r="AD130" s="114">
        <f t="shared" si="66"/>
        <v>18</v>
      </c>
      <c r="AE130" s="114">
        <f t="shared" si="67"/>
        <v>9.285320902291774E-3</v>
      </c>
      <c r="AF130" s="114">
        <f t="shared" si="68"/>
        <v>342</v>
      </c>
      <c r="AG130" s="114"/>
      <c r="AH130" s="176">
        <f t="shared" si="69"/>
        <v>168327710.34246033</v>
      </c>
      <c r="AI130" s="176">
        <f t="shared" si="70"/>
        <v>809670.52578061866</v>
      </c>
      <c r="AJ130" s="178">
        <f t="shared" si="71"/>
        <v>-809670.52578061866</v>
      </c>
      <c r="AK130" s="113">
        <f t="shared" si="72"/>
        <v>0</v>
      </c>
      <c r="AL130" s="113">
        <f t="shared" si="45"/>
        <v>0</v>
      </c>
      <c r="AM130" s="114">
        <f t="shared" si="73"/>
        <v>18</v>
      </c>
      <c r="AN130" s="114">
        <f t="shared" si="74"/>
        <v>0</v>
      </c>
      <c r="AO130" s="114">
        <f t="shared" si="75"/>
        <v>342</v>
      </c>
    </row>
    <row r="131" spans="1:41" hidden="1" outlineLevel="1" x14ac:dyDescent="0.3">
      <c r="A131" s="146">
        <f t="shared" si="46"/>
        <v>109</v>
      </c>
      <c r="B131" s="147">
        <f t="shared" si="39"/>
        <v>176</v>
      </c>
      <c r="C131" s="147">
        <f t="shared" si="38"/>
        <v>184</v>
      </c>
      <c r="D131" s="149">
        <f t="shared" si="47"/>
        <v>253478585.91383779</v>
      </c>
      <c r="E131" s="149">
        <f t="shared" si="48"/>
        <v>2177393.2635534452</v>
      </c>
      <c r="F131" s="149">
        <f t="shared" si="40"/>
        <v>1276768.3757427814</v>
      </c>
      <c r="G131" s="149">
        <f t="shared" si="41"/>
        <v>1234209.4298846887</v>
      </c>
      <c r="H131" s="149">
        <f t="shared" si="49"/>
        <v>42558.945858092746</v>
      </c>
      <c r="I131" s="149">
        <f t="shared" si="50"/>
        <v>900624.88781066379</v>
      </c>
      <c r="J131" s="147">
        <f t="shared" si="51"/>
        <v>4.4999999999999998E-2</v>
      </c>
      <c r="K131" s="175">
        <f t="shared" si="42"/>
        <v>3.8296430163020645E-3</v>
      </c>
      <c r="L131" s="149">
        <f t="shared" si="52"/>
        <v>974464.34690782265</v>
      </c>
      <c r="M131" s="149">
        <f t="shared" si="53"/>
        <v>3109298.6646031747</v>
      </c>
      <c r="N131" s="149">
        <f t="shared" si="54"/>
        <v>1875089.2347184864</v>
      </c>
      <c r="P131" s="149">
        <f t="shared" si="55"/>
        <v>0</v>
      </c>
      <c r="Q131" s="149">
        <f t="shared" si="56"/>
        <v>0</v>
      </c>
      <c r="R131" s="178">
        <f t="shared" si="57"/>
        <v>0</v>
      </c>
      <c r="S131" s="113">
        <f t="shared" si="58"/>
        <v>0</v>
      </c>
      <c r="T131" s="113">
        <f t="shared" si="43"/>
        <v>0</v>
      </c>
      <c r="U131" s="114">
        <f t="shared" si="59"/>
        <v>18.166666666666668</v>
      </c>
      <c r="V131" s="114">
        <f t="shared" si="60"/>
        <v>0</v>
      </c>
      <c r="W131" s="114">
        <f t="shared" si="61"/>
        <v>348.19444444444451</v>
      </c>
      <c r="X131" s="114"/>
      <c r="Y131" s="149">
        <f t="shared" si="62"/>
        <v>84337291.638055548</v>
      </c>
      <c r="Z131" s="149">
        <f t="shared" si="63"/>
        <v>420625.49656279699</v>
      </c>
      <c r="AA131" s="178">
        <f t="shared" si="64"/>
        <v>2688673.168040378</v>
      </c>
      <c r="AB131" s="113">
        <f t="shared" si="65"/>
        <v>3109298.6646031751</v>
      </c>
      <c r="AC131" s="113">
        <f t="shared" si="44"/>
        <v>1841619.3338951059</v>
      </c>
      <c r="AD131" s="114">
        <f t="shared" si="66"/>
        <v>18.166666666666668</v>
      </c>
      <c r="AE131" s="114">
        <f t="shared" si="67"/>
        <v>9.195663544319603E-3</v>
      </c>
      <c r="AF131" s="114">
        <f t="shared" si="68"/>
        <v>348.19444444444451</v>
      </c>
      <c r="AG131" s="114"/>
      <c r="AH131" s="176">
        <f t="shared" si="69"/>
        <v>169141294.27578223</v>
      </c>
      <c r="AI131" s="176">
        <f t="shared" si="70"/>
        <v>813583.9333218917</v>
      </c>
      <c r="AJ131" s="178">
        <f t="shared" si="71"/>
        <v>-813583.9333218917</v>
      </c>
      <c r="AK131" s="113">
        <f t="shared" si="72"/>
        <v>0</v>
      </c>
      <c r="AL131" s="113">
        <f t="shared" si="45"/>
        <v>0</v>
      </c>
      <c r="AM131" s="114">
        <f t="shared" si="73"/>
        <v>18.166666666666668</v>
      </c>
      <c r="AN131" s="114">
        <f t="shared" si="74"/>
        <v>0</v>
      </c>
      <c r="AO131" s="114">
        <f t="shared" si="75"/>
        <v>348.19444444444451</v>
      </c>
    </row>
    <row r="132" spans="1:41" hidden="1" outlineLevel="1" x14ac:dyDescent="0.3">
      <c r="A132" s="146">
        <f t="shared" si="46"/>
        <v>110</v>
      </c>
      <c r="B132" s="147">
        <f t="shared" si="39"/>
        <v>175</v>
      </c>
      <c r="C132" s="147">
        <f t="shared" si="38"/>
        <v>185</v>
      </c>
      <c r="D132" s="149">
        <f t="shared" si="47"/>
        <v>251609644.76484564</v>
      </c>
      <c r="E132" s="149">
        <f t="shared" si="48"/>
        <v>2169054.6246479345</v>
      </c>
      <c r="F132" s="149">
        <f t="shared" si="40"/>
        <v>1267392.929569189</v>
      </c>
      <c r="G132" s="149">
        <f t="shared" si="41"/>
        <v>1225146.4985835494</v>
      </c>
      <c r="H132" s="149">
        <f t="shared" si="49"/>
        <v>42246.43098563957</v>
      </c>
      <c r="I132" s="149">
        <f t="shared" si="50"/>
        <v>901661.69507874548</v>
      </c>
      <c r="J132" s="147">
        <f t="shared" si="51"/>
        <v>4.4999999999999998E-2</v>
      </c>
      <c r="K132" s="175">
        <f t="shared" si="42"/>
        <v>3.8296430163020645E-3</v>
      </c>
      <c r="L132" s="149">
        <f t="shared" si="52"/>
        <v>967279.45391342638</v>
      </c>
      <c r="M132" s="149">
        <f t="shared" si="53"/>
        <v>3094087.6475757216</v>
      </c>
      <c r="N132" s="149">
        <f t="shared" si="54"/>
        <v>1868941.148992172</v>
      </c>
      <c r="P132" s="149">
        <f t="shared" si="55"/>
        <v>0</v>
      </c>
      <c r="Q132" s="149">
        <f t="shared" si="56"/>
        <v>0</v>
      </c>
      <c r="R132" s="178">
        <f t="shared" si="57"/>
        <v>0</v>
      </c>
      <c r="S132" s="113">
        <f t="shared" si="58"/>
        <v>0</v>
      </c>
      <c r="T132" s="113">
        <f t="shared" si="43"/>
        <v>0</v>
      </c>
      <c r="U132" s="114">
        <f t="shared" si="59"/>
        <v>18.333333333333332</v>
      </c>
      <c r="V132" s="114">
        <f t="shared" si="60"/>
        <v>0</v>
      </c>
      <c r="W132" s="114">
        <f t="shared" si="61"/>
        <v>354.4444444444444</v>
      </c>
      <c r="X132" s="114"/>
      <c r="Y132" s="149">
        <f t="shared" si="62"/>
        <v>81650834.233397096</v>
      </c>
      <c r="Z132" s="149">
        <f t="shared" si="63"/>
        <v>407630.24291726848</v>
      </c>
      <c r="AA132" s="178">
        <f t="shared" si="64"/>
        <v>2686457.4046584526</v>
      </c>
      <c r="AB132" s="113">
        <f t="shared" si="65"/>
        <v>3094087.6475757211</v>
      </c>
      <c r="AC132" s="113">
        <f t="shared" si="44"/>
        <v>1823825.2529257792</v>
      </c>
      <c r="AD132" s="114">
        <f t="shared" si="66"/>
        <v>18.333333333333332</v>
      </c>
      <c r="AE132" s="114">
        <f t="shared" si="67"/>
        <v>9.106813270724665E-3</v>
      </c>
      <c r="AF132" s="114">
        <f t="shared" si="68"/>
        <v>354.4444444444444</v>
      </c>
      <c r="AG132" s="114"/>
      <c r="AH132" s="176">
        <f t="shared" si="69"/>
        <v>169958810.53144851</v>
      </c>
      <c r="AI132" s="176">
        <f t="shared" si="70"/>
        <v>817516.25566628086</v>
      </c>
      <c r="AJ132" s="178">
        <f t="shared" si="71"/>
        <v>-817516.25566628086</v>
      </c>
      <c r="AK132" s="113">
        <f t="shared" si="72"/>
        <v>0</v>
      </c>
      <c r="AL132" s="113">
        <f t="shared" si="45"/>
        <v>0</v>
      </c>
      <c r="AM132" s="114">
        <f t="shared" si="73"/>
        <v>18.333333333333332</v>
      </c>
      <c r="AN132" s="114">
        <f t="shared" si="74"/>
        <v>0</v>
      </c>
      <c r="AO132" s="114">
        <f t="shared" si="75"/>
        <v>354.4444444444444</v>
      </c>
    </row>
    <row r="133" spans="1:41" hidden="1" outlineLevel="1" x14ac:dyDescent="0.3">
      <c r="A133" s="146">
        <f t="shared" si="46"/>
        <v>111</v>
      </c>
      <c r="B133" s="147">
        <f t="shared" si="39"/>
        <v>174</v>
      </c>
      <c r="C133" s="147">
        <f t="shared" si="38"/>
        <v>186</v>
      </c>
      <c r="D133" s="149">
        <f t="shared" si="47"/>
        <v>249746826.96759558</v>
      </c>
      <c r="E133" s="149">
        <f t="shared" si="48"/>
        <v>2160747.9197526737</v>
      </c>
      <c r="F133" s="149">
        <f t="shared" si="40"/>
        <v>1258048.2238242282</v>
      </c>
      <c r="G133" s="149">
        <f t="shared" si="41"/>
        <v>1216113.2830300874</v>
      </c>
      <c r="H133" s="149">
        <f t="shared" si="49"/>
        <v>41934.940794140799</v>
      </c>
      <c r="I133" s="149">
        <f t="shared" si="50"/>
        <v>902699.69592844555</v>
      </c>
      <c r="J133" s="147">
        <f t="shared" si="51"/>
        <v>4.4999999999999998E-2</v>
      </c>
      <c r="K133" s="175">
        <f t="shared" si="42"/>
        <v>3.8296430163020645E-3</v>
      </c>
      <c r="L133" s="149">
        <f t="shared" si="52"/>
        <v>960118.10132160399</v>
      </c>
      <c r="M133" s="149">
        <f t="shared" si="53"/>
        <v>3078931.0802801372</v>
      </c>
      <c r="N133" s="149">
        <f t="shared" si="54"/>
        <v>1862817.7972500497</v>
      </c>
      <c r="P133" s="149">
        <f t="shared" si="55"/>
        <v>0</v>
      </c>
      <c r="Q133" s="149">
        <f t="shared" si="56"/>
        <v>0</v>
      </c>
      <c r="R133" s="178">
        <f t="shared" si="57"/>
        <v>0</v>
      </c>
      <c r="S133" s="113">
        <f t="shared" si="58"/>
        <v>0</v>
      </c>
      <c r="T133" s="113">
        <f t="shared" si="43"/>
        <v>0</v>
      </c>
      <c r="U133" s="114">
        <f t="shared" si="59"/>
        <v>18.5</v>
      </c>
      <c r="V133" s="114">
        <f t="shared" si="60"/>
        <v>0</v>
      </c>
      <c r="W133" s="114">
        <f t="shared" si="61"/>
        <v>360.75</v>
      </c>
      <c r="X133" s="114"/>
      <c r="Y133" s="149">
        <f t="shared" si="62"/>
        <v>78966548.851911709</v>
      </c>
      <c r="Z133" s="149">
        <f t="shared" si="63"/>
        <v>394645.69879475265</v>
      </c>
      <c r="AA133" s="178">
        <f t="shared" si="64"/>
        <v>2684285.381485384</v>
      </c>
      <c r="AB133" s="113">
        <f t="shared" si="65"/>
        <v>3078931.0802801368</v>
      </c>
      <c r="AC133" s="113">
        <f t="shared" si="44"/>
        <v>1806191.3902293791</v>
      </c>
      <c r="AD133" s="114">
        <f t="shared" si="66"/>
        <v>18.5</v>
      </c>
      <c r="AE133" s="114">
        <f t="shared" si="67"/>
        <v>9.0187630068300842E-3</v>
      </c>
      <c r="AF133" s="114">
        <f t="shared" si="68"/>
        <v>360.75</v>
      </c>
      <c r="AG133" s="114"/>
      <c r="AH133" s="176">
        <f t="shared" si="69"/>
        <v>170780278.11568385</v>
      </c>
      <c r="AI133" s="176">
        <f t="shared" si="70"/>
        <v>821467.58423533454</v>
      </c>
      <c r="AJ133" s="178">
        <f t="shared" si="71"/>
        <v>-821467.58423533454</v>
      </c>
      <c r="AK133" s="113">
        <f t="shared" si="72"/>
        <v>0</v>
      </c>
      <c r="AL133" s="113">
        <f t="shared" si="45"/>
        <v>0</v>
      </c>
      <c r="AM133" s="114">
        <f t="shared" si="73"/>
        <v>18.5</v>
      </c>
      <c r="AN133" s="114">
        <f t="shared" si="74"/>
        <v>0</v>
      </c>
      <c r="AO133" s="114">
        <f t="shared" si="75"/>
        <v>360.75</v>
      </c>
    </row>
    <row r="134" spans="1:41" hidden="1" outlineLevel="1" x14ac:dyDescent="0.3">
      <c r="A134" s="146">
        <f t="shared" si="46"/>
        <v>112</v>
      </c>
      <c r="B134" s="147">
        <f t="shared" si="39"/>
        <v>173</v>
      </c>
      <c r="C134" s="147">
        <f t="shared" si="38"/>
        <v>187</v>
      </c>
      <c r="D134" s="149">
        <f t="shared" si="47"/>
        <v>247890107.881457</v>
      </c>
      <c r="E134" s="149">
        <f t="shared" si="48"/>
        <v>2152473.0265718037</v>
      </c>
      <c r="F134" s="149">
        <f t="shared" si="40"/>
        <v>1248734.1348379778</v>
      </c>
      <c r="G134" s="149">
        <f t="shared" si="41"/>
        <v>1207109.663676712</v>
      </c>
      <c r="H134" s="149">
        <f t="shared" si="49"/>
        <v>41624.471161265858</v>
      </c>
      <c r="I134" s="149">
        <f t="shared" si="50"/>
        <v>903738.89173382591</v>
      </c>
      <c r="J134" s="147">
        <f t="shared" si="51"/>
        <v>4.4999999999999998E-2</v>
      </c>
      <c r="K134" s="175">
        <f t="shared" si="42"/>
        <v>3.8296430163020645E-3</v>
      </c>
      <c r="L134" s="149">
        <f t="shared" si="52"/>
        <v>952980.19440476352</v>
      </c>
      <c r="M134" s="149">
        <f t="shared" si="53"/>
        <v>3063828.7498153015</v>
      </c>
      <c r="N134" s="149">
        <f t="shared" si="54"/>
        <v>1856719.0861385893</v>
      </c>
      <c r="P134" s="149">
        <f t="shared" si="55"/>
        <v>0</v>
      </c>
      <c r="Q134" s="149">
        <f t="shared" si="56"/>
        <v>0</v>
      </c>
      <c r="R134" s="178">
        <f t="shared" si="57"/>
        <v>0</v>
      </c>
      <c r="S134" s="113">
        <f t="shared" si="58"/>
        <v>0</v>
      </c>
      <c r="T134" s="113">
        <f t="shared" si="43"/>
        <v>0</v>
      </c>
      <c r="U134" s="114">
        <f t="shared" si="59"/>
        <v>18.666666666666668</v>
      </c>
      <c r="V134" s="114">
        <f t="shared" si="60"/>
        <v>0</v>
      </c>
      <c r="W134" s="114">
        <f t="shared" si="61"/>
        <v>367.11111111111114</v>
      </c>
      <c r="X134" s="114"/>
      <c r="Y134" s="149">
        <f t="shared" si="62"/>
        <v>76284391.754880652</v>
      </c>
      <c r="Z134" s="149">
        <f t="shared" si="63"/>
        <v>381671.65278423997</v>
      </c>
      <c r="AA134" s="178">
        <f t="shared" si="64"/>
        <v>2682157.0970310615</v>
      </c>
      <c r="AB134" s="113">
        <f t="shared" si="65"/>
        <v>3063828.7498153015</v>
      </c>
      <c r="AC134" s="113">
        <f t="shared" si="44"/>
        <v>1788716.3412440438</v>
      </c>
      <c r="AD134" s="114">
        <f t="shared" si="66"/>
        <v>18.666666666666668</v>
      </c>
      <c r="AE134" s="114">
        <f t="shared" si="67"/>
        <v>8.9315057393090213E-3</v>
      </c>
      <c r="AF134" s="114">
        <f t="shared" si="68"/>
        <v>367.11111111111114</v>
      </c>
      <c r="AG134" s="114"/>
      <c r="AH134" s="176">
        <f t="shared" si="69"/>
        <v>171605716.12657633</v>
      </c>
      <c r="AI134" s="176">
        <f t="shared" si="70"/>
        <v>825438.010892472</v>
      </c>
      <c r="AJ134" s="178">
        <f t="shared" si="71"/>
        <v>-825438.010892472</v>
      </c>
      <c r="AK134" s="113">
        <f t="shared" si="72"/>
        <v>0</v>
      </c>
      <c r="AL134" s="113">
        <f t="shared" si="45"/>
        <v>0</v>
      </c>
      <c r="AM134" s="114">
        <f t="shared" si="73"/>
        <v>18.666666666666668</v>
      </c>
      <c r="AN134" s="114">
        <f t="shared" si="74"/>
        <v>0</v>
      </c>
      <c r="AO134" s="114">
        <f t="shared" si="75"/>
        <v>367.11111111111114</v>
      </c>
    </row>
    <row r="135" spans="1:41" hidden="1" outlineLevel="1" x14ac:dyDescent="0.3">
      <c r="A135" s="146">
        <f t="shared" si="46"/>
        <v>113</v>
      </c>
      <c r="B135" s="147">
        <f t="shared" si="39"/>
        <v>172</v>
      </c>
      <c r="C135" s="147">
        <f t="shared" si="38"/>
        <v>188</v>
      </c>
      <c r="D135" s="149">
        <f t="shared" si="47"/>
        <v>246039462.95879367</v>
      </c>
      <c r="E135" s="149">
        <f t="shared" si="48"/>
        <v>2144229.8232778143</v>
      </c>
      <c r="F135" s="149">
        <f t="shared" si="40"/>
        <v>1239450.5394072849</v>
      </c>
      <c r="G135" s="149">
        <f t="shared" si="41"/>
        <v>1198135.5214270423</v>
      </c>
      <c r="H135" s="149">
        <f t="shared" si="49"/>
        <v>41315.017980242614</v>
      </c>
      <c r="I135" s="149">
        <f t="shared" si="50"/>
        <v>904779.28387052938</v>
      </c>
      <c r="J135" s="147">
        <f t="shared" si="51"/>
        <v>4.4999999999999998E-2</v>
      </c>
      <c r="K135" s="175">
        <f t="shared" si="42"/>
        <v>3.8296430163020645E-3</v>
      </c>
      <c r="L135" s="149">
        <f t="shared" si="52"/>
        <v>945865.6387928176</v>
      </c>
      <c r="M135" s="149">
        <f t="shared" si="53"/>
        <v>3048780.4440903892</v>
      </c>
      <c r="N135" s="149">
        <f t="shared" si="54"/>
        <v>1850644.9226633469</v>
      </c>
      <c r="P135" s="149">
        <f t="shared" si="55"/>
        <v>0</v>
      </c>
      <c r="Q135" s="149">
        <f t="shared" si="56"/>
        <v>0</v>
      </c>
      <c r="R135" s="178">
        <f t="shared" si="57"/>
        <v>0</v>
      </c>
      <c r="S135" s="113">
        <f t="shared" si="58"/>
        <v>0</v>
      </c>
      <c r="T135" s="113">
        <f t="shared" si="43"/>
        <v>0</v>
      </c>
      <c r="U135" s="114">
        <f t="shared" si="59"/>
        <v>18.833333333333332</v>
      </c>
      <c r="V135" s="114">
        <f t="shared" si="60"/>
        <v>0</v>
      </c>
      <c r="W135" s="114">
        <f t="shared" si="61"/>
        <v>373.52777777777771</v>
      </c>
      <c r="X135" s="114"/>
      <c r="Y135" s="149">
        <f t="shared" si="62"/>
        <v>73604319.204272181</v>
      </c>
      <c r="Z135" s="149">
        <f t="shared" si="63"/>
        <v>368707.89348192315</v>
      </c>
      <c r="AA135" s="178">
        <f t="shared" si="64"/>
        <v>2680072.5506084659</v>
      </c>
      <c r="AB135" s="113">
        <f t="shared" si="65"/>
        <v>3048780.4440903892</v>
      </c>
      <c r="AC135" s="113">
        <f t="shared" si="44"/>
        <v>1771398.7135884424</v>
      </c>
      <c r="AD135" s="114">
        <f t="shared" si="66"/>
        <v>18.833333333333332</v>
      </c>
      <c r="AE135" s="114">
        <f t="shared" si="67"/>
        <v>8.8450345156550533E-3</v>
      </c>
      <c r="AF135" s="114">
        <f t="shared" si="68"/>
        <v>373.52777777777771</v>
      </c>
      <c r="AG135" s="114"/>
      <c r="AH135" s="176">
        <f t="shared" si="69"/>
        <v>172435143.75452146</v>
      </c>
      <c r="AI135" s="176">
        <f t="shared" si="70"/>
        <v>829427.62794511893</v>
      </c>
      <c r="AJ135" s="178">
        <f t="shared" si="71"/>
        <v>-829427.62794511893</v>
      </c>
      <c r="AK135" s="113">
        <f t="shared" si="72"/>
        <v>0</v>
      </c>
      <c r="AL135" s="113">
        <f t="shared" si="45"/>
        <v>0</v>
      </c>
      <c r="AM135" s="114">
        <f t="shared" si="73"/>
        <v>18.833333333333332</v>
      </c>
      <c r="AN135" s="114">
        <f t="shared" si="74"/>
        <v>0</v>
      </c>
      <c r="AO135" s="114">
        <f t="shared" si="75"/>
        <v>373.52777777777771</v>
      </c>
    </row>
    <row r="136" spans="1:41" hidden="1" outlineLevel="1" x14ac:dyDescent="0.3">
      <c r="A136" s="146">
        <f t="shared" si="46"/>
        <v>114</v>
      </c>
      <c r="B136" s="147">
        <f t="shared" si="39"/>
        <v>171</v>
      </c>
      <c r="C136" s="147">
        <f t="shared" si="38"/>
        <v>189</v>
      </c>
      <c r="D136" s="149">
        <f t="shared" si="47"/>
        <v>244194867.74460608</v>
      </c>
      <c r="E136" s="149">
        <f t="shared" si="48"/>
        <v>2136018.188509752</v>
      </c>
      <c r="F136" s="149">
        <f t="shared" si="40"/>
        <v>1230197.3147939683</v>
      </c>
      <c r="G136" s="149">
        <f t="shared" si="41"/>
        <v>1189190.7376341694</v>
      </c>
      <c r="H136" s="149">
        <f t="shared" si="49"/>
        <v>41006.577159798937</v>
      </c>
      <c r="I136" s="149">
        <f t="shared" si="50"/>
        <v>905820.8737157837</v>
      </c>
      <c r="J136" s="147">
        <f t="shared" si="51"/>
        <v>4.4999999999999998E-2</v>
      </c>
      <c r="K136" s="175">
        <f t="shared" si="42"/>
        <v>3.8296430163020645E-3</v>
      </c>
      <c r="L136" s="149">
        <f t="shared" si="52"/>
        <v>938774.34047180833</v>
      </c>
      <c r="M136" s="149">
        <f t="shared" si="53"/>
        <v>3033785.9518217612</v>
      </c>
      <c r="N136" s="149">
        <f t="shared" si="54"/>
        <v>1844595.214187592</v>
      </c>
      <c r="P136" s="149">
        <f t="shared" si="55"/>
        <v>0</v>
      </c>
      <c r="Q136" s="149">
        <f t="shared" si="56"/>
        <v>0</v>
      </c>
      <c r="R136" s="178">
        <f t="shared" si="57"/>
        <v>0</v>
      </c>
      <c r="S136" s="113">
        <f t="shared" si="58"/>
        <v>0</v>
      </c>
      <c r="T136" s="113">
        <f t="shared" si="43"/>
        <v>0</v>
      </c>
      <c r="U136" s="114">
        <f t="shared" si="59"/>
        <v>19</v>
      </c>
      <c r="V136" s="114">
        <f t="shared" si="60"/>
        <v>0</v>
      </c>
      <c r="W136" s="114">
        <f t="shared" si="61"/>
        <v>380</v>
      </c>
      <c r="X136" s="114"/>
      <c r="Y136" s="149">
        <f t="shared" si="62"/>
        <v>70926287.46193774</v>
      </c>
      <c r="Z136" s="149">
        <f t="shared" si="63"/>
        <v>355754.20948731556</v>
      </c>
      <c r="AA136" s="178">
        <f t="shared" si="64"/>
        <v>2678031.7423344459</v>
      </c>
      <c r="AB136" s="113">
        <f t="shared" si="65"/>
        <v>3033785.9518217617</v>
      </c>
      <c r="AC136" s="113">
        <f t="shared" si="44"/>
        <v>1754237.1269566186</v>
      </c>
      <c r="AD136" s="114">
        <f t="shared" si="66"/>
        <v>19</v>
      </c>
      <c r="AE136" s="114">
        <f t="shared" si="67"/>
        <v>8.7593424436571109E-3</v>
      </c>
      <c r="AF136" s="114">
        <f t="shared" si="68"/>
        <v>380</v>
      </c>
      <c r="AG136" s="114"/>
      <c r="AH136" s="176">
        <f t="shared" si="69"/>
        <v>173268580.28266832</v>
      </c>
      <c r="AI136" s="176">
        <f t="shared" si="70"/>
        <v>833436.52814685379</v>
      </c>
      <c r="AJ136" s="178">
        <f t="shared" si="71"/>
        <v>-833436.52814685379</v>
      </c>
      <c r="AK136" s="113">
        <f t="shared" si="72"/>
        <v>0</v>
      </c>
      <c r="AL136" s="113">
        <f t="shared" si="45"/>
        <v>0</v>
      </c>
      <c r="AM136" s="114">
        <f t="shared" si="73"/>
        <v>19</v>
      </c>
      <c r="AN136" s="114">
        <f t="shared" si="74"/>
        <v>0</v>
      </c>
      <c r="AO136" s="114">
        <f t="shared" si="75"/>
        <v>380</v>
      </c>
    </row>
    <row r="137" spans="1:41" hidden="1" outlineLevel="1" x14ac:dyDescent="0.3">
      <c r="A137" s="146">
        <f t="shared" si="46"/>
        <v>115</v>
      </c>
      <c r="B137" s="147">
        <f t="shared" si="39"/>
        <v>170</v>
      </c>
      <c r="C137" s="147">
        <f t="shared" si="38"/>
        <v>190</v>
      </c>
      <c r="D137" s="149">
        <f t="shared" si="47"/>
        <v>242356297.87617514</v>
      </c>
      <c r="E137" s="149">
        <f t="shared" si="48"/>
        <v>2127838.0013714316</v>
      </c>
      <c r="F137" s="149">
        <f t="shared" si="40"/>
        <v>1220974.3387230304</v>
      </c>
      <c r="G137" s="149">
        <f t="shared" si="41"/>
        <v>1180275.1940989294</v>
      </c>
      <c r="H137" s="149">
        <f t="shared" si="49"/>
        <v>40699.144624100998</v>
      </c>
      <c r="I137" s="149">
        <f t="shared" si="50"/>
        <v>906863.66264840122</v>
      </c>
      <c r="J137" s="147">
        <f t="shared" si="51"/>
        <v>4.4999999999999998E-2</v>
      </c>
      <c r="K137" s="175">
        <f t="shared" si="42"/>
        <v>3.8296430163020645E-3</v>
      </c>
      <c r="L137" s="149">
        <f t="shared" si="52"/>
        <v>931706.20578253735</v>
      </c>
      <c r="M137" s="149">
        <f t="shared" si="53"/>
        <v>3018845.062529868</v>
      </c>
      <c r="N137" s="149">
        <f t="shared" si="54"/>
        <v>1838569.8684309386</v>
      </c>
      <c r="P137" s="149">
        <f t="shared" si="55"/>
        <v>0</v>
      </c>
      <c r="Q137" s="149">
        <f t="shared" si="56"/>
        <v>0</v>
      </c>
      <c r="R137" s="178">
        <f t="shared" si="57"/>
        <v>0</v>
      </c>
      <c r="S137" s="113">
        <f t="shared" si="58"/>
        <v>0</v>
      </c>
      <c r="T137" s="113">
        <f t="shared" si="43"/>
        <v>0</v>
      </c>
      <c r="U137" s="114">
        <f t="shared" si="59"/>
        <v>19.166666666666668</v>
      </c>
      <c r="V137" s="114">
        <f t="shared" si="60"/>
        <v>0</v>
      </c>
      <c r="W137" s="114">
        <f t="shared" si="61"/>
        <v>386.52777777777783</v>
      </c>
      <c r="X137" s="114"/>
      <c r="Y137" s="149">
        <f t="shared" si="62"/>
        <v>68250252.788807243</v>
      </c>
      <c r="Z137" s="149">
        <f t="shared" si="63"/>
        <v>342810.38939936575</v>
      </c>
      <c r="AA137" s="178">
        <f t="shared" si="64"/>
        <v>2676034.673130502</v>
      </c>
      <c r="AB137" s="113">
        <f t="shared" si="65"/>
        <v>3018845.0625298675</v>
      </c>
      <c r="AC137" s="113">
        <f t="shared" si="44"/>
        <v>1737230.213013737</v>
      </c>
      <c r="AD137" s="114">
        <f t="shared" si="66"/>
        <v>19.166666666666668</v>
      </c>
      <c r="AE137" s="114">
        <f t="shared" si="67"/>
        <v>8.6744226908789038E-3</v>
      </c>
      <c r="AF137" s="114">
        <f t="shared" si="68"/>
        <v>386.52777777777783</v>
      </c>
      <c r="AG137" s="114"/>
      <c r="AH137" s="176">
        <f t="shared" si="69"/>
        <v>174106045.08736789</v>
      </c>
      <c r="AI137" s="176">
        <f t="shared" si="70"/>
        <v>837464.80469956365</v>
      </c>
      <c r="AJ137" s="178">
        <f t="shared" si="71"/>
        <v>-837464.80469956365</v>
      </c>
      <c r="AK137" s="113">
        <f t="shared" si="72"/>
        <v>0</v>
      </c>
      <c r="AL137" s="113">
        <f t="shared" si="45"/>
        <v>0</v>
      </c>
      <c r="AM137" s="114">
        <f t="shared" si="73"/>
        <v>19.166666666666668</v>
      </c>
      <c r="AN137" s="114">
        <f t="shared" si="74"/>
        <v>0</v>
      </c>
      <c r="AO137" s="114">
        <f t="shared" si="75"/>
        <v>386.52777777777783</v>
      </c>
    </row>
    <row r="138" spans="1:41" hidden="1" outlineLevel="1" x14ac:dyDescent="0.3">
      <c r="A138" s="146">
        <f t="shared" si="46"/>
        <v>116</v>
      </c>
      <c r="B138" s="147">
        <f t="shared" si="39"/>
        <v>169</v>
      </c>
      <c r="C138" s="147">
        <f t="shared" si="38"/>
        <v>191</v>
      </c>
      <c r="D138" s="149">
        <f t="shared" si="47"/>
        <v>240523729.08270714</v>
      </c>
      <c r="E138" s="149">
        <f t="shared" si="48"/>
        <v>2119689.1414296576</v>
      </c>
      <c r="F138" s="149">
        <f t="shared" si="40"/>
        <v>1211781.4893808756</v>
      </c>
      <c r="G138" s="149">
        <f t="shared" si="41"/>
        <v>1171388.7730681798</v>
      </c>
      <c r="H138" s="149">
        <f t="shared" si="49"/>
        <v>40392.71631269576</v>
      </c>
      <c r="I138" s="149">
        <f t="shared" si="50"/>
        <v>907907.65204878198</v>
      </c>
      <c r="J138" s="147">
        <f t="shared" si="51"/>
        <v>4.4999999999999998E-2</v>
      </c>
      <c r="K138" s="175">
        <f t="shared" si="42"/>
        <v>3.8296430163020645E-3</v>
      </c>
      <c r="L138" s="149">
        <f t="shared" si="52"/>
        <v>924661.14141920104</v>
      </c>
      <c r="M138" s="149">
        <f t="shared" si="53"/>
        <v>3003957.566536163</v>
      </c>
      <c r="N138" s="149">
        <f t="shared" si="54"/>
        <v>1832568.7934679831</v>
      </c>
      <c r="P138" s="149">
        <f t="shared" si="55"/>
        <v>0</v>
      </c>
      <c r="Q138" s="149">
        <f t="shared" si="56"/>
        <v>0</v>
      </c>
      <c r="R138" s="178">
        <f t="shared" si="57"/>
        <v>0</v>
      </c>
      <c r="S138" s="113">
        <f t="shared" si="58"/>
        <v>0</v>
      </c>
      <c r="T138" s="113">
        <f t="shared" si="43"/>
        <v>0</v>
      </c>
      <c r="U138" s="114">
        <f t="shared" si="59"/>
        <v>19.333333333333332</v>
      </c>
      <c r="V138" s="114">
        <f t="shared" si="60"/>
        <v>0</v>
      </c>
      <c r="W138" s="114">
        <f t="shared" si="61"/>
        <v>393.11111111111109</v>
      </c>
      <c r="X138" s="114"/>
      <c r="Y138" s="149">
        <f t="shared" si="62"/>
        <v>65576171.444083646</v>
      </c>
      <c r="Z138" s="149">
        <f t="shared" si="63"/>
        <v>329876.22181256837</v>
      </c>
      <c r="AA138" s="178">
        <f t="shared" si="64"/>
        <v>2674081.3447235944</v>
      </c>
      <c r="AB138" s="113">
        <f t="shared" si="65"/>
        <v>3003957.566536163</v>
      </c>
      <c r="AC138" s="113">
        <f t="shared" si="44"/>
        <v>1720376.6152927363</v>
      </c>
      <c r="AD138" s="114">
        <f t="shared" si="66"/>
        <v>19.333333333333332</v>
      </c>
      <c r="AE138" s="114">
        <f t="shared" si="67"/>
        <v>8.5902684841428975E-3</v>
      </c>
      <c r="AF138" s="114">
        <f t="shared" si="68"/>
        <v>393.11111111111109</v>
      </c>
      <c r="AG138" s="114"/>
      <c r="AH138" s="176">
        <f t="shared" si="69"/>
        <v>174947557.63862351</v>
      </c>
      <c r="AI138" s="176">
        <f t="shared" si="70"/>
        <v>841512.55125561147</v>
      </c>
      <c r="AJ138" s="178">
        <f t="shared" si="71"/>
        <v>-841512.55125561147</v>
      </c>
      <c r="AK138" s="113">
        <f t="shared" si="72"/>
        <v>0</v>
      </c>
      <c r="AL138" s="113">
        <f t="shared" si="45"/>
        <v>0</v>
      </c>
      <c r="AM138" s="114">
        <f t="shared" si="73"/>
        <v>19.333333333333332</v>
      </c>
      <c r="AN138" s="114">
        <f t="shared" si="74"/>
        <v>0</v>
      </c>
      <c r="AO138" s="114">
        <f t="shared" si="75"/>
        <v>393.11111111111109</v>
      </c>
    </row>
    <row r="139" spans="1:41" hidden="1" outlineLevel="1" x14ac:dyDescent="0.3">
      <c r="A139" s="146">
        <f t="shared" si="46"/>
        <v>117</v>
      </c>
      <c r="B139" s="147">
        <f t="shared" si="39"/>
        <v>168</v>
      </c>
      <c r="C139" s="147">
        <f t="shared" si="38"/>
        <v>192</v>
      </c>
      <c r="D139" s="149">
        <f t="shared" si="47"/>
        <v>238697137.18498018</v>
      </c>
      <c r="E139" s="149">
        <f t="shared" si="48"/>
        <v>2111571.48871245</v>
      </c>
      <c r="F139" s="149">
        <f t="shared" si="40"/>
        <v>1202618.6454135356</v>
      </c>
      <c r="G139" s="149">
        <f t="shared" si="41"/>
        <v>1162531.3572330845</v>
      </c>
      <c r="H139" s="149">
        <f t="shared" si="49"/>
        <v>40087.288180451142</v>
      </c>
      <c r="I139" s="149">
        <f t="shared" si="50"/>
        <v>908952.84329891438</v>
      </c>
      <c r="J139" s="147">
        <f t="shared" si="51"/>
        <v>4.4999999999999998E-2</v>
      </c>
      <c r="K139" s="175">
        <f t="shared" si="42"/>
        <v>3.8296430163020645E-3</v>
      </c>
      <c r="L139" s="149">
        <f t="shared" si="52"/>
        <v>917639.05442803155</v>
      </c>
      <c r="M139" s="149">
        <f t="shared" si="53"/>
        <v>2989123.2549600303</v>
      </c>
      <c r="N139" s="149">
        <f t="shared" si="54"/>
        <v>1826591.897726946</v>
      </c>
      <c r="P139" s="149">
        <f t="shared" si="55"/>
        <v>0</v>
      </c>
      <c r="Q139" s="149">
        <f t="shared" si="56"/>
        <v>0</v>
      </c>
      <c r="R139" s="178">
        <f t="shared" si="57"/>
        <v>0</v>
      </c>
      <c r="S139" s="113">
        <f t="shared" si="58"/>
        <v>0</v>
      </c>
      <c r="T139" s="113">
        <f t="shared" si="43"/>
        <v>0</v>
      </c>
      <c r="U139" s="114">
        <f t="shared" si="59"/>
        <v>19.5</v>
      </c>
      <c r="V139" s="114">
        <f t="shared" si="60"/>
        <v>0</v>
      </c>
      <c r="W139" s="114">
        <f t="shared" si="61"/>
        <v>399.75</v>
      </c>
      <c r="X139" s="114"/>
      <c r="Y139" s="149">
        <f t="shared" si="62"/>
        <v>62903999.684436686</v>
      </c>
      <c r="Z139" s="149">
        <f t="shared" si="63"/>
        <v>316951.49531307095</v>
      </c>
      <c r="AA139" s="178">
        <f t="shared" si="64"/>
        <v>2672171.7596469596</v>
      </c>
      <c r="AB139" s="113">
        <f t="shared" si="65"/>
        <v>2989123.2549600303</v>
      </c>
      <c r="AC139" s="113">
        <f t="shared" si="44"/>
        <v>1703674.9890918622</v>
      </c>
      <c r="AD139" s="114">
        <f t="shared" si="66"/>
        <v>19.5</v>
      </c>
      <c r="AE139" s="114">
        <f t="shared" si="67"/>
        <v>8.5068731090186603E-3</v>
      </c>
      <c r="AF139" s="114">
        <f t="shared" si="68"/>
        <v>399.75</v>
      </c>
      <c r="AG139" s="114"/>
      <c r="AH139" s="176">
        <f t="shared" si="69"/>
        <v>175793137.5005435</v>
      </c>
      <c r="AI139" s="176">
        <f t="shared" si="70"/>
        <v>845579.86192001367</v>
      </c>
      <c r="AJ139" s="178">
        <f t="shared" si="71"/>
        <v>-845579.86192001367</v>
      </c>
      <c r="AK139" s="113">
        <f t="shared" si="72"/>
        <v>0</v>
      </c>
      <c r="AL139" s="113">
        <f t="shared" si="45"/>
        <v>0</v>
      </c>
      <c r="AM139" s="114">
        <f t="shared" si="73"/>
        <v>19.5</v>
      </c>
      <c r="AN139" s="114">
        <f t="shared" si="74"/>
        <v>0</v>
      </c>
      <c r="AO139" s="114">
        <f t="shared" si="75"/>
        <v>399.75</v>
      </c>
    </row>
    <row r="140" spans="1:41" hidden="1" outlineLevel="1" x14ac:dyDescent="0.3">
      <c r="A140" s="146">
        <f t="shared" si="46"/>
        <v>118</v>
      </c>
      <c r="B140" s="147">
        <f t="shared" si="39"/>
        <v>167</v>
      </c>
      <c r="C140" s="147">
        <f t="shared" si="38"/>
        <v>193</v>
      </c>
      <c r="D140" s="149">
        <f t="shared" si="47"/>
        <v>236876498.09499186</v>
      </c>
      <c r="E140" s="149">
        <f t="shared" si="48"/>
        <v>2103484.9237072798</v>
      </c>
      <c r="F140" s="149">
        <f t="shared" si="40"/>
        <v>1193485.6859249009</v>
      </c>
      <c r="G140" s="149">
        <f t="shared" si="41"/>
        <v>1153702.8297274043</v>
      </c>
      <c r="H140" s="149">
        <f t="shared" si="49"/>
        <v>39782.856197496643</v>
      </c>
      <c r="I140" s="149">
        <f t="shared" si="50"/>
        <v>909999.23778237891</v>
      </c>
      <c r="J140" s="147">
        <f t="shared" si="51"/>
        <v>4.4999999999999998E-2</v>
      </c>
      <c r="K140" s="175">
        <f t="shared" si="42"/>
        <v>3.8296430163020645E-3</v>
      </c>
      <c r="L140" s="149">
        <f t="shared" si="52"/>
        <v>910639.85220594169</v>
      </c>
      <c r="M140" s="149">
        <f t="shared" si="53"/>
        <v>2974341.9197157249</v>
      </c>
      <c r="N140" s="149">
        <f t="shared" si="54"/>
        <v>1820639.0899883206</v>
      </c>
      <c r="P140" s="149">
        <f t="shared" si="55"/>
        <v>0</v>
      </c>
      <c r="Q140" s="149">
        <f t="shared" si="56"/>
        <v>0</v>
      </c>
      <c r="R140" s="178">
        <f t="shared" si="57"/>
        <v>0</v>
      </c>
      <c r="S140" s="113">
        <f t="shared" si="58"/>
        <v>0</v>
      </c>
      <c r="T140" s="113">
        <f t="shared" si="43"/>
        <v>0</v>
      </c>
      <c r="U140" s="114">
        <f t="shared" si="59"/>
        <v>19.666666666666668</v>
      </c>
      <c r="V140" s="114">
        <f t="shared" si="60"/>
        <v>0</v>
      </c>
      <c r="W140" s="114">
        <f t="shared" si="61"/>
        <v>406.44444444444451</v>
      </c>
      <c r="X140" s="114"/>
      <c r="Y140" s="149">
        <f t="shared" si="62"/>
        <v>60233693.763195738</v>
      </c>
      <c r="Z140" s="149">
        <f t="shared" si="63"/>
        <v>304035.99847477733</v>
      </c>
      <c r="AA140" s="178">
        <f t="shared" si="64"/>
        <v>2670305.9212409477</v>
      </c>
      <c r="AB140" s="113">
        <f t="shared" si="65"/>
        <v>2974341.9197157249</v>
      </c>
      <c r="AC140" s="113">
        <f t="shared" si="44"/>
        <v>1687124.0013730957</v>
      </c>
      <c r="AD140" s="114">
        <f t="shared" si="66"/>
        <v>19.666666666666668</v>
      </c>
      <c r="AE140" s="114">
        <f t="shared" si="67"/>
        <v>8.4242299093156905E-3</v>
      </c>
      <c r="AF140" s="114">
        <f t="shared" si="68"/>
        <v>406.44444444444451</v>
      </c>
      <c r="AG140" s="114"/>
      <c r="AH140" s="176">
        <f t="shared" si="69"/>
        <v>176642804.33179614</v>
      </c>
      <c r="AI140" s="176">
        <f t="shared" si="70"/>
        <v>849666.83125262696</v>
      </c>
      <c r="AJ140" s="178">
        <f t="shared" si="71"/>
        <v>-849666.83125262696</v>
      </c>
      <c r="AK140" s="113">
        <f t="shared" si="72"/>
        <v>0</v>
      </c>
      <c r="AL140" s="113">
        <f t="shared" si="45"/>
        <v>0</v>
      </c>
      <c r="AM140" s="114">
        <f t="shared" si="73"/>
        <v>19.666666666666668</v>
      </c>
      <c r="AN140" s="114">
        <f t="shared" si="74"/>
        <v>0</v>
      </c>
      <c r="AO140" s="114">
        <f t="shared" si="75"/>
        <v>406.44444444444451</v>
      </c>
    </row>
    <row r="141" spans="1:41" hidden="1" outlineLevel="1" x14ac:dyDescent="0.3">
      <c r="A141" s="146">
        <f t="shared" si="46"/>
        <v>119</v>
      </c>
      <c r="B141" s="147">
        <f t="shared" si="39"/>
        <v>166</v>
      </c>
      <c r="C141" s="147">
        <f t="shared" si="38"/>
        <v>194</v>
      </c>
      <c r="D141" s="149">
        <f t="shared" si="47"/>
        <v>235061787.81560832</v>
      </c>
      <c r="E141" s="149">
        <f t="shared" si="48"/>
        <v>2095429.3273593076</v>
      </c>
      <c r="F141" s="149">
        <f t="shared" si="40"/>
        <v>1184382.4904749594</v>
      </c>
      <c r="G141" s="149">
        <f t="shared" si="41"/>
        <v>1144903.074125794</v>
      </c>
      <c r="H141" s="149">
        <f t="shared" si="49"/>
        <v>39479.416349165374</v>
      </c>
      <c r="I141" s="149">
        <f t="shared" si="50"/>
        <v>911046.83688434819</v>
      </c>
      <c r="J141" s="147">
        <f t="shared" si="51"/>
        <v>4.4999999999999998E-2</v>
      </c>
      <c r="K141" s="175">
        <f t="shared" si="42"/>
        <v>3.8296430163020645E-3</v>
      </c>
      <c r="L141" s="149">
        <f t="shared" si="52"/>
        <v>903663.4424991766</v>
      </c>
      <c r="M141" s="149">
        <f t="shared" si="53"/>
        <v>2959613.353509319</v>
      </c>
      <c r="N141" s="149">
        <f t="shared" si="54"/>
        <v>1814710.2793835248</v>
      </c>
      <c r="P141" s="149">
        <f t="shared" si="55"/>
        <v>0</v>
      </c>
      <c r="Q141" s="149">
        <f t="shared" si="56"/>
        <v>0</v>
      </c>
      <c r="R141" s="178">
        <f t="shared" si="57"/>
        <v>0</v>
      </c>
      <c r="S141" s="113">
        <f t="shared" si="58"/>
        <v>0</v>
      </c>
      <c r="T141" s="113">
        <f t="shared" si="43"/>
        <v>0</v>
      </c>
      <c r="U141" s="114">
        <f t="shared" si="59"/>
        <v>19.833333333333332</v>
      </c>
      <c r="V141" s="114">
        <f t="shared" si="60"/>
        <v>0</v>
      </c>
      <c r="W141" s="114">
        <f t="shared" si="61"/>
        <v>413.1944444444444</v>
      </c>
      <c r="X141" s="114"/>
      <c r="Y141" s="149">
        <f t="shared" si="62"/>
        <v>57565209.929541864</v>
      </c>
      <c r="Z141" s="149">
        <f t="shared" si="63"/>
        <v>291129.51985544607</v>
      </c>
      <c r="AA141" s="178">
        <f t="shared" si="64"/>
        <v>2668483.8336538728</v>
      </c>
      <c r="AB141" s="113">
        <f t="shared" si="65"/>
        <v>2959613.353509319</v>
      </c>
      <c r="AC141" s="113">
        <f t="shared" si="44"/>
        <v>1670722.3306614459</v>
      </c>
      <c r="AD141" s="114">
        <f t="shared" si="66"/>
        <v>19.833333333333332</v>
      </c>
      <c r="AE141" s="114">
        <f t="shared" si="67"/>
        <v>8.3423322865805657E-3</v>
      </c>
      <c r="AF141" s="114">
        <f t="shared" si="68"/>
        <v>413.1944444444444</v>
      </c>
      <c r="AG141" s="114"/>
      <c r="AH141" s="176">
        <f t="shared" si="69"/>
        <v>177496577.8860665</v>
      </c>
      <c r="AI141" s="176">
        <f t="shared" si="70"/>
        <v>853773.55427034805</v>
      </c>
      <c r="AJ141" s="178">
        <f t="shared" si="71"/>
        <v>-853773.55427034805</v>
      </c>
      <c r="AK141" s="113">
        <f t="shared" si="72"/>
        <v>0</v>
      </c>
      <c r="AL141" s="113">
        <f t="shared" si="45"/>
        <v>0</v>
      </c>
      <c r="AM141" s="114">
        <f t="shared" si="73"/>
        <v>19.833333333333332</v>
      </c>
      <c r="AN141" s="114">
        <f t="shared" si="74"/>
        <v>0</v>
      </c>
      <c r="AO141" s="114">
        <f t="shared" si="75"/>
        <v>413.1944444444444</v>
      </c>
    </row>
    <row r="142" spans="1:41" hidden="1" outlineLevel="1" x14ac:dyDescent="0.3">
      <c r="A142" s="146">
        <f t="shared" si="46"/>
        <v>120</v>
      </c>
      <c r="B142" s="147">
        <f t="shared" si="39"/>
        <v>165</v>
      </c>
      <c r="C142" s="147">
        <f t="shared" si="38"/>
        <v>195</v>
      </c>
      <c r="D142" s="149">
        <f t="shared" si="47"/>
        <v>233252982.44021475</v>
      </c>
      <c r="E142" s="149">
        <f t="shared" si="48"/>
        <v>2087404.5810696315</v>
      </c>
      <c r="F142" s="149">
        <f t="shared" si="40"/>
        <v>1175308.9390780416</v>
      </c>
      <c r="G142" s="149">
        <f t="shared" si="41"/>
        <v>1136131.9744421069</v>
      </c>
      <c r="H142" s="149">
        <f t="shared" si="49"/>
        <v>39176.964635934681</v>
      </c>
      <c r="I142" s="149">
        <f t="shared" si="50"/>
        <v>912095.64199158992</v>
      </c>
      <c r="J142" s="147">
        <f t="shared" si="51"/>
        <v>4.4999999999999998E-2</v>
      </c>
      <c r="K142" s="175">
        <f t="shared" si="42"/>
        <v>3.8296430163020645E-3</v>
      </c>
      <c r="L142" s="149">
        <f t="shared" si="52"/>
        <v>896709.73340196954</v>
      </c>
      <c r="M142" s="149">
        <f t="shared" si="53"/>
        <v>2944937.3498356664</v>
      </c>
      <c r="N142" s="149">
        <f t="shared" si="54"/>
        <v>1808805.3753935595</v>
      </c>
      <c r="P142" s="149">
        <f t="shared" si="55"/>
        <v>0</v>
      </c>
      <c r="Q142" s="149">
        <f t="shared" si="56"/>
        <v>0</v>
      </c>
      <c r="R142" s="178">
        <f t="shared" si="57"/>
        <v>0</v>
      </c>
      <c r="S142" s="113">
        <f t="shared" si="58"/>
        <v>0</v>
      </c>
      <c r="T142" s="113">
        <f t="shared" si="43"/>
        <v>0</v>
      </c>
      <c r="U142" s="114">
        <f t="shared" si="59"/>
        <v>20</v>
      </c>
      <c r="V142" s="114">
        <f t="shared" si="60"/>
        <v>0</v>
      </c>
      <c r="W142" s="114">
        <f t="shared" si="61"/>
        <v>420</v>
      </c>
      <c r="X142" s="114"/>
      <c r="Y142" s="149">
        <f t="shared" si="62"/>
        <v>54898504.427698985</v>
      </c>
      <c r="Z142" s="149">
        <f t="shared" si="63"/>
        <v>278231.84799278568</v>
      </c>
      <c r="AA142" s="178">
        <f t="shared" si="64"/>
        <v>2666705.5018428806</v>
      </c>
      <c r="AB142" s="113">
        <f t="shared" si="65"/>
        <v>2944937.3498356664</v>
      </c>
      <c r="AC142" s="113">
        <f t="shared" si="44"/>
        <v>1654468.6669451159</v>
      </c>
      <c r="AD142" s="114">
        <f t="shared" si="66"/>
        <v>20</v>
      </c>
      <c r="AE142" s="114">
        <f t="shared" si="67"/>
        <v>8.2611736995984435E-3</v>
      </c>
      <c r="AF142" s="114">
        <f t="shared" si="68"/>
        <v>420</v>
      </c>
      <c r="AG142" s="114"/>
      <c r="AH142" s="176">
        <f t="shared" si="69"/>
        <v>178354478.01251581</v>
      </c>
      <c r="AI142" s="176">
        <f t="shared" si="70"/>
        <v>857900.1264493214</v>
      </c>
      <c r="AJ142" s="178">
        <f t="shared" si="71"/>
        <v>-857900.1264493214</v>
      </c>
      <c r="AK142" s="113">
        <f t="shared" si="72"/>
        <v>0</v>
      </c>
      <c r="AL142" s="113">
        <f t="shared" si="45"/>
        <v>0</v>
      </c>
      <c r="AM142" s="114">
        <f t="shared" si="73"/>
        <v>20</v>
      </c>
      <c r="AN142" s="114">
        <f t="shared" si="74"/>
        <v>0</v>
      </c>
      <c r="AO142" s="114">
        <f t="shared" si="75"/>
        <v>420</v>
      </c>
    </row>
    <row r="143" spans="1:41" hidden="1" outlineLevel="1" x14ac:dyDescent="0.3">
      <c r="A143" s="146">
        <f t="shared" si="46"/>
        <v>121</v>
      </c>
      <c r="B143" s="147">
        <f t="shared" si="39"/>
        <v>164</v>
      </c>
      <c r="C143" s="147">
        <f t="shared" si="38"/>
        <v>196</v>
      </c>
      <c r="D143" s="149">
        <f t="shared" si="47"/>
        <v>231450058.15236709</v>
      </c>
      <c r="E143" s="149">
        <f t="shared" si="48"/>
        <v>2079410.5666935414</v>
      </c>
      <c r="F143" s="149">
        <f t="shared" si="40"/>
        <v>1166264.9122010737</v>
      </c>
      <c r="G143" s="149">
        <f t="shared" si="41"/>
        <v>1127389.4151277046</v>
      </c>
      <c r="H143" s="149">
        <f t="shared" si="49"/>
        <v>38875.497073369101</v>
      </c>
      <c r="I143" s="149">
        <f t="shared" si="50"/>
        <v>913145.65449246764</v>
      </c>
      <c r="J143" s="147">
        <f t="shared" si="51"/>
        <v>4.4999999999999998E-2</v>
      </c>
      <c r="K143" s="175">
        <f t="shared" si="42"/>
        <v>3.8296430163020645E-3</v>
      </c>
      <c r="L143" s="149">
        <f t="shared" si="52"/>
        <v>889778.63335520285</v>
      </c>
      <c r="M143" s="149">
        <f t="shared" si="53"/>
        <v>2930313.7029753751</v>
      </c>
      <c r="N143" s="149">
        <f t="shared" si="54"/>
        <v>1802924.2878476705</v>
      </c>
      <c r="P143" s="149">
        <f t="shared" si="55"/>
        <v>0</v>
      </c>
      <c r="Q143" s="149">
        <f t="shared" si="56"/>
        <v>0</v>
      </c>
      <c r="R143" s="178">
        <f t="shared" si="57"/>
        <v>0</v>
      </c>
      <c r="S143" s="113">
        <f t="shared" si="58"/>
        <v>0</v>
      </c>
      <c r="T143" s="113">
        <f t="shared" si="43"/>
        <v>0</v>
      </c>
      <c r="U143" s="114">
        <f t="shared" si="59"/>
        <v>20.166666666666668</v>
      </c>
      <c r="V143" s="114">
        <f t="shared" si="60"/>
        <v>0</v>
      </c>
      <c r="W143" s="114">
        <f t="shared" si="61"/>
        <v>426.86111111111114</v>
      </c>
      <c r="X143" s="114"/>
      <c r="Y143" s="149">
        <f t="shared" si="62"/>
        <v>52233533.496124156</v>
      </c>
      <c r="Z143" s="149">
        <f t="shared" si="63"/>
        <v>265342.77140054508</v>
      </c>
      <c r="AA143" s="178">
        <f t="shared" si="64"/>
        <v>2664970.9315748303</v>
      </c>
      <c r="AB143" s="113">
        <f t="shared" si="65"/>
        <v>2930313.7029753756</v>
      </c>
      <c r="AC143" s="113">
        <f t="shared" si="44"/>
        <v>1638361.7115765281</v>
      </c>
      <c r="AD143" s="114">
        <f t="shared" si="66"/>
        <v>20.166666666666668</v>
      </c>
      <c r="AE143" s="114">
        <f t="shared" si="67"/>
        <v>8.1807476638988529E-3</v>
      </c>
      <c r="AF143" s="114">
        <f t="shared" si="68"/>
        <v>426.86111111111114</v>
      </c>
      <c r="AG143" s="114"/>
      <c r="AH143" s="176">
        <f t="shared" si="69"/>
        <v>179216524.65624297</v>
      </c>
      <c r="AI143" s="176">
        <f t="shared" si="70"/>
        <v>862046.64372715983</v>
      </c>
      <c r="AJ143" s="178">
        <f t="shared" si="71"/>
        <v>-862046.64372715983</v>
      </c>
      <c r="AK143" s="113">
        <f t="shared" si="72"/>
        <v>0</v>
      </c>
      <c r="AL143" s="113">
        <f t="shared" si="45"/>
        <v>0</v>
      </c>
      <c r="AM143" s="114">
        <f t="shared" si="73"/>
        <v>20.166666666666668</v>
      </c>
      <c r="AN143" s="114">
        <f t="shared" si="74"/>
        <v>0</v>
      </c>
      <c r="AO143" s="114">
        <f t="shared" si="75"/>
        <v>426.86111111111114</v>
      </c>
    </row>
    <row r="144" spans="1:41" hidden="1" outlineLevel="1" x14ac:dyDescent="0.3">
      <c r="A144" s="146">
        <f t="shared" si="46"/>
        <v>122</v>
      </c>
      <c r="B144" s="147">
        <f t="shared" si="39"/>
        <v>163</v>
      </c>
      <c r="C144" s="147">
        <f t="shared" si="38"/>
        <v>197</v>
      </c>
      <c r="D144" s="149">
        <f t="shared" si="47"/>
        <v>229652991.22544506</v>
      </c>
      <c r="E144" s="149">
        <f t="shared" si="48"/>
        <v>2071447.1665387787</v>
      </c>
      <c r="F144" s="149">
        <f t="shared" si="40"/>
        <v>1157250.2907618354</v>
      </c>
      <c r="G144" s="149">
        <f t="shared" si="41"/>
        <v>1118675.2810697744</v>
      </c>
      <c r="H144" s="149">
        <f t="shared" si="49"/>
        <v>38575.009692060994</v>
      </c>
      <c r="I144" s="149">
        <f t="shared" si="50"/>
        <v>914196.87577694329</v>
      </c>
      <c r="J144" s="147">
        <f t="shared" si="51"/>
        <v>4.4999999999999998E-2</v>
      </c>
      <c r="K144" s="175">
        <f t="shared" si="42"/>
        <v>3.8296430163020645E-3</v>
      </c>
      <c r="L144" s="149">
        <f t="shared" si="52"/>
        <v>882870.05114507501</v>
      </c>
      <c r="M144" s="149">
        <f t="shared" si="53"/>
        <v>2915742.2079917928</v>
      </c>
      <c r="N144" s="149">
        <f t="shared" si="54"/>
        <v>1797066.9269220182</v>
      </c>
      <c r="P144" s="149">
        <f t="shared" si="55"/>
        <v>0</v>
      </c>
      <c r="Q144" s="149">
        <f t="shared" si="56"/>
        <v>0</v>
      </c>
      <c r="R144" s="178">
        <f t="shared" si="57"/>
        <v>0</v>
      </c>
      <c r="S144" s="113">
        <f t="shared" si="58"/>
        <v>0</v>
      </c>
      <c r="T144" s="113">
        <f t="shared" si="43"/>
        <v>0</v>
      </c>
      <c r="U144" s="114">
        <f t="shared" si="59"/>
        <v>20.333333333333332</v>
      </c>
      <c r="V144" s="114">
        <f t="shared" si="60"/>
        <v>0</v>
      </c>
      <c r="W144" s="114">
        <f t="shared" si="61"/>
        <v>433.77777777777771</v>
      </c>
      <c r="X144" s="114"/>
      <c r="Y144" s="149">
        <f t="shared" si="62"/>
        <v>49570253.366696961</v>
      </c>
      <c r="Z144" s="149">
        <f t="shared" si="63"/>
        <v>252462.07856460009</v>
      </c>
      <c r="AA144" s="178">
        <f t="shared" si="64"/>
        <v>2663280.1294271927</v>
      </c>
      <c r="AB144" s="113">
        <f t="shared" si="65"/>
        <v>2915742.2079917928</v>
      </c>
      <c r="AC144" s="113">
        <f t="shared" si="44"/>
        <v>1622400.1771742033</v>
      </c>
      <c r="AD144" s="114">
        <f t="shared" si="66"/>
        <v>20.333333333333332</v>
      </c>
      <c r="AE144" s="114">
        <f t="shared" si="67"/>
        <v>8.1010477512657563E-3</v>
      </c>
      <c r="AF144" s="114">
        <f t="shared" si="68"/>
        <v>433.77777777777771</v>
      </c>
      <c r="AG144" s="114"/>
      <c r="AH144" s="176">
        <f t="shared" si="69"/>
        <v>180082737.85874814</v>
      </c>
      <c r="AI144" s="176">
        <f t="shared" si="70"/>
        <v>866213.20250517433</v>
      </c>
      <c r="AJ144" s="178">
        <f t="shared" si="71"/>
        <v>-866213.20250517433</v>
      </c>
      <c r="AK144" s="113">
        <f t="shared" si="72"/>
        <v>0</v>
      </c>
      <c r="AL144" s="113">
        <f t="shared" si="45"/>
        <v>0</v>
      </c>
      <c r="AM144" s="114">
        <f t="shared" si="73"/>
        <v>20.333333333333332</v>
      </c>
      <c r="AN144" s="114">
        <f t="shared" si="74"/>
        <v>0</v>
      </c>
      <c r="AO144" s="114">
        <f t="shared" si="75"/>
        <v>433.77777777777771</v>
      </c>
    </row>
    <row r="145" spans="1:41" hidden="1" outlineLevel="1" x14ac:dyDescent="0.3">
      <c r="A145" s="146">
        <f t="shared" si="46"/>
        <v>123</v>
      </c>
      <c r="B145" s="147">
        <f t="shared" si="39"/>
        <v>162</v>
      </c>
      <c r="C145" s="147">
        <f t="shared" si="38"/>
        <v>198</v>
      </c>
      <c r="D145" s="149">
        <f t="shared" si="47"/>
        <v>227861758.02230671</v>
      </c>
      <c r="E145" s="149">
        <f t="shared" si="48"/>
        <v>2063514.2633638047</v>
      </c>
      <c r="F145" s="149">
        <f t="shared" si="40"/>
        <v>1148264.9561272254</v>
      </c>
      <c r="G145" s="149">
        <f t="shared" si="41"/>
        <v>1109989.4575896512</v>
      </c>
      <c r="H145" s="149">
        <f t="shared" si="49"/>
        <v>38275.498537574196</v>
      </c>
      <c r="I145" s="149">
        <f t="shared" si="50"/>
        <v>915249.30723657925</v>
      </c>
      <c r="J145" s="147">
        <f t="shared" si="51"/>
        <v>4.4999999999999998E-2</v>
      </c>
      <c r="K145" s="175">
        <f t="shared" si="42"/>
        <v>3.8296430163020645E-3</v>
      </c>
      <c r="L145" s="149">
        <f t="shared" si="52"/>
        <v>875983.89590177115</v>
      </c>
      <c r="M145" s="149">
        <f t="shared" si="53"/>
        <v>2901222.6607280015</v>
      </c>
      <c r="N145" s="149">
        <f t="shared" si="54"/>
        <v>1791233.2031383505</v>
      </c>
      <c r="P145" s="149">
        <f t="shared" si="55"/>
        <v>0</v>
      </c>
      <c r="Q145" s="149">
        <f t="shared" si="56"/>
        <v>0</v>
      </c>
      <c r="R145" s="178">
        <f t="shared" si="57"/>
        <v>0</v>
      </c>
      <c r="S145" s="113">
        <f t="shared" si="58"/>
        <v>0</v>
      </c>
      <c r="T145" s="113">
        <f t="shared" si="43"/>
        <v>0</v>
      </c>
      <c r="U145" s="114">
        <f t="shared" si="59"/>
        <v>20.5</v>
      </c>
      <c r="V145" s="114">
        <f t="shared" si="60"/>
        <v>0</v>
      </c>
      <c r="W145" s="114">
        <f t="shared" si="61"/>
        <v>440.75</v>
      </c>
      <c r="X145" s="114"/>
      <c r="Y145" s="149">
        <f t="shared" si="62"/>
        <v>46908620.263907991</v>
      </c>
      <c r="Z145" s="149">
        <f t="shared" si="63"/>
        <v>239589.55793903532</v>
      </c>
      <c r="AA145" s="178">
        <f t="shared" si="64"/>
        <v>2661633.1027889666</v>
      </c>
      <c r="AB145" s="113">
        <f t="shared" si="65"/>
        <v>2901222.660728002</v>
      </c>
      <c r="AC145" s="113">
        <f t="shared" si="44"/>
        <v>1606582.7875254804</v>
      </c>
      <c r="AD145" s="114">
        <f t="shared" si="66"/>
        <v>20.5</v>
      </c>
      <c r="AE145" s="114">
        <f t="shared" si="67"/>
        <v>8.0220675892518044E-3</v>
      </c>
      <c r="AF145" s="114">
        <f t="shared" si="68"/>
        <v>440.75</v>
      </c>
      <c r="AG145" s="114"/>
      <c r="AH145" s="176">
        <f t="shared" si="69"/>
        <v>180953137.75839874</v>
      </c>
      <c r="AI145" s="176">
        <f t="shared" si="70"/>
        <v>870399.89965061599</v>
      </c>
      <c r="AJ145" s="178">
        <f t="shared" si="71"/>
        <v>-870399.89965061599</v>
      </c>
      <c r="AK145" s="113">
        <f t="shared" si="72"/>
        <v>0</v>
      </c>
      <c r="AL145" s="113">
        <f t="shared" si="45"/>
        <v>0</v>
      </c>
      <c r="AM145" s="114">
        <f t="shared" si="73"/>
        <v>20.5</v>
      </c>
      <c r="AN145" s="114">
        <f t="shared" si="74"/>
        <v>0</v>
      </c>
      <c r="AO145" s="114">
        <f t="shared" si="75"/>
        <v>440.75</v>
      </c>
    </row>
    <row r="146" spans="1:41" hidden="1" outlineLevel="1" x14ac:dyDescent="0.3">
      <c r="A146" s="146">
        <f t="shared" si="46"/>
        <v>124</v>
      </c>
      <c r="B146" s="147">
        <f t="shared" si="39"/>
        <v>161</v>
      </c>
      <c r="C146" s="147">
        <f t="shared" si="38"/>
        <v>199</v>
      </c>
      <c r="D146" s="149">
        <f t="shared" si="47"/>
        <v>226076334.99494404</v>
      </c>
      <c r="E146" s="149">
        <f t="shared" si="48"/>
        <v>2055611.7403760739</v>
      </c>
      <c r="F146" s="149">
        <f t="shared" si="40"/>
        <v>1139308.7901115336</v>
      </c>
      <c r="G146" s="149">
        <f t="shared" si="41"/>
        <v>1101331.8304411492</v>
      </c>
      <c r="H146" s="149">
        <f t="shared" si="49"/>
        <v>37976.959670384414</v>
      </c>
      <c r="I146" s="149">
        <f t="shared" si="50"/>
        <v>916302.95026454027</v>
      </c>
      <c r="J146" s="147">
        <f t="shared" si="51"/>
        <v>4.4999999999999998E-2</v>
      </c>
      <c r="K146" s="175">
        <f t="shared" si="42"/>
        <v>3.8296430163020645E-3</v>
      </c>
      <c r="L146" s="149">
        <f t="shared" si="52"/>
        <v>869120.07709814026</v>
      </c>
      <c r="M146" s="149">
        <f t="shared" si="53"/>
        <v>2886754.8578038299</v>
      </c>
      <c r="N146" s="149">
        <f t="shared" si="54"/>
        <v>1785423.0273626805</v>
      </c>
      <c r="P146" s="149">
        <f t="shared" si="55"/>
        <v>0</v>
      </c>
      <c r="Q146" s="149">
        <f t="shared" si="56"/>
        <v>0</v>
      </c>
      <c r="R146" s="178">
        <f t="shared" si="57"/>
        <v>0</v>
      </c>
      <c r="S146" s="113">
        <f t="shared" si="58"/>
        <v>0</v>
      </c>
      <c r="T146" s="113">
        <f t="shared" si="43"/>
        <v>0</v>
      </c>
      <c r="U146" s="114">
        <f t="shared" si="59"/>
        <v>20.666666666666668</v>
      </c>
      <c r="V146" s="114">
        <f t="shared" si="60"/>
        <v>0</v>
      </c>
      <c r="W146" s="114">
        <f t="shared" si="61"/>
        <v>447.77777777777783</v>
      </c>
      <c r="X146" s="114"/>
      <c r="Y146" s="149">
        <f t="shared" si="62"/>
        <v>44248590.404046386</v>
      </c>
      <c r="Z146" s="149">
        <f t="shared" si="63"/>
        <v>226724.99794222196</v>
      </c>
      <c r="AA146" s="178">
        <f t="shared" si="64"/>
        <v>2660029.8598616077</v>
      </c>
      <c r="AB146" s="113">
        <f t="shared" si="65"/>
        <v>2886754.8578038295</v>
      </c>
      <c r="AC146" s="113">
        <f t="shared" si="44"/>
        <v>1590908.277490085</v>
      </c>
      <c r="AD146" s="114">
        <f t="shared" si="66"/>
        <v>20.666666666666668</v>
      </c>
      <c r="AE146" s="114">
        <f t="shared" si="67"/>
        <v>7.9438008606968324E-3</v>
      </c>
      <c r="AF146" s="114">
        <f t="shared" si="68"/>
        <v>447.77777777777783</v>
      </c>
      <c r="AG146" s="114"/>
      <c r="AH146" s="176">
        <f t="shared" si="69"/>
        <v>181827744.59089768</v>
      </c>
      <c r="AI146" s="176">
        <f t="shared" si="70"/>
        <v>874606.83249892725</v>
      </c>
      <c r="AJ146" s="178">
        <f t="shared" si="71"/>
        <v>-874606.83249892725</v>
      </c>
      <c r="AK146" s="113">
        <f t="shared" si="72"/>
        <v>0</v>
      </c>
      <c r="AL146" s="113">
        <f t="shared" si="45"/>
        <v>0</v>
      </c>
      <c r="AM146" s="114">
        <f t="shared" si="73"/>
        <v>20.666666666666668</v>
      </c>
      <c r="AN146" s="114">
        <f t="shared" si="74"/>
        <v>0</v>
      </c>
      <c r="AO146" s="114">
        <f t="shared" si="75"/>
        <v>447.77777777777783</v>
      </c>
    </row>
    <row r="147" spans="1:41" hidden="1" outlineLevel="1" x14ac:dyDescent="0.3">
      <c r="A147" s="146">
        <f t="shared" si="46"/>
        <v>125</v>
      </c>
      <c r="B147" s="147">
        <f t="shared" si="39"/>
        <v>160</v>
      </c>
      <c r="C147" s="147">
        <f t="shared" si="38"/>
        <v>200</v>
      </c>
      <c r="D147" s="149">
        <f t="shared" si="47"/>
        <v>224296698.68414009</v>
      </c>
      <c r="E147" s="149">
        <f t="shared" si="48"/>
        <v>2047739.4812303141</v>
      </c>
      <c r="F147" s="149">
        <f t="shared" si="40"/>
        <v>1130381.6749747202</v>
      </c>
      <c r="G147" s="149">
        <f t="shared" si="41"/>
        <v>1092702.2858088962</v>
      </c>
      <c r="H147" s="149">
        <f t="shared" si="49"/>
        <v>37679.389165824046</v>
      </c>
      <c r="I147" s="149">
        <f t="shared" si="50"/>
        <v>917357.8062555939</v>
      </c>
      <c r="J147" s="147">
        <f t="shared" si="51"/>
        <v>4.4999999999999998E-2</v>
      </c>
      <c r="K147" s="175">
        <f t="shared" si="42"/>
        <v>3.8296430163020645E-3</v>
      </c>
      <c r="L147" s="149">
        <f t="shared" si="52"/>
        <v>862278.50454837654</v>
      </c>
      <c r="M147" s="149">
        <f t="shared" si="53"/>
        <v>2872338.5966128665</v>
      </c>
      <c r="N147" s="149">
        <f t="shared" si="54"/>
        <v>1779636.3108039703</v>
      </c>
      <c r="P147" s="149">
        <f t="shared" si="55"/>
        <v>0</v>
      </c>
      <c r="Q147" s="149">
        <f t="shared" si="56"/>
        <v>0</v>
      </c>
      <c r="R147" s="178">
        <f t="shared" si="57"/>
        <v>0</v>
      </c>
      <c r="S147" s="113">
        <f t="shared" si="58"/>
        <v>0</v>
      </c>
      <c r="T147" s="113">
        <f t="shared" si="43"/>
        <v>0</v>
      </c>
      <c r="U147" s="114">
        <f t="shared" si="59"/>
        <v>20.833333333333332</v>
      </c>
      <c r="V147" s="114">
        <f t="shared" si="60"/>
        <v>0</v>
      </c>
      <c r="W147" s="114">
        <f t="shared" si="61"/>
        <v>454.86111111111109</v>
      </c>
      <c r="X147" s="114"/>
      <c r="Y147" s="149">
        <f t="shared" si="62"/>
        <v>41590119.994386412</v>
      </c>
      <c r="Z147" s="149">
        <f t="shared" si="63"/>
        <v>213868.18695289089</v>
      </c>
      <c r="AA147" s="178">
        <f t="shared" si="64"/>
        <v>2658470.4096599757</v>
      </c>
      <c r="AB147" s="113">
        <f t="shared" si="65"/>
        <v>2872338.5966128665</v>
      </c>
      <c r="AC147" s="113">
        <f t="shared" si="44"/>
        <v>1575375.3929045154</v>
      </c>
      <c r="AD147" s="114">
        <f t="shared" si="66"/>
        <v>20.833333333333332</v>
      </c>
      <c r="AE147" s="114">
        <f t="shared" si="67"/>
        <v>7.8662413032504278E-3</v>
      </c>
      <c r="AF147" s="114">
        <f t="shared" si="68"/>
        <v>454.86111111111109</v>
      </c>
      <c r="AG147" s="114"/>
      <c r="AH147" s="176">
        <f t="shared" si="69"/>
        <v>182706578.68975368</v>
      </c>
      <c r="AI147" s="176">
        <f t="shared" si="70"/>
        <v>878834.09885600547</v>
      </c>
      <c r="AJ147" s="178">
        <f t="shared" si="71"/>
        <v>-878834.09885600547</v>
      </c>
      <c r="AK147" s="113">
        <f t="shared" si="72"/>
        <v>0</v>
      </c>
      <c r="AL147" s="113">
        <f t="shared" si="45"/>
        <v>0</v>
      </c>
      <c r="AM147" s="114">
        <f t="shared" si="73"/>
        <v>20.833333333333332</v>
      </c>
      <c r="AN147" s="114">
        <f t="shared" si="74"/>
        <v>0</v>
      </c>
      <c r="AO147" s="114">
        <f t="shared" si="75"/>
        <v>454.86111111111109</v>
      </c>
    </row>
    <row r="148" spans="1:41" hidden="1" outlineLevel="1" x14ac:dyDescent="0.3">
      <c r="A148" s="146">
        <f t="shared" si="46"/>
        <v>126</v>
      </c>
      <c r="B148" s="147">
        <f t="shared" si="39"/>
        <v>159</v>
      </c>
      <c r="C148" s="147">
        <f t="shared" si="38"/>
        <v>201</v>
      </c>
      <c r="D148" s="149">
        <f t="shared" si="47"/>
        <v>222522825.71912727</v>
      </c>
      <c r="E148" s="149">
        <f t="shared" si="48"/>
        <v>2039897.3700268145</v>
      </c>
      <c r="F148" s="149">
        <f t="shared" si="40"/>
        <v>1121483.4934207005</v>
      </c>
      <c r="G148" s="149">
        <f t="shared" si="41"/>
        <v>1084100.710306677</v>
      </c>
      <c r="H148" s="149">
        <f t="shared" si="49"/>
        <v>37382.783114023507</v>
      </c>
      <c r="I148" s="149">
        <f t="shared" si="50"/>
        <v>918413.87660611398</v>
      </c>
      <c r="J148" s="147">
        <f t="shared" si="51"/>
        <v>4.4999999999999998E-2</v>
      </c>
      <c r="K148" s="175">
        <f t="shared" si="42"/>
        <v>3.8296430163020645E-3</v>
      </c>
      <c r="L148" s="149">
        <f t="shared" si="52"/>
        <v>855459.08840670611</v>
      </c>
      <c r="M148" s="149">
        <f t="shared" si="53"/>
        <v>2857973.675319497</v>
      </c>
      <c r="N148" s="149">
        <f t="shared" si="54"/>
        <v>1773872.96501282</v>
      </c>
      <c r="P148" s="149">
        <f t="shared" si="55"/>
        <v>0</v>
      </c>
      <c r="Q148" s="149">
        <f t="shared" si="56"/>
        <v>0</v>
      </c>
      <c r="R148" s="178">
        <f t="shared" si="57"/>
        <v>0</v>
      </c>
      <c r="S148" s="113">
        <f t="shared" si="58"/>
        <v>0</v>
      </c>
      <c r="T148" s="113">
        <f t="shared" si="43"/>
        <v>0</v>
      </c>
      <c r="U148" s="114">
        <f t="shared" si="59"/>
        <v>21</v>
      </c>
      <c r="V148" s="114">
        <f t="shared" si="60"/>
        <v>0</v>
      </c>
      <c r="W148" s="114">
        <f t="shared" si="61"/>
        <v>462</v>
      </c>
      <c r="X148" s="114"/>
      <c r="Y148" s="149">
        <f t="shared" si="62"/>
        <v>38933165.232373118</v>
      </c>
      <c r="Z148" s="149">
        <f t="shared" si="63"/>
        <v>201018.91330620099</v>
      </c>
      <c r="AA148" s="178">
        <f t="shared" si="64"/>
        <v>2656954.7620132961</v>
      </c>
      <c r="AB148" s="113">
        <f t="shared" si="65"/>
        <v>2857973.675319497</v>
      </c>
      <c r="AC148" s="113">
        <f t="shared" si="44"/>
        <v>1559982.8904872627</v>
      </c>
      <c r="AD148" s="114">
        <f t="shared" si="66"/>
        <v>21</v>
      </c>
      <c r="AE148" s="114">
        <f t="shared" si="67"/>
        <v>7.7893827088986794E-3</v>
      </c>
      <c r="AF148" s="114">
        <f t="shared" si="68"/>
        <v>462</v>
      </c>
      <c r="AG148" s="114"/>
      <c r="AH148" s="176">
        <f t="shared" si="69"/>
        <v>183589660.48675415</v>
      </c>
      <c r="AI148" s="176">
        <f t="shared" si="70"/>
        <v>883081.79700047616</v>
      </c>
      <c r="AJ148" s="178">
        <f t="shared" si="71"/>
        <v>-883081.79700047616</v>
      </c>
      <c r="AK148" s="113">
        <f t="shared" si="72"/>
        <v>0</v>
      </c>
      <c r="AL148" s="113">
        <f t="shared" si="45"/>
        <v>0</v>
      </c>
      <c r="AM148" s="114">
        <f t="shared" si="73"/>
        <v>21</v>
      </c>
      <c r="AN148" s="114">
        <f t="shared" si="74"/>
        <v>0</v>
      </c>
      <c r="AO148" s="114">
        <f t="shared" si="75"/>
        <v>462</v>
      </c>
    </row>
    <row r="149" spans="1:41" hidden="1" outlineLevel="1" x14ac:dyDescent="0.3">
      <c r="A149" s="146">
        <f t="shared" si="46"/>
        <v>127</v>
      </c>
      <c r="B149" s="147">
        <f t="shared" si="39"/>
        <v>158</v>
      </c>
      <c r="C149" s="147">
        <f t="shared" si="38"/>
        <v>202</v>
      </c>
      <c r="D149" s="149">
        <f t="shared" si="47"/>
        <v>220754692.81724709</v>
      </c>
      <c r="E149" s="149">
        <f t="shared" si="48"/>
        <v>2032085.2913097183</v>
      </c>
      <c r="F149" s="149">
        <f t="shared" si="40"/>
        <v>1112614.1285956365</v>
      </c>
      <c r="G149" s="149">
        <f t="shared" si="41"/>
        <v>1075526.9909757818</v>
      </c>
      <c r="H149" s="149">
        <f t="shared" si="49"/>
        <v>37087.13761985465</v>
      </c>
      <c r="I149" s="149">
        <f t="shared" si="50"/>
        <v>919471.16271408182</v>
      </c>
      <c r="J149" s="147">
        <f t="shared" si="51"/>
        <v>4.4999999999999998E-2</v>
      </c>
      <c r="K149" s="175">
        <f t="shared" si="42"/>
        <v>3.8296430163020645E-3</v>
      </c>
      <c r="L149" s="149">
        <f t="shared" si="52"/>
        <v>848661.73916607804</v>
      </c>
      <c r="M149" s="149">
        <f t="shared" si="53"/>
        <v>2843659.8928559418</v>
      </c>
      <c r="N149" s="149">
        <f t="shared" si="54"/>
        <v>1768132.90188016</v>
      </c>
      <c r="P149" s="149">
        <f t="shared" si="55"/>
        <v>0</v>
      </c>
      <c r="Q149" s="149">
        <f t="shared" si="56"/>
        <v>0</v>
      </c>
      <c r="R149" s="178">
        <f t="shared" si="57"/>
        <v>0</v>
      </c>
      <c r="S149" s="113">
        <f t="shared" si="58"/>
        <v>0</v>
      </c>
      <c r="T149" s="113">
        <f t="shared" si="43"/>
        <v>0</v>
      </c>
      <c r="U149" s="114">
        <f t="shared" si="59"/>
        <v>21.166666666666668</v>
      </c>
      <c r="V149" s="114">
        <f t="shared" si="60"/>
        <v>0</v>
      </c>
      <c r="W149" s="114">
        <f t="shared" si="61"/>
        <v>469.19444444444451</v>
      </c>
      <c r="X149" s="114"/>
      <c r="Y149" s="149">
        <f t="shared" si="62"/>
        <v>36277682.304806978</v>
      </c>
      <c r="Z149" s="149">
        <f t="shared" si="63"/>
        <v>188176.96528980343</v>
      </c>
      <c r="AA149" s="178">
        <f t="shared" si="64"/>
        <v>2655482.9275661386</v>
      </c>
      <c r="AB149" s="113">
        <f t="shared" si="65"/>
        <v>2843659.8928559418</v>
      </c>
      <c r="AC149" s="113">
        <f t="shared" si="44"/>
        <v>1544729.537744845</v>
      </c>
      <c r="AD149" s="114">
        <f t="shared" si="66"/>
        <v>21.166666666666668</v>
      </c>
      <c r="AE149" s="114">
        <f t="shared" si="67"/>
        <v>7.7132189234949758E-3</v>
      </c>
      <c r="AF149" s="114">
        <f t="shared" si="68"/>
        <v>469.19444444444451</v>
      </c>
      <c r="AG149" s="114"/>
      <c r="AH149" s="176">
        <f t="shared" si="69"/>
        <v>184477010.51244012</v>
      </c>
      <c r="AI149" s="176">
        <f t="shared" si="70"/>
        <v>887350.02568597847</v>
      </c>
      <c r="AJ149" s="178">
        <f t="shared" si="71"/>
        <v>-887350.02568597847</v>
      </c>
      <c r="AK149" s="113">
        <f t="shared" si="72"/>
        <v>0</v>
      </c>
      <c r="AL149" s="113">
        <f t="shared" si="45"/>
        <v>0</v>
      </c>
      <c r="AM149" s="114">
        <f t="shared" si="73"/>
        <v>21.166666666666668</v>
      </c>
      <c r="AN149" s="114">
        <f t="shared" si="74"/>
        <v>0</v>
      </c>
      <c r="AO149" s="114">
        <f t="shared" si="75"/>
        <v>469.19444444444451</v>
      </c>
    </row>
    <row r="150" spans="1:41" hidden="1" outlineLevel="1" x14ac:dyDescent="0.3">
      <c r="A150" s="146">
        <f t="shared" si="46"/>
        <v>128</v>
      </c>
      <c r="B150" s="147">
        <f t="shared" si="39"/>
        <v>157</v>
      </c>
      <c r="C150" s="147">
        <f t="shared" ref="C150:C213" si="76">IF($A150&gt;$B$4,"",$B$11*$B$13-B150)</f>
        <v>203</v>
      </c>
      <c r="D150" s="149">
        <f t="shared" si="47"/>
        <v>218992276.78361115</v>
      </c>
      <c r="E150" s="149">
        <f t="shared" si="48"/>
        <v>2024303.1300653238</v>
      </c>
      <c r="F150" s="149">
        <f t="shared" si="40"/>
        <v>1103773.4640862355</v>
      </c>
      <c r="G150" s="149">
        <f t="shared" si="41"/>
        <v>1066981.0152833611</v>
      </c>
      <c r="H150" s="149">
        <f t="shared" si="49"/>
        <v>36792.448802874424</v>
      </c>
      <c r="I150" s="149">
        <f t="shared" si="50"/>
        <v>920529.66597908828</v>
      </c>
      <c r="J150" s="147">
        <f t="shared" si="51"/>
        <v>4.4999999999999998E-2</v>
      </c>
      <c r="K150" s="175">
        <f t="shared" si="42"/>
        <v>3.8296430163020645E-3</v>
      </c>
      <c r="L150" s="149">
        <f t="shared" si="52"/>
        <v>841886.36765686213</v>
      </c>
      <c r="M150" s="149">
        <f t="shared" si="53"/>
        <v>2829397.0489193117</v>
      </c>
      <c r="N150" s="149">
        <f t="shared" si="54"/>
        <v>1762416.0336359504</v>
      </c>
      <c r="P150" s="149">
        <f t="shared" si="55"/>
        <v>0</v>
      </c>
      <c r="Q150" s="149">
        <f t="shared" si="56"/>
        <v>0</v>
      </c>
      <c r="R150" s="178">
        <f t="shared" si="57"/>
        <v>0</v>
      </c>
      <c r="S150" s="113">
        <f t="shared" si="58"/>
        <v>0</v>
      </c>
      <c r="T150" s="113">
        <f t="shared" si="43"/>
        <v>0</v>
      </c>
      <c r="U150" s="114">
        <f t="shared" si="59"/>
        <v>21.333333333333332</v>
      </c>
      <c r="V150" s="114">
        <f t="shared" si="60"/>
        <v>0</v>
      </c>
      <c r="W150" s="114">
        <f t="shared" si="61"/>
        <v>476.4444444444444</v>
      </c>
      <c r="X150" s="114"/>
      <c r="Y150" s="149">
        <f t="shared" si="62"/>
        <v>33623627.387027569</v>
      </c>
      <c r="Z150" s="149">
        <f t="shared" si="63"/>
        <v>175342.13113990039</v>
      </c>
      <c r="AA150" s="178">
        <f t="shared" si="64"/>
        <v>2654054.9177794112</v>
      </c>
      <c r="AB150" s="113">
        <f t="shared" si="65"/>
        <v>2829397.0489193117</v>
      </c>
      <c r="AC150" s="113">
        <f t="shared" si="44"/>
        <v>1529614.1128786488</v>
      </c>
      <c r="AD150" s="114">
        <f t="shared" si="66"/>
        <v>21.333333333333332</v>
      </c>
      <c r="AE150" s="114">
        <f t="shared" si="67"/>
        <v>7.6377438462948474E-3</v>
      </c>
      <c r="AF150" s="114">
        <f t="shared" si="68"/>
        <v>476.4444444444444</v>
      </c>
      <c r="AG150" s="114"/>
      <c r="AH150" s="176">
        <f t="shared" si="69"/>
        <v>185368649.39658359</v>
      </c>
      <c r="AI150" s="176">
        <f t="shared" si="70"/>
        <v>891638.88414346066</v>
      </c>
      <c r="AJ150" s="178">
        <f t="shared" si="71"/>
        <v>-891638.88414346066</v>
      </c>
      <c r="AK150" s="113">
        <f t="shared" si="72"/>
        <v>0</v>
      </c>
      <c r="AL150" s="113">
        <f t="shared" si="45"/>
        <v>0</v>
      </c>
      <c r="AM150" s="114">
        <f t="shared" si="73"/>
        <v>21.333333333333332</v>
      </c>
      <c r="AN150" s="114">
        <f t="shared" si="74"/>
        <v>0</v>
      </c>
      <c r="AO150" s="114">
        <f t="shared" si="75"/>
        <v>476.4444444444444</v>
      </c>
    </row>
    <row r="151" spans="1:41" hidden="1" outlineLevel="1" x14ac:dyDescent="0.3">
      <c r="A151" s="146">
        <f t="shared" si="46"/>
        <v>129</v>
      </c>
      <c r="B151" s="147">
        <f t="shared" ref="B151:B214" si="77">IF(A151&gt;$B$4,"",B$4-A151)</f>
        <v>156</v>
      </c>
      <c r="C151" s="147">
        <f t="shared" si="76"/>
        <v>204</v>
      </c>
      <c r="D151" s="149">
        <f t="shared" si="47"/>
        <v>217235554.51076326</v>
      </c>
      <c r="E151" s="149">
        <f t="shared" si="48"/>
        <v>2016550.7717203908</v>
      </c>
      <c r="F151" s="149">
        <f t="shared" ref="F151:F214" si="78">IF(A151&gt;$B$4,"",D150*$B$15)</f>
        <v>1094961.3839180558</v>
      </c>
      <c r="G151" s="149">
        <f t="shared" ref="G151:G214" si="79">IF(A151&gt;$B$4,"",D150*$B$16)</f>
        <v>1058462.6711207873</v>
      </c>
      <c r="H151" s="149">
        <f t="shared" si="49"/>
        <v>36498.712797268527</v>
      </c>
      <c r="I151" s="149">
        <f t="shared" si="50"/>
        <v>921589.38780233497</v>
      </c>
      <c r="J151" s="147">
        <f t="shared" si="51"/>
        <v>4.4999999999999998E-2</v>
      </c>
      <c r="K151" s="175">
        <f t="shared" ref="K151:K214" si="80">IF(A151&gt;$B$4,"",1-(1-J151)^(1/$B$11))</f>
        <v>3.8296430163020645E-3</v>
      </c>
      <c r="L151" s="149">
        <f t="shared" si="52"/>
        <v>835132.88504554983</v>
      </c>
      <c r="M151" s="149">
        <f t="shared" si="53"/>
        <v>2815184.9439686723</v>
      </c>
      <c r="N151" s="149">
        <f t="shared" si="54"/>
        <v>1756722.2728478848</v>
      </c>
      <c r="P151" s="149">
        <f t="shared" si="55"/>
        <v>0</v>
      </c>
      <c r="Q151" s="149">
        <f t="shared" si="56"/>
        <v>0</v>
      </c>
      <c r="R151" s="178">
        <f t="shared" si="57"/>
        <v>0</v>
      </c>
      <c r="S151" s="113">
        <f t="shared" si="58"/>
        <v>0</v>
      </c>
      <c r="T151" s="113">
        <f t="shared" ref="T151:T214" si="81">IF(A151&gt;$B$4,"",S151/(1+$B$14)^(A151/$B$11*$B$8))</f>
        <v>0</v>
      </c>
      <c r="U151" s="114">
        <f t="shared" si="59"/>
        <v>21.5</v>
      </c>
      <c r="V151" s="114">
        <f t="shared" si="60"/>
        <v>0</v>
      </c>
      <c r="W151" s="114">
        <f t="shared" si="61"/>
        <v>483.75</v>
      </c>
      <c r="X151" s="114"/>
      <c r="Y151" s="149">
        <f t="shared" si="62"/>
        <v>30970956.642096195</v>
      </c>
      <c r="Z151" s="149">
        <f t="shared" si="63"/>
        <v>162514.19903729993</v>
      </c>
      <c r="AA151" s="178">
        <f t="shared" si="64"/>
        <v>2652670.7449313723</v>
      </c>
      <c r="AB151" s="113">
        <f t="shared" si="65"/>
        <v>2815184.9439686723</v>
      </c>
      <c r="AC151" s="113">
        <f t="shared" ref="AC151:AC214" si="82">IF(A151&gt;$B$4,"",AB151/(1+$B$14)^(A151/$B$11*$B$8))</f>
        <v>1514635.4046925763</v>
      </c>
      <c r="AD151" s="114">
        <f t="shared" si="66"/>
        <v>21.5</v>
      </c>
      <c r="AE151" s="114">
        <f t="shared" si="67"/>
        <v>7.5629514294948217E-3</v>
      </c>
      <c r="AF151" s="114">
        <f t="shared" si="68"/>
        <v>483.75</v>
      </c>
      <c r="AG151" s="114"/>
      <c r="AH151" s="176">
        <f t="shared" si="69"/>
        <v>186264597.86866707</v>
      </c>
      <c r="AI151" s="176">
        <f t="shared" si="70"/>
        <v>895948.47208348743</v>
      </c>
      <c r="AJ151" s="178">
        <f t="shared" si="71"/>
        <v>-895948.47208348743</v>
      </c>
      <c r="AK151" s="113">
        <f t="shared" si="72"/>
        <v>0</v>
      </c>
      <c r="AL151" s="113">
        <f t="shared" ref="AL151:AL214" si="83">IF(A151&gt;$B$4,"",AK151/(1+$B$14)^(A151/$B$11*$B$8))</f>
        <v>0</v>
      </c>
      <c r="AM151" s="114">
        <f t="shared" si="73"/>
        <v>21.5</v>
      </c>
      <c r="AN151" s="114">
        <f t="shared" si="74"/>
        <v>0</v>
      </c>
      <c r="AO151" s="114">
        <f t="shared" si="75"/>
        <v>483.75</v>
      </c>
    </row>
    <row r="152" spans="1:41" hidden="1" outlineLevel="1" x14ac:dyDescent="0.3">
      <c r="A152" s="146">
        <f t="shared" ref="A152:A215" si="84">A151+1</f>
        <v>130</v>
      </c>
      <c r="B152" s="147">
        <f t="shared" si="77"/>
        <v>155</v>
      </c>
      <c r="C152" s="147">
        <f t="shared" si="76"/>
        <v>205</v>
      </c>
      <c r="D152" s="149">
        <f t="shared" ref="D152:D215" si="85">IF(A152&gt;$B$4,"",D151-I152-L152)</f>
        <v>215484502.97834316</v>
      </c>
      <c r="E152" s="149">
        <f t="shared" ref="E152:E215" si="86">IF(A152&gt;$B$4,"",MIN(E151*(1-K151),D151*(1+$B$15)))</f>
        <v>2008828.1021404532</v>
      </c>
      <c r="F152" s="149">
        <f t="shared" si="78"/>
        <v>1086177.7725538162</v>
      </c>
      <c r="G152" s="149">
        <f t="shared" si="79"/>
        <v>1049971.8468020225</v>
      </c>
      <c r="H152" s="149">
        <f t="shared" ref="H152:H215" si="87">IF(A152&gt;$B$4,"",F152-G152)</f>
        <v>36205.925751793664</v>
      </c>
      <c r="I152" s="149">
        <f t="shared" ref="I152:I215" si="88">IF(A152&gt;$B$4,"",E152-F152)</f>
        <v>922650.32958663697</v>
      </c>
      <c r="J152" s="147">
        <f t="shared" ref="J152:J215" si="89">IF(A152&gt;$B$4,"",$B$9/100*MIN(C152/30,1)*0.06)</f>
        <v>4.4999999999999998E-2</v>
      </c>
      <c r="K152" s="175">
        <f t="shared" si="80"/>
        <v>3.8296430163020645E-3</v>
      </c>
      <c r="L152" s="149">
        <f t="shared" ref="L152:L215" si="90">IF(A152&gt;$B$4,"",(D151-I152)*K152)</f>
        <v>828401.20283346076</v>
      </c>
      <c r="M152" s="149">
        <f t="shared" ref="M152:M215" si="91">IF(A152&gt;$B$4,"",G152+I152+L152)</f>
        <v>2801023.3792221202</v>
      </c>
      <c r="N152" s="149">
        <f t="shared" ref="N152:N215" si="92">IF($A152&gt;$B$4,"",I152+L152)</f>
        <v>1751051.5324200979</v>
      </c>
      <c r="P152" s="149">
        <f t="shared" ref="P152:P215" si="93">IF($A152&gt;$B$4,"",MAX(0,P151-R152))</f>
        <v>0</v>
      </c>
      <c r="Q152" s="149">
        <f t="shared" ref="Q152:Q215" si="94">IF($A152&gt;$B$4,"",IF(P151&gt;0,$H$6*P151,0))</f>
        <v>0</v>
      </c>
      <c r="R152" s="178">
        <f t="shared" ref="R152:R215" si="95">IF($A152&gt;$B$4,"",MIN(P151,$N152+AI152))</f>
        <v>0</v>
      </c>
      <c r="S152" s="113">
        <f t="shared" ref="S152:S215" si="96">IF($A152&gt;$B$4,"",Q152+R152)</f>
        <v>0</v>
      </c>
      <c r="T152" s="113">
        <f t="shared" si="81"/>
        <v>0</v>
      </c>
      <c r="U152" s="114">
        <f t="shared" ref="U152:U215" si="97">IF($A152&gt;$B$4,"",A152/6)</f>
        <v>21.666666666666668</v>
      </c>
      <c r="V152" s="114">
        <f t="shared" ref="V152:V215" si="98">IF($A152&gt;$B$4,"",T152/$T$21)</f>
        <v>0</v>
      </c>
      <c r="W152" s="114">
        <f t="shared" ref="W152:W215" si="99">IF($A152&gt;$B$4,"",U152*(U152+1))</f>
        <v>491.11111111111114</v>
      </c>
      <c r="X152" s="114"/>
      <c r="Y152" s="149">
        <f t="shared" ref="Y152:Y215" si="100">IF($A152&gt;$B$4,"",MAX(0,Y151-AA152))</f>
        <v>28319626.219977539</v>
      </c>
      <c r="Z152" s="149">
        <f t="shared" ref="Z152:Z215" si="101">IF($A152&gt;$B$4,"",IF(Y151&gt;0,$H$7*Y151,0))</f>
        <v>149692.95710346496</v>
      </c>
      <c r="AA152" s="178">
        <f t="shared" ref="AA152:AA215" si="102">IF($A152&gt;$B$4,"",IF(P152&gt;0,0,MIN(Y151,$N152-R152+AI152)))</f>
        <v>2651330.4221186554</v>
      </c>
      <c r="AB152" s="113">
        <f t="shared" ref="AB152:AB215" si="103">IF($A152&gt;$B$4,"",Z152+AA152)</f>
        <v>2801023.3792221202</v>
      </c>
      <c r="AC152" s="113">
        <f t="shared" si="82"/>
        <v>1499792.2125014872</v>
      </c>
      <c r="AD152" s="114">
        <f t="shared" ref="AD152:AD215" si="104">IF($A152&gt;$B$4,"",A152/6)</f>
        <v>21.666666666666668</v>
      </c>
      <c r="AE152" s="114">
        <f t="shared" ref="AE152:AE215" si="105">IF($A152&gt;$B$4,"",AC152/$AC$21)</f>
        <v>7.4888356777752527E-3</v>
      </c>
      <c r="AF152" s="114">
        <f t="shared" ref="AF152:AF215" si="106">IF($A152&gt;$B$4,"",AD152*(AD152+1))</f>
        <v>491.11111111111114</v>
      </c>
      <c r="AG152" s="114"/>
      <c r="AH152" s="176">
        <f t="shared" ref="AH152:AH215" si="107">IF($A152&gt;$B$4,"",MAX(0,AH151-AJ152))</f>
        <v>187164876.75836563</v>
      </c>
      <c r="AI152" s="176">
        <f t="shared" ref="AI152:AI215" si="108">IF($A152&gt;$B$4,"",IF(AH151&gt;0,$H$8*AH151,0))</f>
        <v>900278.88969855756</v>
      </c>
      <c r="AJ152" s="178">
        <f t="shared" ref="AJ152:AJ215" si="109">IF($A152&gt;$B$4,"",IF(Y152&gt;0,-AI152,MIN(AH151,$N152-AA152)))</f>
        <v>-900278.88969855756</v>
      </c>
      <c r="AK152" s="113">
        <f t="shared" ref="AK152:AK215" si="110">IF($A152&gt;$B$4,"",AI152+AJ152)</f>
        <v>0</v>
      </c>
      <c r="AL152" s="113">
        <f t="shared" si="83"/>
        <v>0</v>
      </c>
      <c r="AM152" s="114">
        <f t="shared" ref="AM152:AM215" si="111">IF($A152&gt;$B$4,"",A152/6)</f>
        <v>21.666666666666668</v>
      </c>
      <c r="AN152" s="114">
        <f t="shared" ref="AN152:AN215" si="112">IF($A152&gt;$B$4,"",AL152/$AL$21)</f>
        <v>0</v>
      </c>
      <c r="AO152" s="114">
        <f t="shared" ref="AO152:AO215" si="113">IF($A152&gt;$B$4,"",AM152*(AM152+1))</f>
        <v>491.11111111111114</v>
      </c>
    </row>
    <row r="153" spans="1:41" hidden="1" outlineLevel="1" x14ac:dyDescent="0.3">
      <c r="A153" s="146">
        <f t="shared" si="84"/>
        <v>131</v>
      </c>
      <c r="B153" s="147">
        <f t="shared" si="77"/>
        <v>154</v>
      </c>
      <c r="C153" s="147">
        <f t="shared" si="76"/>
        <v>206</v>
      </c>
      <c r="D153" s="149">
        <f t="shared" si="85"/>
        <v>213739099.25275126</v>
      </c>
      <c r="E153" s="149">
        <f t="shared" si="86"/>
        <v>2001135.0076281396</v>
      </c>
      <c r="F153" s="149">
        <f t="shared" si="78"/>
        <v>1077422.5148917157</v>
      </c>
      <c r="G153" s="149">
        <f t="shared" si="79"/>
        <v>1041508.431061992</v>
      </c>
      <c r="H153" s="149">
        <f t="shared" si="87"/>
        <v>35914.083829723764</v>
      </c>
      <c r="I153" s="149">
        <f t="shared" si="88"/>
        <v>923712.49273642385</v>
      </c>
      <c r="J153" s="147">
        <f t="shared" si="89"/>
        <v>4.4999999999999998E-2</v>
      </c>
      <c r="K153" s="175">
        <f t="shared" si="80"/>
        <v>3.8296430163020645E-3</v>
      </c>
      <c r="L153" s="149">
        <f t="shared" si="90"/>
        <v>821691.2328554542</v>
      </c>
      <c r="M153" s="149">
        <f t="shared" si="91"/>
        <v>2786912.1566538699</v>
      </c>
      <c r="N153" s="149">
        <f t="shared" si="92"/>
        <v>1745403.7255918779</v>
      </c>
      <c r="P153" s="149">
        <f t="shared" si="93"/>
        <v>0</v>
      </c>
      <c r="Q153" s="149">
        <f t="shared" si="94"/>
        <v>0</v>
      </c>
      <c r="R153" s="178">
        <f t="shared" si="95"/>
        <v>0</v>
      </c>
      <c r="S153" s="113">
        <f t="shared" si="96"/>
        <v>0</v>
      </c>
      <c r="T153" s="113">
        <f t="shared" si="81"/>
        <v>0</v>
      </c>
      <c r="U153" s="114">
        <f t="shared" si="97"/>
        <v>21.833333333333332</v>
      </c>
      <c r="V153" s="114">
        <f t="shared" si="98"/>
        <v>0</v>
      </c>
      <c r="W153" s="114">
        <f t="shared" si="99"/>
        <v>498.52777777777771</v>
      </c>
      <c r="X153" s="114"/>
      <c r="Y153" s="149">
        <f t="shared" si="100"/>
        <v>25669592.256720226</v>
      </c>
      <c r="Z153" s="149">
        <f t="shared" si="101"/>
        <v>136878.19339655811</v>
      </c>
      <c r="AA153" s="178">
        <f t="shared" si="102"/>
        <v>2650033.9632573118</v>
      </c>
      <c r="AB153" s="113">
        <f t="shared" si="103"/>
        <v>2786912.1566538699</v>
      </c>
      <c r="AC153" s="113">
        <f t="shared" si="82"/>
        <v>1485083.3460404295</v>
      </c>
      <c r="AD153" s="114">
        <f t="shared" si="104"/>
        <v>21.833333333333332</v>
      </c>
      <c r="AE153" s="114">
        <f t="shared" si="105"/>
        <v>7.4153906478470876E-3</v>
      </c>
      <c r="AF153" s="114">
        <f t="shared" si="106"/>
        <v>498.52777777777771</v>
      </c>
      <c r="AG153" s="114"/>
      <c r="AH153" s="176">
        <f t="shared" si="107"/>
        <v>188069506.99603108</v>
      </c>
      <c r="AI153" s="176">
        <f t="shared" si="108"/>
        <v>904630.2376654339</v>
      </c>
      <c r="AJ153" s="178">
        <f t="shared" si="109"/>
        <v>-904630.2376654339</v>
      </c>
      <c r="AK153" s="113">
        <f t="shared" si="110"/>
        <v>0</v>
      </c>
      <c r="AL153" s="113">
        <f t="shared" si="83"/>
        <v>0</v>
      </c>
      <c r="AM153" s="114">
        <f t="shared" si="111"/>
        <v>21.833333333333332</v>
      </c>
      <c r="AN153" s="114">
        <f t="shared" si="112"/>
        <v>0</v>
      </c>
      <c r="AO153" s="114">
        <f t="shared" si="113"/>
        <v>498.52777777777771</v>
      </c>
    </row>
    <row r="154" spans="1:41" hidden="1" outlineLevel="1" x14ac:dyDescent="0.3">
      <c r="A154" s="146">
        <f t="shared" si="84"/>
        <v>132</v>
      </c>
      <c r="B154" s="147">
        <f t="shared" si="77"/>
        <v>153</v>
      </c>
      <c r="C154" s="147">
        <f t="shared" si="76"/>
        <v>207</v>
      </c>
      <c r="D154" s="149">
        <f t="shared" si="85"/>
        <v>211999320.48681489</v>
      </c>
      <c r="E154" s="149">
        <f t="shared" si="86"/>
        <v>1993471.3749214988</v>
      </c>
      <c r="F154" s="149">
        <f t="shared" si="78"/>
        <v>1068695.4962637564</v>
      </c>
      <c r="G154" s="149">
        <f t="shared" si="79"/>
        <v>1033072.3130549645</v>
      </c>
      <c r="H154" s="149">
        <f t="shared" si="87"/>
        <v>35623.183208791888</v>
      </c>
      <c r="I154" s="149">
        <f t="shared" si="88"/>
        <v>924775.8786577424</v>
      </c>
      <c r="J154" s="147">
        <f t="shared" si="89"/>
        <v>4.4999999999999998E-2</v>
      </c>
      <c r="K154" s="175">
        <f t="shared" si="80"/>
        <v>3.8296430163020645E-3</v>
      </c>
      <c r="L154" s="149">
        <f t="shared" si="90"/>
        <v>815002.88727864646</v>
      </c>
      <c r="M154" s="149">
        <f t="shared" si="91"/>
        <v>2772851.0789913535</v>
      </c>
      <c r="N154" s="149">
        <f t="shared" si="92"/>
        <v>1739778.7659363889</v>
      </c>
      <c r="P154" s="149">
        <f t="shared" si="93"/>
        <v>0</v>
      </c>
      <c r="Q154" s="149">
        <f t="shared" si="94"/>
        <v>0</v>
      </c>
      <c r="R154" s="178">
        <f t="shared" si="95"/>
        <v>0</v>
      </c>
      <c r="S154" s="113">
        <f t="shared" si="96"/>
        <v>0</v>
      </c>
      <c r="T154" s="113">
        <f t="shared" si="81"/>
        <v>0</v>
      </c>
      <c r="U154" s="114">
        <f t="shared" si="97"/>
        <v>22</v>
      </c>
      <c r="V154" s="114">
        <f t="shared" si="98"/>
        <v>0</v>
      </c>
      <c r="W154" s="114">
        <f t="shared" si="99"/>
        <v>506</v>
      </c>
      <c r="X154" s="114"/>
      <c r="Y154" s="149">
        <f t="shared" si="100"/>
        <v>23020810.873636354</v>
      </c>
      <c r="Z154" s="149">
        <f t="shared" si="101"/>
        <v>124069.6959074811</v>
      </c>
      <c r="AA154" s="178">
        <f t="shared" si="102"/>
        <v>2648781.3830838725</v>
      </c>
      <c r="AB154" s="113">
        <f t="shared" si="103"/>
        <v>2772851.0789913535</v>
      </c>
      <c r="AC154" s="113">
        <f t="shared" si="82"/>
        <v>1470507.6253746538</v>
      </c>
      <c r="AD154" s="114">
        <f t="shared" si="104"/>
        <v>22</v>
      </c>
      <c r="AE154" s="114">
        <f t="shared" si="105"/>
        <v>7.3426104480025451E-3</v>
      </c>
      <c r="AF154" s="114">
        <f t="shared" si="106"/>
        <v>506</v>
      </c>
      <c r="AG154" s="114"/>
      <c r="AH154" s="176">
        <f t="shared" si="107"/>
        <v>188978509.61317855</v>
      </c>
      <c r="AI154" s="176">
        <f t="shared" si="108"/>
        <v>909002.61714748363</v>
      </c>
      <c r="AJ154" s="178">
        <f t="shared" si="109"/>
        <v>-909002.61714748363</v>
      </c>
      <c r="AK154" s="113">
        <f t="shared" si="110"/>
        <v>0</v>
      </c>
      <c r="AL154" s="113">
        <f t="shared" si="83"/>
        <v>0</v>
      </c>
      <c r="AM154" s="114">
        <f t="shared" si="111"/>
        <v>22</v>
      </c>
      <c r="AN154" s="114">
        <f t="shared" si="112"/>
        <v>0</v>
      </c>
      <c r="AO154" s="114">
        <f t="shared" si="113"/>
        <v>506</v>
      </c>
    </row>
    <row r="155" spans="1:41" hidden="1" outlineLevel="1" x14ac:dyDescent="0.3">
      <c r="A155" s="146">
        <f t="shared" si="84"/>
        <v>133</v>
      </c>
      <c r="B155" s="147">
        <f t="shared" si="77"/>
        <v>152</v>
      </c>
      <c r="C155" s="147">
        <f t="shared" si="76"/>
        <v>208</v>
      </c>
      <c r="D155" s="149">
        <f t="shared" si="85"/>
        <v>210265143.9194555</v>
      </c>
      <c r="E155" s="149">
        <f t="shared" si="86"/>
        <v>1985837.0911923326</v>
      </c>
      <c r="F155" s="149">
        <f t="shared" si="78"/>
        <v>1059996.6024340745</v>
      </c>
      <c r="G155" s="149">
        <f t="shared" si="79"/>
        <v>1024663.3823529386</v>
      </c>
      <c r="H155" s="149">
        <f t="shared" si="87"/>
        <v>35333.220081135863</v>
      </c>
      <c r="I155" s="149">
        <f t="shared" si="88"/>
        <v>925840.48875825806</v>
      </c>
      <c r="J155" s="147">
        <f t="shared" si="89"/>
        <v>4.4999999999999998E-2</v>
      </c>
      <c r="K155" s="175">
        <f t="shared" si="80"/>
        <v>3.8296430163020645E-3</v>
      </c>
      <c r="L155" s="149">
        <f t="shared" si="90"/>
        <v>808336.07860113098</v>
      </c>
      <c r="M155" s="149">
        <f t="shared" si="91"/>
        <v>2758839.9497123277</v>
      </c>
      <c r="N155" s="149">
        <f t="shared" si="92"/>
        <v>1734176.567359389</v>
      </c>
      <c r="P155" s="149">
        <f t="shared" si="93"/>
        <v>0</v>
      </c>
      <c r="Q155" s="149">
        <f t="shared" si="94"/>
        <v>0</v>
      </c>
      <c r="R155" s="178">
        <f t="shared" si="95"/>
        <v>0</v>
      </c>
      <c r="S155" s="113">
        <f t="shared" si="96"/>
        <v>0</v>
      </c>
      <c r="T155" s="113">
        <f t="shared" si="81"/>
        <v>0</v>
      </c>
      <c r="U155" s="114">
        <f t="shared" si="97"/>
        <v>22.166666666666668</v>
      </c>
      <c r="V155" s="114">
        <f t="shared" si="98"/>
        <v>0</v>
      </c>
      <c r="W155" s="114">
        <f t="shared" si="99"/>
        <v>513.52777777777783</v>
      </c>
      <c r="X155" s="114"/>
      <c r="Y155" s="149">
        <f t="shared" si="100"/>
        <v>20373238.176479936</v>
      </c>
      <c r="Z155" s="149">
        <f t="shared" si="101"/>
        <v>111267.25255590904</v>
      </c>
      <c r="AA155" s="178">
        <f t="shared" si="102"/>
        <v>2647572.6971564186</v>
      </c>
      <c r="AB155" s="113">
        <f t="shared" si="103"/>
        <v>2758839.9497123277</v>
      </c>
      <c r="AC155" s="113">
        <f t="shared" si="82"/>
        <v>1456063.8808103998</v>
      </c>
      <c r="AD155" s="114">
        <f t="shared" si="104"/>
        <v>22.166666666666668</v>
      </c>
      <c r="AE155" s="114">
        <f t="shared" si="105"/>
        <v>7.2704892376696494E-3</v>
      </c>
      <c r="AF155" s="114">
        <f t="shared" si="106"/>
        <v>513.52777777777783</v>
      </c>
      <c r="AG155" s="114"/>
      <c r="AH155" s="176">
        <f t="shared" si="107"/>
        <v>189891905.74297559</v>
      </c>
      <c r="AI155" s="176">
        <f t="shared" si="108"/>
        <v>913396.12979702966</v>
      </c>
      <c r="AJ155" s="178">
        <f t="shared" si="109"/>
        <v>-913396.12979702966</v>
      </c>
      <c r="AK155" s="113">
        <f t="shared" si="110"/>
        <v>0</v>
      </c>
      <c r="AL155" s="113">
        <f t="shared" si="83"/>
        <v>0</v>
      </c>
      <c r="AM155" s="114">
        <f t="shared" si="111"/>
        <v>22.166666666666668</v>
      </c>
      <c r="AN155" s="114">
        <f t="shared" si="112"/>
        <v>0</v>
      </c>
      <c r="AO155" s="114">
        <f t="shared" si="113"/>
        <v>513.52777777777783</v>
      </c>
    </row>
    <row r="156" spans="1:41" hidden="1" outlineLevel="1" x14ac:dyDescent="0.3">
      <c r="A156" s="146">
        <f t="shared" si="84"/>
        <v>134</v>
      </c>
      <c r="B156" s="147">
        <f t="shared" si="77"/>
        <v>151</v>
      </c>
      <c r="C156" s="147">
        <f t="shared" si="76"/>
        <v>209</v>
      </c>
      <c r="D156" s="149">
        <f t="shared" si="85"/>
        <v>208536546.87535754</v>
      </c>
      <c r="E156" s="149">
        <f t="shared" si="86"/>
        <v>1978232.0440445342</v>
      </c>
      <c r="F156" s="149">
        <f t="shared" si="78"/>
        <v>1051325.7195972775</v>
      </c>
      <c r="G156" s="149">
        <f t="shared" si="79"/>
        <v>1016281.5289440349</v>
      </c>
      <c r="H156" s="149">
        <f t="shared" si="87"/>
        <v>35044.19065324252</v>
      </c>
      <c r="I156" s="149">
        <f t="shared" si="88"/>
        <v>926906.32444725675</v>
      </c>
      <c r="J156" s="147">
        <f t="shared" si="89"/>
        <v>4.4999999999999998E-2</v>
      </c>
      <c r="K156" s="175">
        <f t="shared" si="80"/>
        <v>3.8296430163020645E-3</v>
      </c>
      <c r="L156" s="149">
        <f t="shared" si="90"/>
        <v>801690.71965070569</v>
      </c>
      <c r="M156" s="149">
        <f t="shared" si="91"/>
        <v>2744878.5730419974</v>
      </c>
      <c r="N156" s="149">
        <f t="shared" si="92"/>
        <v>1728597.0440979623</v>
      </c>
      <c r="P156" s="149">
        <f t="shared" si="93"/>
        <v>0</v>
      </c>
      <c r="Q156" s="149">
        <f t="shared" si="94"/>
        <v>0</v>
      </c>
      <c r="R156" s="178">
        <f t="shared" si="95"/>
        <v>0</v>
      </c>
      <c r="S156" s="113">
        <f t="shared" si="96"/>
        <v>0</v>
      </c>
      <c r="T156" s="113">
        <f t="shared" si="81"/>
        <v>0</v>
      </c>
      <c r="U156" s="114">
        <f t="shared" si="97"/>
        <v>22.333333333333332</v>
      </c>
      <c r="V156" s="114">
        <f t="shared" si="98"/>
        <v>0</v>
      </c>
      <c r="W156" s="114">
        <f t="shared" si="99"/>
        <v>521.11111111111109</v>
      </c>
      <c r="X156" s="114"/>
      <c r="Y156" s="149">
        <f t="shared" si="100"/>
        <v>17726830.254624259</v>
      </c>
      <c r="Z156" s="149">
        <f t="shared" si="101"/>
        <v>98470.651186319694</v>
      </c>
      <c r="AA156" s="178">
        <f t="shared" si="102"/>
        <v>2646407.9218556779</v>
      </c>
      <c r="AB156" s="113">
        <f t="shared" si="103"/>
        <v>2744878.5730419974</v>
      </c>
      <c r="AC156" s="113">
        <f t="shared" si="82"/>
        <v>1441750.9528064558</v>
      </c>
      <c r="AD156" s="114">
        <f t="shared" si="104"/>
        <v>22.333333333333332</v>
      </c>
      <c r="AE156" s="114">
        <f t="shared" si="105"/>
        <v>7.1990212269706288E-3</v>
      </c>
      <c r="AF156" s="114">
        <f t="shared" si="106"/>
        <v>521.11111111111109</v>
      </c>
      <c r="AG156" s="114"/>
      <c r="AH156" s="176">
        <f t="shared" si="107"/>
        <v>190809716.62073332</v>
      </c>
      <c r="AI156" s="176">
        <f t="shared" si="108"/>
        <v>917810.87775771541</v>
      </c>
      <c r="AJ156" s="178">
        <f t="shared" si="109"/>
        <v>-917810.87775771541</v>
      </c>
      <c r="AK156" s="113">
        <f t="shared" si="110"/>
        <v>0</v>
      </c>
      <c r="AL156" s="113">
        <f t="shared" si="83"/>
        <v>0</v>
      </c>
      <c r="AM156" s="114">
        <f t="shared" si="111"/>
        <v>22.333333333333332</v>
      </c>
      <c r="AN156" s="114">
        <f t="shared" si="112"/>
        <v>0</v>
      </c>
      <c r="AO156" s="114">
        <f t="shared" si="113"/>
        <v>521.11111111111109</v>
      </c>
    </row>
    <row r="157" spans="1:41" hidden="1" outlineLevel="1" x14ac:dyDescent="0.3">
      <c r="A157" s="146">
        <f t="shared" si="84"/>
        <v>135</v>
      </c>
      <c r="B157" s="147">
        <f t="shared" si="77"/>
        <v>150</v>
      </c>
      <c r="C157" s="147">
        <f t="shared" si="76"/>
        <v>210</v>
      </c>
      <c r="D157" s="149">
        <f t="shared" si="85"/>
        <v>206813506.76463827</v>
      </c>
      <c r="E157" s="149">
        <f t="shared" si="86"/>
        <v>1970656.1215124342</v>
      </c>
      <c r="F157" s="149">
        <f t="shared" si="78"/>
        <v>1042682.7343767877</v>
      </c>
      <c r="G157" s="149">
        <f t="shared" si="79"/>
        <v>1007926.6432308948</v>
      </c>
      <c r="H157" s="149">
        <f t="shared" si="87"/>
        <v>34756.09114589286</v>
      </c>
      <c r="I157" s="149">
        <f t="shared" si="88"/>
        <v>927973.38713564654</v>
      </c>
      <c r="J157" s="147">
        <f t="shared" si="89"/>
        <v>4.4999999999999998E-2</v>
      </c>
      <c r="K157" s="175">
        <f t="shared" si="80"/>
        <v>3.8296430163020645E-3</v>
      </c>
      <c r="L157" s="149">
        <f t="shared" si="90"/>
        <v>795066.72358360293</v>
      </c>
      <c r="M157" s="149">
        <f t="shared" si="91"/>
        <v>2730966.7539501442</v>
      </c>
      <c r="N157" s="149">
        <f t="shared" si="92"/>
        <v>1723040.1107192496</v>
      </c>
      <c r="P157" s="149">
        <f t="shared" si="93"/>
        <v>0</v>
      </c>
      <c r="Q157" s="149">
        <f t="shared" si="94"/>
        <v>0</v>
      </c>
      <c r="R157" s="178">
        <f t="shared" si="95"/>
        <v>0</v>
      </c>
      <c r="S157" s="113">
        <f t="shared" si="96"/>
        <v>0</v>
      </c>
      <c r="T157" s="113">
        <f t="shared" si="81"/>
        <v>0</v>
      </c>
      <c r="U157" s="114">
        <f t="shared" si="97"/>
        <v>22.5</v>
      </c>
      <c r="V157" s="114">
        <f t="shared" si="98"/>
        <v>0</v>
      </c>
      <c r="W157" s="114">
        <f t="shared" si="99"/>
        <v>528.75</v>
      </c>
      <c r="X157" s="114"/>
      <c r="Y157" s="149">
        <f t="shared" si="100"/>
        <v>15081543.180238131</v>
      </c>
      <c r="Z157" s="149">
        <f t="shared" si="101"/>
        <v>85679.67956401725</v>
      </c>
      <c r="AA157" s="178">
        <f t="shared" si="102"/>
        <v>2645287.0743861273</v>
      </c>
      <c r="AB157" s="113">
        <f t="shared" si="103"/>
        <v>2730966.7539501446</v>
      </c>
      <c r="AC157" s="113">
        <f t="shared" si="82"/>
        <v>1427567.6918864788</v>
      </c>
      <c r="AD157" s="114">
        <f t="shared" si="104"/>
        <v>22.5</v>
      </c>
      <c r="AE157" s="114">
        <f t="shared" si="105"/>
        <v>7.1282006762841028E-3</v>
      </c>
      <c r="AF157" s="114">
        <f t="shared" si="106"/>
        <v>528.75</v>
      </c>
      <c r="AG157" s="114"/>
      <c r="AH157" s="176">
        <f t="shared" si="107"/>
        <v>191731963.58440021</v>
      </c>
      <c r="AI157" s="176">
        <f t="shared" si="108"/>
        <v>922246.96366687771</v>
      </c>
      <c r="AJ157" s="178">
        <f t="shared" si="109"/>
        <v>-922246.96366687771</v>
      </c>
      <c r="AK157" s="113">
        <f t="shared" si="110"/>
        <v>0</v>
      </c>
      <c r="AL157" s="113">
        <f t="shared" si="83"/>
        <v>0</v>
      </c>
      <c r="AM157" s="114">
        <f t="shared" si="111"/>
        <v>22.5</v>
      </c>
      <c r="AN157" s="114">
        <f t="shared" si="112"/>
        <v>0</v>
      </c>
      <c r="AO157" s="114">
        <f t="shared" si="113"/>
        <v>528.75</v>
      </c>
    </row>
    <row r="158" spans="1:41" hidden="1" outlineLevel="1" x14ac:dyDescent="0.3">
      <c r="A158" s="146">
        <f t="shared" si="84"/>
        <v>136</v>
      </c>
      <c r="B158" s="147">
        <f t="shared" si="77"/>
        <v>149</v>
      </c>
      <c r="C158" s="147">
        <f t="shared" si="76"/>
        <v>211</v>
      </c>
      <c r="D158" s="149">
        <f t="shared" si="85"/>
        <v>205096001.08251911</v>
      </c>
      <c r="E158" s="149">
        <f t="shared" si="86"/>
        <v>1963109.2120591511</v>
      </c>
      <c r="F158" s="149">
        <f t="shared" si="78"/>
        <v>1034067.5338231914</v>
      </c>
      <c r="G158" s="149">
        <f t="shared" si="79"/>
        <v>999598.61602908501</v>
      </c>
      <c r="H158" s="149">
        <f t="shared" si="87"/>
        <v>34468.917794106412</v>
      </c>
      <c r="I158" s="149">
        <f t="shared" si="88"/>
        <v>929041.67823595973</v>
      </c>
      <c r="J158" s="147">
        <f t="shared" si="89"/>
        <v>4.4999999999999998E-2</v>
      </c>
      <c r="K158" s="175">
        <f t="shared" si="80"/>
        <v>3.8296430163020645E-3</v>
      </c>
      <c r="L158" s="149">
        <f t="shared" si="90"/>
        <v>788464.00388322689</v>
      </c>
      <c r="M158" s="149">
        <f t="shared" si="91"/>
        <v>2717104.2981482716</v>
      </c>
      <c r="N158" s="149">
        <f t="shared" si="92"/>
        <v>1717505.6821191865</v>
      </c>
      <c r="P158" s="149">
        <f t="shared" si="93"/>
        <v>0</v>
      </c>
      <c r="Q158" s="149">
        <f t="shared" si="94"/>
        <v>0</v>
      </c>
      <c r="R158" s="178">
        <f t="shared" si="95"/>
        <v>0</v>
      </c>
      <c r="S158" s="113">
        <f t="shared" si="96"/>
        <v>0</v>
      </c>
      <c r="T158" s="113">
        <f t="shared" si="81"/>
        <v>0</v>
      </c>
      <c r="U158" s="114">
        <f t="shared" si="97"/>
        <v>22.666666666666668</v>
      </c>
      <c r="V158" s="114">
        <f t="shared" si="98"/>
        <v>0</v>
      </c>
      <c r="W158" s="114">
        <f t="shared" si="99"/>
        <v>536.44444444444446</v>
      </c>
      <c r="X158" s="114"/>
      <c r="Y158" s="149">
        <f t="shared" si="100"/>
        <v>12437333.007461011</v>
      </c>
      <c r="Z158" s="149">
        <f t="shared" si="101"/>
        <v>72894.125371150978</v>
      </c>
      <c r="AA158" s="178">
        <f t="shared" si="102"/>
        <v>2644210.172777121</v>
      </c>
      <c r="AB158" s="113">
        <f t="shared" si="103"/>
        <v>2717104.2981482721</v>
      </c>
      <c r="AC158" s="113">
        <f t="shared" si="82"/>
        <v>1413512.9585520676</v>
      </c>
      <c r="AD158" s="114">
        <f t="shared" si="104"/>
        <v>22.666666666666668</v>
      </c>
      <c r="AE158" s="114">
        <f t="shared" si="105"/>
        <v>7.0580218958110367E-3</v>
      </c>
      <c r="AF158" s="114">
        <f t="shared" si="106"/>
        <v>536.44444444444446</v>
      </c>
      <c r="AG158" s="114"/>
      <c r="AH158" s="176">
        <f t="shared" si="107"/>
        <v>192658668.07505813</v>
      </c>
      <c r="AI158" s="176">
        <f t="shared" si="108"/>
        <v>926704.49065793434</v>
      </c>
      <c r="AJ158" s="178">
        <f t="shared" si="109"/>
        <v>-926704.49065793434</v>
      </c>
      <c r="AK158" s="113">
        <f t="shared" si="110"/>
        <v>0</v>
      </c>
      <c r="AL158" s="113">
        <f t="shared" si="83"/>
        <v>0</v>
      </c>
      <c r="AM158" s="114">
        <f t="shared" si="111"/>
        <v>22.666666666666668</v>
      </c>
      <c r="AN158" s="114">
        <f t="shared" si="112"/>
        <v>0</v>
      </c>
      <c r="AO158" s="114">
        <f t="shared" si="113"/>
        <v>536.44444444444446</v>
      </c>
    </row>
    <row r="159" spans="1:41" hidden="1" outlineLevel="1" x14ac:dyDescent="0.3">
      <c r="A159" s="146">
        <f t="shared" si="84"/>
        <v>137</v>
      </c>
      <c r="B159" s="147">
        <f t="shared" si="77"/>
        <v>148</v>
      </c>
      <c r="C159" s="147">
        <f t="shared" si="76"/>
        <v>212</v>
      </c>
      <c r="D159" s="149">
        <f t="shared" si="85"/>
        <v>203384007.40899786</v>
      </c>
      <c r="E159" s="149">
        <f t="shared" si="86"/>
        <v>1955591.2045749505</v>
      </c>
      <c r="F159" s="149">
        <f t="shared" si="78"/>
        <v>1025480.0054125956</v>
      </c>
      <c r="G159" s="149">
        <f t="shared" si="79"/>
        <v>991297.33856550907</v>
      </c>
      <c r="H159" s="149">
        <f t="shared" si="87"/>
        <v>34182.666847086512</v>
      </c>
      <c r="I159" s="149">
        <f t="shared" si="88"/>
        <v>930111.19916235493</v>
      </c>
      <c r="J159" s="147">
        <f t="shared" si="89"/>
        <v>4.4999999999999998E-2</v>
      </c>
      <c r="K159" s="175">
        <f t="shared" si="80"/>
        <v>3.8296430163020645E-3</v>
      </c>
      <c r="L159" s="149">
        <f t="shared" si="90"/>
        <v>781882.47435889347</v>
      </c>
      <c r="M159" s="149">
        <f t="shared" si="91"/>
        <v>2703291.0120867575</v>
      </c>
      <c r="N159" s="149">
        <f t="shared" si="92"/>
        <v>1711993.6735212484</v>
      </c>
      <c r="P159" s="149">
        <f t="shared" si="93"/>
        <v>0</v>
      </c>
      <c r="Q159" s="149">
        <f t="shared" si="94"/>
        <v>0</v>
      </c>
      <c r="R159" s="178">
        <f t="shared" si="95"/>
        <v>0</v>
      </c>
      <c r="S159" s="113">
        <f t="shared" si="96"/>
        <v>0</v>
      </c>
      <c r="T159" s="113">
        <f t="shared" si="81"/>
        <v>0</v>
      </c>
      <c r="U159" s="114">
        <f t="shared" si="97"/>
        <v>22.833333333333332</v>
      </c>
      <c r="V159" s="114">
        <f t="shared" si="98"/>
        <v>0</v>
      </c>
      <c r="W159" s="114">
        <f t="shared" si="99"/>
        <v>544.19444444444434</v>
      </c>
      <c r="X159" s="114"/>
      <c r="Y159" s="149">
        <f t="shared" si="100"/>
        <v>9794155.771576982</v>
      </c>
      <c r="Z159" s="149">
        <f t="shared" si="101"/>
        <v>60113.776202728222</v>
      </c>
      <c r="AA159" s="178">
        <f t="shared" si="102"/>
        <v>2643177.2358840294</v>
      </c>
      <c r="AB159" s="113">
        <f t="shared" si="103"/>
        <v>2703291.0120867575</v>
      </c>
      <c r="AC159" s="113">
        <f t="shared" si="82"/>
        <v>1399585.62319659</v>
      </c>
      <c r="AD159" s="114">
        <f t="shared" si="104"/>
        <v>22.833333333333332</v>
      </c>
      <c r="AE159" s="114">
        <f t="shared" si="105"/>
        <v>6.9884792451444609E-3</v>
      </c>
      <c r="AF159" s="114">
        <f t="shared" si="106"/>
        <v>544.19444444444434</v>
      </c>
      <c r="AG159" s="114"/>
      <c r="AH159" s="176">
        <f t="shared" si="107"/>
        <v>193589851.63742092</v>
      </c>
      <c r="AI159" s="176">
        <f t="shared" si="108"/>
        <v>931183.56236278103</v>
      </c>
      <c r="AJ159" s="178">
        <f t="shared" si="109"/>
        <v>-931183.56236278103</v>
      </c>
      <c r="AK159" s="113">
        <f t="shared" si="110"/>
        <v>0</v>
      </c>
      <c r="AL159" s="113">
        <f t="shared" si="83"/>
        <v>0</v>
      </c>
      <c r="AM159" s="114">
        <f t="shared" si="111"/>
        <v>22.833333333333332</v>
      </c>
      <c r="AN159" s="114">
        <f t="shared" si="112"/>
        <v>0</v>
      </c>
      <c r="AO159" s="114">
        <f t="shared" si="113"/>
        <v>544.19444444444434</v>
      </c>
    </row>
    <row r="160" spans="1:41" hidden="1" outlineLevel="1" x14ac:dyDescent="0.3">
      <c r="A160" s="146">
        <f t="shared" si="84"/>
        <v>138</v>
      </c>
      <c r="B160" s="147">
        <f t="shared" si="77"/>
        <v>147</v>
      </c>
      <c r="C160" s="147">
        <f t="shared" si="76"/>
        <v>213</v>
      </c>
      <c r="D160" s="149">
        <f t="shared" si="85"/>
        <v>201677503.40852267</v>
      </c>
      <c r="E160" s="149">
        <f t="shared" si="86"/>
        <v>1948101.9883756083</v>
      </c>
      <c r="F160" s="149">
        <f t="shared" si="78"/>
        <v>1016920.0370449893</v>
      </c>
      <c r="G160" s="149">
        <f t="shared" si="79"/>
        <v>983022.702476823</v>
      </c>
      <c r="H160" s="149">
        <f t="shared" si="87"/>
        <v>33897.33456816629</v>
      </c>
      <c r="I160" s="149">
        <f t="shared" si="88"/>
        <v>931181.95133061905</v>
      </c>
      <c r="J160" s="147">
        <f t="shared" si="89"/>
        <v>4.4999999999999998E-2</v>
      </c>
      <c r="K160" s="175">
        <f t="shared" si="80"/>
        <v>3.8296430163020645E-3</v>
      </c>
      <c r="L160" s="149">
        <f t="shared" si="90"/>
        <v>775322.04914457607</v>
      </c>
      <c r="M160" s="149">
        <f t="shared" si="91"/>
        <v>2689526.702952018</v>
      </c>
      <c r="N160" s="149">
        <f t="shared" si="92"/>
        <v>1706504.0004751952</v>
      </c>
      <c r="P160" s="149">
        <f t="shared" si="93"/>
        <v>0</v>
      </c>
      <c r="Q160" s="149">
        <f t="shared" si="94"/>
        <v>0</v>
      </c>
      <c r="R160" s="178">
        <f t="shared" si="95"/>
        <v>0</v>
      </c>
      <c r="S160" s="113">
        <f t="shared" si="96"/>
        <v>0</v>
      </c>
      <c r="T160" s="113">
        <f t="shared" si="81"/>
        <v>0</v>
      </c>
      <c r="U160" s="114">
        <f t="shared" si="97"/>
        <v>23</v>
      </c>
      <c r="V160" s="114">
        <f t="shared" si="98"/>
        <v>0</v>
      </c>
      <c r="W160" s="114">
        <f t="shared" si="99"/>
        <v>552</v>
      </c>
      <c r="X160" s="114"/>
      <c r="Y160" s="149">
        <f t="shared" si="100"/>
        <v>7151967.488187585</v>
      </c>
      <c r="Z160" s="149">
        <f t="shared" si="101"/>
        <v>47338.419562622083</v>
      </c>
      <c r="AA160" s="178">
        <f t="shared" si="102"/>
        <v>2642188.2833893965</v>
      </c>
      <c r="AB160" s="113">
        <f t="shared" si="103"/>
        <v>2689526.7029520185</v>
      </c>
      <c r="AC160" s="113">
        <f t="shared" si="82"/>
        <v>1385784.5660197493</v>
      </c>
      <c r="AD160" s="114">
        <f t="shared" si="104"/>
        <v>23</v>
      </c>
      <c r="AE160" s="114">
        <f t="shared" si="105"/>
        <v>6.9195671328428788E-3</v>
      </c>
      <c r="AF160" s="114">
        <f t="shared" si="106"/>
        <v>552</v>
      </c>
      <c r="AG160" s="114"/>
      <c r="AH160" s="176">
        <f t="shared" si="107"/>
        <v>194525535.92033511</v>
      </c>
      <c r="AI160" s="176">
        <f t="shared" si="108"/>
        <v>935684.28291420115</v>
      </c>
      <c r="AJ160" s="178">
        <f t="shared" si="109"/>
        <v>-935684.28291420115</v>
      </c>
      <c r="AK160" s="113">
        <f t="shared" si="110"/>
        <v>0</v>
      </c>
      <c r="AL160" s="113">
        <f t="shared" si="83"/>
        <v>0</v>
      </c>
      <c r="AM160" s="114">
        <f t="shared" si="111"/>
        <v>23</v>
      </c>
      <c r="AN160" s="114">
        <f t="shared" si="112"/>
        <v>0</v>
      </c>
      <c r="AO160" s="114">
        <f t="shared" si="113"/>
        <v>552</v>
      </c>
    </row>
    <row r="161" spans="1:41" collapsed="1" x14ac:dyDescent="0.3">
      <c r="A161" s="146">
        <f t="shared" si="84"/>
        <v>139</v>
      </c>
      <c r="B161" s="147">
        <f t="shared" si="77"/>
        <v>146</v>
      </c>
      <c r="C161" s="147">
        <f t="shared" si="76"/>
        <v>214</v>
      </c>
      <c r="D161" s="149">
        <f t="shared" si="85"/>
        <v>199976466.82966682</v>
      </c>
      <c r="E161" s="149">
        <f t="shared" si="86"/>
        <v>1940641.4532007815</v>
      </c>
      <c r="F161" s="149">
        <f t="shared" si="78"/>
        <v>1008387.5170426134</v>
      </c>
      <c r="G161" s="149">
        <f t="shared" si="79"/>
        <v>974774.59980785963</v>
      </c>
      <c r="H161" s="149">
        <f t="shared" si="87"/>
        <v>33612.917234753724</v>
      </c>
      <c r="I161" s="149">
        <f t="shared" si="88"/>
        <v>932253.93615816813</v>
      </c>
      <c r="J161" s="147">
        <f t="shared" si="89"/>
        <v>4.4999999999999998E-2</v>
      </c>
      <c r="K161" s="175">
        <f t="shared" si="80"/>
        <v>3.8296430163020645E-3</v>
      </c>
      <c r="L161" s="149">
        <f t="shared" si="90"/>
        <v>768782.64269765629</v>
      </c>
      <c r="M161" s="149">
        <f t="shared" si="91"/>
        <v>2675811.1786636841</v>
      </c>
      <c r="N161" s="149">
        <f t="shared" si="92"/>
        <v>1701036.5788558244</v>
      </c>
      <c r="P161" s="149">
        <f t="shared" si="93"/>
        <v>0</v>
      </c>
      <c r="Q161" s="149">
        <f t="shared" si="94"/>
        <v>0</v>
      </c>
      <c r="R161" s="178">
        <f t="shared" si="95"/>
        <v>0</v>
      </c>
      <c r="S161" s="113">
        <f t="shared" si="96"/>
        <v>0</v>
      </c>
      <c r="T161" s="113">
        <f t="shared" si="81"/>
        <v>0</v>
      </c>
      <c r="U161" s="114">
        <f t="shared" si="97"/>
        <v>23.166666666666668</v>
      </c>
      <c r="V161" s="114">
        <f t="shared" si="98"/>
        <v>0</v>
      </c>
      <c r="W161" s="114">
        <f t="shared" si="99"/>
        <v>559.8611111111112</v>
      </c>
      <c r="X161" s="114"/>
      <c r="Y161" s="149">
        <f t="shared" si="100"/>
        <v>4510724.1523834746</v>
      </c>
      <c r="Z161" s="149">
        <f t="shared" si="101"/>
        <v>34567.842859573328</v>
      </c>
      <c r="AA161" s="178">
        <f t="shared" si="102"/>
        <v>2641243.3358041109</v>
      </c>
      <c r="AB161" s="113">
        <f t="shared" si="103"/>
        <v>2675811.1786636841</v>
      </c>
      <c r="AC161" s="113">
        <f t="shared" si="82"/>
        <v>1372108.6769428852</v>
      </c>
      <c r="AD161" s="114">
        <f t="shared" si="104"/>
        <v>23.166666666666668</v>
      </c>
      <c r="AE161" s="114">
        <f t="shared" si="105"/>
        <v>6.8512800160073425E-3</v>
      </c>
      <c r="AF161" s="114">
        <f t="shared" si="106"/>
        <v>559.8611111111112</v>
      </c>
      <c r="AG161" s="114"/>
      <c r="AH161" s="176">
        <f t="shared" si="107"/>
        <v>195465742.67728341</v>
      </c>
      <c r="AI161" s="176">
        <f t="shared" si="108"/>
        <v>940206.75694828643</v>
      </c>
      <c r="AJ161" s="178">
        <f t="shared" si="109"/>
        <v>-940206.75694828643</v>
      </c>
      <c r="AK161" s="113">
        <f t="shared" si="110"/>
        <v>0</v>
      </c>
      <c r="AL161" s="113">
        <f t="shared" si="83"/>
        <v>0</v>
      </c>
      <c r="AM161" s="114">
        <f t="shared" si="111"/>
        <v>23.166666666666668</v>
      </c>
      <c r="AN161" s="114">
        <f t="shared" si="112"/>
        <v>0</v>
      </c>
      <c r="AO161" s="114">
        <f t="shared" si="113"/>
        <v>559.8611111111112</v>
      </c>
    </row>
    <row r="162" spans="1:41" x14ac:dyDescent="0.3">
      <c r="A162" s="146">
        <f t="shared" si="84"/>
        <v>140</v>
      </c>
      <c r="B162" s="147">
        <f t="shared" si="77"/>
        <v>145</v>
      </c>
      <c r="C162" s="147">
        <f t="shared" si="76"/>
        <v>215</v>
      </c>
      <c r="D162" s="149">
        <f t="shared" si="85"/>
        <v>198280875.50480509</v>
      </c>
      <c r="E162" s="149">
        <f t="shared" si="86"/>
        <v>1933209.4892123849</v>
      </c>
      <c r="F162" s="149">
        <f t="shared" si="78"/>
        <v>999882.33414833411</v>
      </c>
      <c r="G162" s="149">
        <f t="shared" si="79"/>
        <v>966552.92301005637</v>
      </c>
      <c r="H162" s="149">
        <f t="shared" si="87"/>
        <v>33329.411138277734</v>
      </c>
      <c r="I162" s="149">
        <f t="shared" si="88"/>
        <v>933327.15506405081</v>
      </c>
      <c r="J162" s="147">
        <f t="shared" si="89"/>
        <v>4.4999999999999998E-2</v>
      </c>
      <c r="K162" s="175">
        <f t="shared" si="80"/>
        <v>3.8296430163020645E-3</v>
      </c>
      <c r="L162" s="149">
        <f t="shared" si="90"/>
        <v>762264.16979767894</v>
      </c>
      <c r="M162" s="149">
        <f t="shared" si="91"/>
        <v>2662144.2478717864</v>
      </c>
      <c r="N162" s="149">
        <f t="shared" si="92"/>
        <v>1695591.3248617298</v>
      </c>
      <c r="P162" s="149">
        <f t="shared" si="93"/>
        <v>0</v>
      </c>
      <c r="Q162" s="149">
        <f t="shared" si="94"/>
        <v>0</v>
      </c>
      <c r="R162" s="178">
        <f t="shared" si="95"/>
        <v>0</v>
      </c>
      <c r="S162" s="113">
        <f t="shared" si="96"/>
        <v>0</v>
      </c>
      <c r="T162" s="113">
        <f t="shared" si="81"/>
        <v>0</v>
      </c>
      <c r="U162" s="114">
        <f t="shared" si="97"/>
        <v>23.333333333333332</v>
      </c>
      <c r="V162" s="114">
        <f t="shared" si="98"/>
        <v>0</v>
      </c>
      <c r="W162" s="114">
        <f t="shared" si="99"/>
        <v>567.77777777777771</v>
      </c>
      <c r="X162" s="114"/>
      <c r="Y162" s="149">
        <f t="shared" si="100"/>
        <v>1870381.7379148751</v>
      </c>
      <c r="Z162" s="149">
        <f t="shared" si="101"/>
        <v>21801.833403186796</v>
      </c>
      <c r="AA162" s="178">
        <f t="shared" si="102"/>
        <v>2640342.4144685995</v>
      </c>
      <c r="AB162" s="113">
        <f t="shared" si="103"/>
        <v>2662144.2478717864</v>
      </c>
      <c r="AC162" s="113">
        <f t="shared" si="82"/>
        <v>1358556.8555250126</v>
      </c>
      <c r="AD162" s="114">
        <f t="shared" si="104"/>
        <v>23.333333333333332</v>
      </c>
      <c r="AE162" s="114">
        <f t="shared" si="105"/>
        <v>6.7836123998622141E-3</v>
      </c>
      <c r="AF162" s="114">
        <f t="shared" si="106"/>
        <v>567.77777777777771</v>
      </c>
      <c r="AG162" s="114"/>
      <c r="AH162" s="176">
        <f t="shared" si="107"/>
        <v>196410493.76689029</v>
      </c>
      <c r="AI162" s="176">
        <f t="shared" si="108"/>
        <v>944751.08960686985</v>
      </c>
      <c r="AJ162" s="178">
        <f t="shared" si="109"/>
        <v>-944751.08960686985</v>
      </c>
      <c r="AK162" s="113">
        <f t="shared" si="110"/>
        <v>0</v>
      </c>
      <c r="AL162" s="113">
        <f t="shared" si="83"/>
        <v>0</v>
      </c>
      <c r="AM162" s="114">
        <f t="shared" si="111"/>
        <v>23.333333333333332</v>
      </c>
      <c r="AN162" s="114">
        <f t="shared" si="112"/>
        <v>0</v>
      </c>
      <c r="AO162" s="114">
        <f t="shared" si="113"/>
        <v>567.77777777777771</v>
      </c>
    </row>
    <row r="163" spans="1:41" x14ac:dyDescent="0.3">
      <c r="A163" s="188">
        <f t="shared" si="84"/>
        <v>141</v>
      </c>
      <c r="B163" s="189">
        <f t="shared" si="77"/>
        <v>144</v>
      </c>
      <c r="C163" s="189">
        <f t="shared" si="76"/>
        <v>216</v>
      </c>
      <c r="D163" s="190">
        <f t="shared" si="85"/>
        <v>196590707.34979105</v>
      </c>
      <c r="E163" s="190">
        <f t="shared" si="86"/>
        <v>1925805.9869929738</v>
      </c>
      <c r="F163" s="190">
        <f t="shared" si="78"/>
        <v>991404.37752402551</v>
      </c>
      <c r="G163" s="190">
        <f t="shared" si="79"/>
        <v>958357.56493989134</v>
      </c>
      <c r="H163" s="190">
        <f t="shared" si="87"/>
        <v>33046.812584134168</v>
      </c>
      <c r="I163" s="190">
        <f t="shared" si="88"/>
        <v>934401.60946894833</v>
      </c>
      <c r="J163" s="189">
        <f t="shared" si="89"/>
        <v>4.4999999999999998E-2</v>
      </c>
      <c r="K163" s="191">
        <f t="shared" si="80"/>
        <v>3.8296430163020645E-3</v>
      </c>
      <c r="L163" s="190">
        <f t="shared" si="90"/>
        <v>755766.54554511176</v>
      </c>
      <c r="M163" s="190">
        <f t="shared" si="91"/>
        <v>2648525.7199539514</v>
      </c>
      <c r="N163" s="190">
        <f t="shared" si="92"/>
        <v>1690168.15501406</v>
      </c>
      <c r="O163" s="189"/>
      <c r="P163" s="190">
        <f t="shared" si="93"/>
        <v>0</v>
      </c>
      <c r="Q163" s="190">
        <f t="shared" si="94"/>
        <v>0</v>
      </c>
      <c r="R163" s="195">
        <f t="shared" si="95"/>
        <v>0</v>
      </c>
      <c r="S163" s="193">
        <f t="shared" si="96"/>
        <v>0</v>
      </c>
      <c r="T163" s="193">
        <f t="shared" si="81"/>
        <v>0</v>
      </c>
      <c r="U163" s="194">
        <f t="shared" si="97"/>
        <v>23.5</v>
      </c>
      <c r="V163" s="194">
        <f t="shared" si="98"/>
        <v>0</v>
      </c>
      <c r="W163" s="194">
        <f t="shared" si="99"/>
        <v>575.75</v>
      </c>
      <c r="X163" s="194"/>
      <c r="Y163" s="190">
        <f t="shared" si="100"/>
        <v>0</v>
      </c>
      <c r="Z163" s="190">
        <f t="shared" si="101"/>
        <v>9040.1783999218969</v>
      </c>
      <c r="AA163" s="195">
        <f t="shared" si="102"/>
        <v>1870381.7379148751</v>
      </c>
      <c r="AB163" s="193">
        <f t="shared" si="103"/>
        <v>1879421.916314797</v>
      </c>
      <c r="AC163" s="193">
        <f t="shared" si="82"/>
        <v>954517.0903380739</v>
      </c>
      <c r="AD163" s="194">
        <f t="shared" si="104"/>
        <v>23.5</v>
      </c>
      <c r="AE163" s="194">
        <f t="shared" si="105"/>
        <v>4.7661413238354869E-3</v>
      </c>
      <c r="AF163" s="194">
        <f t="shared" si="106"/>
        <v>575.75</v>
      </c>
      <c r="AG163" s="194"/>
      <c r="AH163" s="192">
        <f t="shared" si="107"/>
        <v>196590707.34979111</v>
      </c>
      <c r="AI163" s="192">
        <f t="shared" si="108"/>
        <v>949317.38653996983</v>
      </c>
      <c r="AJ163" s="195">
        <f t="shared" si="109"/>
        <v>-180213.58290081518</v>
      </c>
      <c r="AK163" s="193">
        <f t="shared" si="110"/>
        <v>769103.80363915465</v>
      </c>
      <c r="AL163" s="193">
        <f t="shared" si="83"/>
        <v>390610.9205414991</v>
      </c>
      <c r="AM163" s="194">
        <f t="shared" si="111"/>
        <v>23.5</v>
      </c>
      <c r="AN163" s="194">
        <f t="shared" si="112"/>
        <v>3.8934343168592865E-3</v>
      </c>
      <c r="AO163" s="194">
        <f t="shared" si="113"/>
        <v>575.75</v>
      </c>
    </row>
    <row r="164" spans="1:41" x14ac:dyDescent="0.3">
      <c r="A164" s="146">
        <f t="shared" si="84"/>
        <v>142</v>
      </c>
      <c r="B164" s="147">
        <f t="shared" si="77"/>
        <v>143</v>
      </c>
      <c r="C164" s="147">
        <f t="shared" si="76"/>
        <v>217</v>
      </c>
      <c r="D164" s="149">
        <f t="shared" si="85"/>
        <v>194905940.36363578</v>
      </c>
      <c r="E164" s="149">
        <f t="shared" si="86"/>
        <v>1918430.8375441334</v>
      </c>
      <c r="F164" s="149">
        <f t="shared" si="78"/>
        <v>982953.53674895526</v>
      </c>
      <c r="G164" s="149">
        <f t="shared" si="79"/>
        <v>950188.41885732347</v>
      </c>
      <c r="H164" s="149">
        <f t="shared" si="87"/>
        <v>32765.117891631788</v>
      </c>
      <c r="I164" s="149">
        <f t="shared" si="88"/>
        <v>935477.30079517816</v>
      </c>
      <c r="J164" s="147">
        <f t="shared" si="89"/>
        <v>4.4999999999999998E-2</v>
      </c>
      <c r="K164" s="175">
        <f t="shared" si="80"/>
        <v>3.8296430163020645E-3</v>
      </c>
      <c r="L164" s="149">
        <f t="shared" si="90"/>
        <v>749289.68536011095</v>
      </c>
      <c r="M164" s="149">
        <f t="shared" si="91"/>
        <v>2634955.4050126127</v>
      </c>
      <c r="N164" s="149">
        <f t="shared" si="92"/>
        <v>1684766.9861552892</v>
      </c>
      <c r="P164" s="149">
        <f t="shared" si="93"/>
        <v>0</v>
      </c>
      <c r="Q164" s="149">
        <f t="shared" si="94"/>
        <v>0</v>
      </c>
      <c r="R164" s="178">
        <f t="shared" si="95"/>
        <v>0</v>
      </c>
      <c r="S164" s="113">
        <f t="shared" si="96"/>
        <v>0</v>
      </c>
      <c r="T164" s="113">
        <f t="shared" si="81"/>
        <v>0</v>
      </c>
      <c r="U164" s="114">
        <f t="shared" si="97"/>
        <v>23.666666666666668</v>
      </c>
      <c r="V164" s="114">
        <f t="shared" si="98"/>
        <v>0</v>
      </c>
      <c r="W164" s="114">
        <f t="shared" si="99"/>
        <v>583.77777777777783</v>
      </c>
      <c r="X164" s="114"/>
      <c r="Y164" s="149">
        <f t="shared" si="100"/>
        <v>0</v>
      </c>
      <c r="Z164" s="149">
        <f t="shared" si="101"/>
        <v>0</v>
      </c>
      <c r="AA164" s="178">
        <f t="shared" si="102"/>
        <v>0</v>
      </c>
      <c r="AB164" s="113">
        <f t="shared" si="103"/>
        <v>0</v>
      </c>
      <c r="AC164" s="113">
        <f t="shared" si="82"/>
        <v>0</v>
      </c>
      <c r="AD164" s="114">
        <f t="shared" si="104"/>
        <v>23.666666666666668</v>
      </c>
      <c r="AE164" s="114">
        <f t="shared" si="105"/>
        <v>0</v>
      </c>
      <c r="AF164" s="114">
        <f t="shared" si="106"/>
        <v>583.77777777777783</v>
      </c>
      <c r="AG164" s="114"/>
      <c r="AH164" s="176">
        <f t="shared" si="107"/>
        <v>194905940.36363581</v>
      </c>
      <c r="AI164" s="176">
        <f t="shared" si="108"/>
        <v>950188.4188573237</v>
      </c>
      <c r="AJ164" s="178">
        <f t="shared" si="109"/>
        <v>1684766.9861552892</v>
      </c>
      <c r="AK164" s="113">
        <f t="shared" si="110"/>
        <v>2634955.4050126132</v>
      </c>
      <c r="AL164" s="113">
        <f t="shared" si="83"/>
        <v>1331821.0615919125</v>
      </c>
      <c r="AM164" s="114">
        <f t="shared" si="111"/>
        <v>23.666666666666668</v>
      </c>
      <c r="AN164" s="114">
        <f t="shared" si="112"/>
        <v>1.3274994508421629E-2</v>
      </c>
      <c r="AO164" s="114">
        <f t="shared" si="113"/>
        <v>583.77777777777783</v>
      </c>
    </row>
    <row r="165" spans="1:41" x14ac:dyDescent="0.3">
      <c r="A165" s="146">
        <f t="shared" si="84"/>
        <v>143</v>
      </c>
      <c r="B165" s="147">
        <f t="shared" si="77"/>
        <v>142</v>
      </c>
      <c r="C165" s="147">
        <f t="shared" si="76"/>
        <v>218</v>
      </c>
      <c r="D165" s="149">
        <f t="shared" si="85"/>
        <v>193226552.62818781</v>
      </c>
      <c r="E165" s="149">
        <f t="shared" si="86"/>
        <v>1911083.9322848739</v>
      </c>
      <c r="F165" s="149">
        <f t="shared" si="78"/>
        <v>974529.70181817887</v>
      </c>
      <c r="G165" s="149">
        <f t="shared" si="79"/>
        <v>942045.37842423969</v>
      </c>
      <c r="H165" s="149">
        <f t="shared" si="87"/>
        <v>32484.323393939179</v>
      </c>
      <c r="I165" s="149">
        <f t="shared" si="88"/>
        <v>936554.23046669504</v>
      </c>
      <c r="J165" s="147">
        <f t="shared" si="89"/>
        <v>4.4999999999999998E-2</v>
      </c>
      <c r="K165" s="175">
        <f t="shared" si="80"/>
        <v>3.8296430163020645E-3</v>
      </c>
      <c r="L165" s="149">
        <f t="shared" si="90"/>
        <v>742833.5049812895</v>
      </c>
      <c r="M165" s="149">
        <f t="shared" si="91"/>
        <v>2621433.1138722245</v>
      </c>
      <c r="N165" s="149">
        <f t="shared" si="92"/>
        <v>1679387.7354479847</v>
      </c>
      <c r="P165" s="149">
        <f t="shared" si="93"/>
        <v>0</v>
      </c>
      <c r="Q165" s="149">
        <f t="shared" si="94"/>
        <v>0</v>
      </c>
      <c r="R165" s="178">
        <f t="shared" si="95"/>
        <v>0</v>
      </c>
      <c r="S165" s="113">
        <f t="shared" si="96"/>
        <v>0</v>
      </c>
      <c r="T165" s="113">
        <f t="shared" si="81"/>
        <v>0</v>
      </c>
      <c r="U165" s="114">
        <f t="shared" si="97"/>
        <v>23.833333333333332</v>
      </c>
      <c r="V165" s="114">
        <f t="shared" si="98"/>
        <v>0</v>
      </c>
      <c r="W165" s="114">
        <f t="shared" si="99"/>
        <v>591.86111111111109</v>
      </c>
      <c r="X165" s="114"/>
      <c r="Y165" s="149">
        <f t="shared" si="100"/>
        <v>0</v>
      </c>
      <c r="Z165" s="149">
        <f t="shared" si="101"/>
        <v>0</v>
      </c>
      <c r="AA165" s="178">
        <f t="shared" si="102"/>
        <v>0</v>
      </c>
      <c r="AB165" s="113">
        <f t="shared" si="103"/>
        <v>0</v>
      </c>
      <c r="AC165" s="113">
        <f t="shared" si="82"/>
        <v>0</v>
      </c>
      <c r="AD165" s="114">
        <f t="shared" si="104"/>
        <v>23.833333333333332</v>
      </c>
      <c r="AE165" s="114">
        <f t="shared" si="105"/>
        <v>0</v>
      </c>
      <c r="AF165" s="114">
        <f t="shared" si="106"/>
        <v>591.86111111111109</v>
      </c>
      <c r="AG165" s="114"/>
      <c r="AH165" s="176">
        <f t="shared" si="107"/>
        <v>193226552.62818784</v>
      </c>
      <c r="AI165" s="176">
        <f t="shared" si="108"/>
        <v>942045.37842423981</v>
      </c>
      <c r="AJ165" s="178">
        <f t="shared" si="109"/>
        <v>1679387.7354479847</v>
      </c>
      <c r="AK165" s="113">
        <f t="shared" si="110"/>
        <v>2621433.1138722245</v>
      </c>
      <c r="AL165" s="113">
        <f t="shared" si="83"/>
        <v>1318634.9356374671</v>
      </c>
      <c r="AM165" s="114">
        <f t="shared" si="111"/>
        <v>23.833333333333332</v>
      </c>
      <c r="AN165" s="114">
        <f t="shared" si="112"/>
        <v>1.3143561123952254E-2</v>
      </c>
      <c r="AO165" s="114">
        <f t="shared" si="113"/>
        <v>591.86111111111109</v>
      </c>
    </row>
    <row r="166" spans="1:41" x14ac:dyDescent="0.3">
      <c r="A166" s="146">
        <f t="shared" si="84"/>
        <v>144</v>
      </c>
      <c r="B166" s="147">
        <f t="shared" si="77"/>
        <v>141</v>
      </c>
      <c r="C166" s="147">
        <f t="shared" si="76"/>
        <v>219</v>
      </c>
      <c r="D166" s="149">
        <f t="shared" si="85"/>
        <v>191552522.30781424</v>
      </c>
      <c r="E166" s="149">
        <f t="shared" si="86"/>
        <v>1903765.163050032</v>
      </c>
      <c r="F166" s="149">
        <f t="shared" si="78"/>
        <v>966132.76314093906</v>
      </c>
      <c r="G166" s="149">
        <f t="shared" si="79"/>
        <v>933928.33770290774</v>
      </c>
      <c r="H166" s="149">
        <f t="shared" si="87"/>
        <v>32204.425438031321</v>
      </c>
      <c r="I166" s="149">
        <f t="shared" si="88"/>
        <v>937632.39990909293</v>
      </c>
      <c r="J166" s="147">
        <f t="shared" si="89"/>
        <v>4.4999999999999998E-2</v>
      </c>
      <c r="K166" s="175">
        <f t="shared" si="80"/>
        <v>3.8296430163020645E-3</v>
      </c>
      <c r="L166" s="149">
        <f t="shared" si="90"/>
        <v>736397.9204644924</v>
      </c>
      <c r="M166" s="149">
        <f t="shared" si="91"/>
        <v>2607958.6580764931</v>
      </c>
      <c r="N166" s="149">
        <f t="shared" si="92"/>
        <v>1674030.3203735854</v>
      </c>
      <c r="P166" s="149">
        <f t="shared" si="93"/>
        <v>0</v>
      </c>
      <c r="Q166" s="149">
        <f t="shared" si="94"/>
        <v>0</v>
      </c>
      <c r="R166" s="178">
        <f t="shared" si="95"/>
        <v>0</v>
      </c>
      <c r="S166" s="113">
        <f t="shared" si="96"/>
        <v>0</v>
      </c>
      <c r="T166" s="113">
        <f t="shared" si="81"/>
        <v>0</v>
      </c>
      <c r="U166" s="114">
        <f t="shared" si="97"/>
        <v>24</v>
      </c>
      <c r="V166" s="114">
        <f t="shared" si="98"/>
        <v>0</v>
      </c>
      <c r="W166" s="114">
        <f t="shared" si="99"/>
        <v>600</v>
      </c>
      <c r="X166" s="114"/>
      <c r="Y166" s="149">
        <f t="shared" si="100"/>
        <v>0</v>
      </c>
      <c r="Z166" s="149">
        <f t="shared" si="101"/>
        <v>0</v>
      </c>
      <c r="AA166" s="178">
        <f t="shared" si="102"/>
        <v>0</v>
      </c>
      <c r="AB166" s="113">
        <f t="shared" si="103"/>
        <v>0</v>
      </c>
      <c r="AC166" s="113">
        <f t="shared" si="82"/>
        <v>0</v>
      </c>
      <c r="AD166" s="114">
        <f t="shared" si="104"/>
        <v>24</v>
      </c>
      <c r="AE166" s="114">
        <f t="shared" si="105"/>
        <v>0</v>
      </c>
      <c r="AF166" s="114">
        <f t="shared" si="106"/>
        <v>600</v>
      </c>
      <c r="AG166" s="114"/>
      <c r="AH166" s="176">
        <f t="shared" si="107"/>
        <v>191552522.30781424</v>
      </c>
      <c r="AI166" s="176">
        <f t="shared" si="108"/>
        <v>933928.33770290797</v>
      </c>
      <c r="AJ166" s="178">
        <f t="shared" si="109"/>
        <v>1674030.3203735854</v>
      </c>
      <c r="AK166" s="113">
        <f t="shared" si="110"/>
        <v>2607958.6580764935</v>
      </c>
      <c r="AL166" s="113">
        <f t="shared" si="83"/>
        <v>1305568.5703006531</v>
      </c>
      <c r="AM166" s="114">
        <f t="shared" si="111"/>
        <v>24</v>
      </c>
      <c r="AN166" s="114">
        <f t="shared" si="112"/>
        <v>1.3013321459560774E-2</v>
      </c>
      <c r="AO166" s="114">
        <f t="shared" si="113"/>
        <v>600</v>
      </c>
    </row>
    <row r="167" spans="1:41" hidden="1" outlineLevel="1" x14ac:dyDescent="0.3">
      <c r="A167" s="146">
        <f t="shared" si="84"/>
        <v>145</v>
      </c>
      <c r="B167" s="147">
        <f t="shared" si="77"/>
        <v>140</v>
      </c>
      <c r="C167" s="147">
        <f t="shared" si="76"/>
        <v>220</v>
      </c>
      <c r="D167" s="149">
        <f t="shared" si="85"/>
        <v>189883827.64908305</v>
      </c>
      <c r="E167" s="149">
        <f t="shared" si="86"/>
        <v>1896474.4220886782</v>
      </c>
      <c r="F167" s="149">
        <f t="shared" si="78"/>
        <v>957762.61153907119</v>
      </c>
      <c r="G167" s="149">
        <f t="shared" si="79"/>
        <v>925837.19115443551</v>
      </c>
      <c r="H167" s="149">
        <f t="shared" si="87"/>
        <v>31925.420384635683</v>
      </c>
      <c r="I167" s="149">
        <f t="shared" si="88"/>
        <v>938711.81054960703</v>
      </c>
      <c r="J167" s="147">
        <f t="shared" si="89"/>
        <v>4.4999999999999998E-2</v>
      </c>
      <c r="K167" s="175">
        <f t="shared" si="80"/>
        <v>3.8296430163020645E-3</v>
      </c>
      <c r="L167" s="149">
        <f t="shared" si="90"/>
        <v>729982.84818157461</v>
      </c>
      <c r="M167" s="149">
        <f t="shared" si="91"/>
        <v>2594531.8498856174</v>
      </c>
      <c r="N167" s="149">
        <f t="shared" si="92"/>
        <v>1668694.6587311816</v>
      </c>
      <c r="P167" s="149">
        <f t="shared" si="93"/>
        <v>0</v>
      </c>
      <c r="Q167" s="149">
        <f t="shared" si="94"/>
        <v>0</v>
      </c>
      <c r="R167" s="178">
        <f t="shared" si="95"/>
        <v>0</v>
      </c>
      <c r="S167" s="113">
        <f t="shared" si="96"/>
        <v>0</v>
      </c>
      <c r="T167" s="113">
        <f t="shared" si="81"/>
        <v>0</v>
      </c>
      <c r="U167" s="114">
        <f t="shared" si="97"/>
        <v>24.166666666666668</v>
      </c>
      <c r="V167" s="114">
        <f t="shared" si="98"/>
        <v>0</v>
      </c>
      <c r="W167" s="114">
        <f t="shared" si="99"/>
        <v>608.19444444444446</v>
      </c>
      <c r="X167" s="114"/>
      <c r="Y167" s="149">
        <f t="shared" si="100"/>
        <v>0</v>
      </c>
      <c r="Z167" s="149">
        <f t="shared" si="101"/>
        <v>0</v>
      </c>
      <c r="AA167" s="178">
        <f t="shared" si="102"/>
        <v>0</v>
      </c>
      <c r="AB167" s="113">
        <f t="shared" si="103"/>
        <v>0</v>
      </c>
      <c r="AC167" s="113">
        <f t="shared" si="82"/>
        <v>0</v>
      </c>
      <c r="AD167" s="114">
        <f t="shared" si="104"/>
        <v>24.166666666666668</v>
      </c>
      <c r="AE167" s="114">
        <f t="shared" si="105"/>
        <v>0</v>
      </c>
      <c r="AF167" s="114">
        <f t="shared" si="106"/>
        <v>608.19444444444446</v>
      </c>
      <c r="AG167" s="114"/>
      <c r="AH167" s="176">
        <f t="shared" si="107"/>
        <v>189883827.64908305</v>
      </c>
      <c r="AI167" s="176">
        <f t="shared" si="108"/>
        <v>925837.19115443551</v>
      </c>
      <c r="AJ167" s="178">
        <f t="shared" si="109"/>
        <v>1668694.6587311816</v>
      </c>
      <c r="AK167" s="113">
        <f t="shared" si="110"/>
        <v>2594531.8498856174</v>
      </c>
      <c r="AL167" s="113">
        <f t="shared" si="83"/>
        <v>1292620.9120944573</v>
      </c>
      <c r="AM167" s="114">
        <f t="shared" si="111"/>
        <v>24.166666666666668</v>
      </c>
      <c r="AN167" s="114">
        <f t="shared" si="112"/>
        <v>1.2884265014561531E-2</v>
      </c>
      <c r="AO167" s="114">
        <f t="shared" si="113"/>
        <v>608.19444444444446</v>
      </c>
    </row>
    <row r="168" spans="1:41" hidden="1" outlineLevel="1" x14ac:dyDescent="0.3">
      <c r="A168" s="146">
        <f t="shared" si="84"/>
        <v>146</v>
      </c>
      <c r="B168" s="147">
        <f t="shared" si="77"/>
        <v>139</v>
      </c>
      <c r="C168" s="147">
        <f t="shared" si="76"/>
        <v>221</v>
      </c>
      <c r="D168" s="149">
        <f t="shared" si="85"/>
        <v>188220446.98044676</v>
      </c>
      <c r="E168" s="149">
        <f t="shared" si="86"/>
        <v>1889211.6020625308</v>
      </c>
      <c r="F168" s="149">
        <f t="shared" si="78"/>
        <v>949419.13824541529</v>
      </c>
      <c r="G168" s="149">
        <f t="shared" si="79"/>
        <v>917771.83363723475</v>
      </c>
      <c r="H168" s="149">
        <f t="shared" si="87"/>
        <v>31647.304608180537</v>
      </c>
      <c r="I168" s="149">
        <f t="shared" si="88"/>
        <v>939792.46381711552</v>
      </c>
      <c r="J168" s="147">
        <f t="shared" si="89"/>
        <v>4.4999999999999998E-2</v>
      </c>
      <c r="K168" s="175">
        <f t="shared" si="80"/>
        <v>3.8296430163020645E-3</v>
      </c>
      <c r="L168" s="149">
        <f t="shared" si="90"/>
        <v>723588.20481918519</v>
      </c>
      <c r="M168" s="149">
        <f t="shared" si="91"/>
        <v>2581152.5022735354</v>
      </c>
      <c r="N168" s="149">
        <f t="shared" si="92"/>
        <v>1663380.6686363006</v>
      </c>
      <c r="P168" s="149">
        <f t="shared" si="93"/>
        <v>0</v>
      </c>
      <c r="Q168" s="149">
        <f t="shared" si="94"/>
        <v>0</v>
      </c>
      <c r="R168" s="178">
        <f t="shared" si="95"/>
        <v>0</v>
      </c>
      <c r="S168" s="113">
        <f t="shared" si="96"/>
        <v>0</v>
      </c>
      <c r="T168" s="113">
        <f t="shared" si="81"/>
        <v>0</v>
      </c>
      <c r="U168" s="114">
        <f t="shared" si="97"/>
        <v>24.333333333333332</v>
      </c>
      <c r="V168" s="114">
        <f t="shared" si="98"/>
        <v>0</v>
      </c>
      <c r="W168" s="114">
        <f t="shared" si="99"/>
        <v>616.44444444444434</v>
      </c>
      <c r="X168" s="114"/>
      <c r="Y168" s="149">
        <f t="shared" si="100"/>
        <v>0</v>
      </c>
      <c r="Z168" s="149">
        <f t="shared" si="101"/>
        <v>0</v>
      </c>
      <c r="AA168" s="178">
        <f t="shared" si="102"/>
        <v>0</v>
      </c>
      <c r="AB168" s="113">
        <f t="shared" si="103"/>
        <v>0</v>
      </c>
      <c r="AC168" s="113">
        <f t="shared" si="82"/>
        <v>0</v>
      </c>
      <c r="AD168" s="114">
        <f t="shared" si="104"/>
        <v>24.333333333333332</v>
      </c>
      <c r="AE168" s="114">
        <f t="shared" si="105"/>
        <v>0</v>
      </c>
      <c r="AF168" s="114">
        <f t="shared" si="106"/>
        <v>616.44444444444434</v>
      </c>
      <c r="AG168" s="114"/>
      <c r="AH168" s="176">
        <f t="shared" si="107"/>
        <v>188220446.98044676</v>
      </c>
      <c r="AI168" s="176">
        <f t="shared" si="108"/>
        <v>917771.83363723475</v>
      </c>
      <c r="AJ168" s="178">
        <f t="shared" si="109"/>
        <v>1663380.6686363006</v>
      </c>
      <c r="AK168" s="113">
        <f t="shared" si="110"/>
        <v>2581152.5022735354</v>
      </c>
      <c r="AL168" s="113">
        <f t="shared" si="83"/>
        <v>1279790.9166807199</v>
      </c>
      <c r="AM168" s="114">
        <f t="shared" si="111"/>
        <v>24.333333333333332</v>
      </c>
      <c r="AN168" s="114">
        <f t="shared" si="112"/>
        <v>1.2756381379460538E-2</v>
      </c>
      <c r="AO168" s="114">
        <f t="shared" si="113"/>
        <v>616.44444444444434</v>
      </c>
    </row>
    <row r="169" spans="1:41" hidden="1" outlineLevel="1" x14ac:dyDescent="0.3">
      <c r="A169" s="146">
        <f t="shared" si="84"/>
        <v>147</v>
      </c>
      <c r="B169" s="147">
        <f t="shared" si="77"/>
        <v>138</v>
      </c>
      <c r="C169" s="147">
        <f t="shared" si="76"/>
        <v>222</v>
      </c>
      <c r="D169" s="149">
        <f t="shared" si="85"/>
        <v>186562358.71192709</v>
      </c>
      <c r="E169" s="149">
        <f t="shared" si="86"/>
        <v>1881976.5960443751</v>
      </c>
      <c r="F169" s="149">
        <f t="shared" si="78"/>
        <v>941102.23490223382</v>
      </c>
      <c r="G169" s="149">
        <f t="shared" si="79"/>
        <v>909732.16040549264</v>
      </c>
      <c r="H169" s="149">
        <f t="shared" si="87"/>
        <v>31370.074496741174</v>
      </c>
      <c r="I169" s="149">
        <f t="shared" si="88"/>
        <v>940874.36114214128</v>
      </c>
      <c r="J169" s="147">
        <f t="shared" si="89"/>
        <v>4.4999999999999998E-2</v>
      </c>
      <c r="K169" s="175">
        <f t="shared" si="80"/>
        <v>3.8296430163020645E-3</v>
      </c>
      <c r="L169" s="149">
        <f t="shared" si="90"/>
        <v>717213.90737755527</v>
      </c>
      <c r="M169" s="149">
        <f t="shared" si="91"/>
        <v>2567820.4289251892</v>
      </c>
      <c r="N169" s="149">
        <f t="shared" si="92"/>
        <v>1658088.2685196965</v>
      </c>
      <c r="P169" s="149">
        <f t="shared" si="93"/>
        <v>0</v>
      </c>
      <c r="Q169" s="149">
        <f t="shared" si="94"/>
        <v>0</v>
      </c>
      <c r="R169" s="178">
        <f t="shared" si="95"/>
        <v>0</v>
      </c>
      <c r="S169" s="113">
        <f t="shared" si="96"/>
        <v>0</v>
      </c>
      <c r="T169" s="113">
        <f t="shared" si="81"/>
        <v>0</v>
      </c>
      <c r="U169" s="114">
        <f t="shared" si="97"/>
        <v>24.5</v>
      </c>
      <c r="V169" s="114">
        <f t="shared" si="98"/>
        <v>0</v>
      </c>
      <c r="W169" s="114">
        <f t="shared" si="99"/>
        <v>624.75</v>
      </c>
      <c r="X169" s="114"/>
      <c r="Y169" s="149">
        <f t="shared" si="100"/>
        <v>0</v>
      </c>
      <c r="Z169" s="149">
        <f t="shared" si="101"/>
        <v>0</v>
      </c>
      <c r="AA169" s="178">
        <f t="shared" si="102"/>
        <v>0</v>
      </c>
      <c r="AB169" s="113">
        <f t="shared" si="103"/>
        <v>0</v>
      </c>
      <c r="AC169" s="113">
        <f t="shared" si="82"/>
        <v>0</v>
      </c>
      <c r="AD169" s="114">
        <f t="shared" si="104"/>
        <v>24.5</v>
      </c>
      <c r="AE169" s="114">
        <f t="shared" si="105"/>
        <v>0</v>
      </c>
      <c r="AF169" s="114">
        <f t="shared" si="106"/>
        <v>624.75</v>
      </c>
      <c r="AG169" s="114"/>
      <c r="AH169" s="176">
        <f t="shared" si="107"/>
        <v>186562358.71192706</v>
      </c>
      <c r="AI169" s="176">
        <f t="shared" si="108"/>
        <v>909732.16040549264</v>
      </c>
      <c r="AJ169" s="178">
        <f t="shared" si="109"/>
        <v>1658088.2685196965</v>
      </c>
      <c r="AK169" s="113">
        <f t="shared" si="110"/>
        <v>2567820.4289251892</v>
      </c>
      <c r="AL169" s="113">
        <f t="shared" si="83"/>
        <v>1267077.5487911052</v>
      </c>
      <c r="AM169" s="114">
        <f t="shared" si="111"/>
        <v>24.5</v>
      </c>
      <c r="AN169" s="114">
        <f t="shared" si="112"/>
        <v>1.2629660235167737E-2</v>
      </c>
      <c r="AO169" s="114">
        <f t="shared" si="113"/>
        <v>624.75</v>
      </c>
    </row>
    <row r="170" spans="1:41" hidden="1" outlineLevel="1" x14ac:dyDescent="0.3">
      <c r="A170" s="146">
        <f t="shared" si="84"/>
        <v>148</v>
      </c>
      <c r="B170" s="147">
        <f t="shared" si="77"/>
        <v>137</v>
      </c>
      <c r="C170" s="147">
        <f t="shared" si="76"/>
        <v>223</v>
      </c>
      <c r="D170" s="149">
        <f t="shared" si="85"/>
        <v>184909541.33480093</v>
      </c>
      <c r="E170" s="149">
        <f t="shared" si="86"/>
        <v>1874769.2975164899</v>
      </c>
      <c r="F170" s="149">
        <f t="shared" si="78"/>
        <v>932811.79355963541</v>
      </c>
      <c r="G170" s="149">
        <f t="shared" si="79"/>
        <v>901718.06710764766</v>
      </c>
      <c r="H170" s="149">
        <f t="shared" si="87"/>
        <v>31093.72645198775</v>
      </c>
      <c r="I170" s="149">
        <f t="shared" si="88"/>
        <v>941957.50395685446</v>
      </c>
      <c r="J170" s="147">
        <f t="shared" si="89"/>
        <v>4.4999999999999998E-2</v>
      </c>
      <c r="K170" s="175">
        <f t="shared" si="80"/>
        <v>3.8296430163020645E-3</v>
      </c>
      <c r="L170" s="149">
        <f t="shared" si="90"/>
        <v>710859.87316929048</v>
      </c>
      <c r="M170" s="149">
        <f t="shared" si="91"/>
        <v>2554535.4442337924</v>
      </c>
      <c r="N170" s="149">
        <f t="shared" si="92"/>
        <v>1652817.3771261449</v>
      </c>
      <c r="P170" s="149">
        <f t="shared" si="93"/>
        <v>0</v>
      </c>
      <c r="Q170" s="149">
        <f t="shared" si="94"/>
        <v>0</v>
      </c>
      <c r="R170" s="178">
        <f t="shared" si="95"/>
        <v>0</v>
      </c>
      <c r="S170" s="113">
        <f t="shared" si="96"/>
        <v>0</v>
      </c>
      <c r="T170" s="113">
        <f t="shared" si="81"/>
        <v>0</v>
      </c>
      <c r="U170" s="114">
        <f t="shared" si="97"/>
        <v>24.666666666666668</v>
      </c>
      <c r="V170" s="114">
        <f t="shared" si="98"/>
        <v>0</v>
      </c>
      <c r="W170" s="114">
        <f t="shared" si="99"/>
        <v>633.1111111111112</v>
      </c>
      <c r="X170" s="114"/>
      <c r="Y170" s="149">
        <f t="shared" si="100"/>
        <v>0</v>
      </c>
      <c r="Z170" s="149">
        <f t="shared" si="101"/>
        <v>0</v>
      </c>
      <c r="AA170" s="178">
        <f t="shared" si="102"/>
        <v>0</v>
      </c>
      <c r="AB170" s="113">
        <f t="shared" si="103"/>
        <v>0</v>
      </c>
      <c r="AC170" s="113">
        <f t="shared" si="82"/>
        <v>0</v>
      </c>
      <c r="AD170" s="114">
        <f t="shared" si="104"/>
        <v>24.666666666666668</v>
      </c>
      <c r="AE170" s="114">
        <f t="shared" si="105"/>
        <v>0</v>
      </c>
      <c r="AF170" s="114">
        <f t="shared" si="106"/>
        <v>633.1111111111112</v>
      </c>
      <c r="AG170" s="114"/>
      <c r="AH170" s="176">
        <f t="shared" si="107"/>
        <v>184909541.3348009</v>
      </c>
      <c r="AI170" s="176">
        <f t="shared" si="108"/>
        <v>901718.06710764754</v>
      </c>
      <c r="AJ170" s="178">
        <f t="shared" si="109"/>
        <v>1652817.3771261449</v>
      </c>
      <c r="AK170" s="113">
        <f t="shared" si="110"/>
        <v>2554535.4442337924</v>
      </c>
      <c r="AL170" s="113">
        <f t="shared" si="83"/>
        <v>1254479.7821487524</v>
      </c>
      <c r="AM170" s="114">
        <f t="shared" si="111"/>
        <v>24.666666666666668</v>
      </c>
      <c r="AN170" s="114">
        <f t="shared" si="112"/>
        <v>1.2504091352216062E-2</v>
      </c>
      <c r="AO170" s="114">
        <f t="shared" si="113"/>
        <v>633.1111111111112</v>
      </c>
    </row>
    <row r="171" spans="1:41" hidden="1" outlineLevel="1" x14ac:dyDescent="0.3">
      <c r="A171" s="146">
        <f t="shared" si="84"/>
        <v>149</v>
      </c>
      <c r="B171" s="147">
        <f t="shared" si="77"/>
        <v>136</v>
      </c>
      <c r="C171" s="147">
        <f t="shared" si="76"/>
        <v>224</v>
      </c>
      <c r="D171" s="149">
        <f t="shared" si="85"/>
        <v>183261973.42128769</v>
      </c>
      <c r="E171" s="149">
        <f t="shared" si="86"/>
        <v>1867589.6003690783</v>
      </c>
      <c r="F171" s="149">
        <f t="shared" si="78"/>
        <v>924547.70667400467</v>
      </c>
      <c r="G171" s="149">
        <f t="shared" si="79"/>
        <v>893729.44978487119</v>
      </c>
      <c r="H171" s="149">
        <f t="shared" si="87"/>
        <v>30818.256889133481</v>
      </c>
      <c r="I171" s="149">
        <f t="shared" si="88"/>
        <v>943041.89369507367</v>
      </c>
      <c r="J171" s="147">
        <f t="shared" si="89"/>
        <v>4.4999999999999998E-2</v>
      </c>
      <c r="K171" s="175">
        <f t="shared" si="80"/>
        <v>3.8296430163020645E-3</v>
      </c>
      <c r="L171" s="149">
        <f t="shared" si="90"/>
        <v>704526.0198181686</v>
      </c>
      <c r="M171" s="149">
        <f t="shared" si="91"/>
        <v>2541297.3632981135</v>
      </c>
      <c r="N171" s="149">
        <f t="shared" si="92"/>
        <v>1647567.9135132423</v>
      </c>
      <c r="P171" s="149">
        <f t="shared" si="93"/>
        <v>0</v>
      </c>
      <c r="Q171" s="149">
        <f t="shared" si="94"/>
        <v>0</v>
      </c>
      <c r="R171" s="178">
        <f t="shared" si="95"/>
        <v>0</v>
      </c>
      <c r="S171" s="113">
        <f t="shared" si="96"/>
        <v>0</v>
      </c>
      <c r="T171" s="113">
        <f t="shared" si="81"/>
        <v>0</v>
      </c>
      <c r="U171" s="114">
        <f t="shared" si="97"/>
        <v>24.833333333333332</v>
      </c>
      <c r="V171" s="114">
        <f t="shared" si="98"/>
        <v>0</v>
      </c>
      <c r="W171" s="114">
        <f t="shared" si="99"/>
        <v>641.52777777777771</v>
      </c>
      <c r="X171" s="114"/>
      <c r="Y171" s="149">
        <f t="shared" si="100"/>
        <v>0</v>
      </c>
      <c r="Z171" s="149">
        <f t="shared" si="101"/>
        <v>0</v>
      </c>
      <c r="AA171" s="178">
        <f t="shared" si="102"/>
        <v>0</v>
      </c>
      <c r="AB171" s="113">
        <f t="shared" si="103"/>
        <v>0</v>
      </c>
      <c r="AC171" s="113">
        <f t="shared" si="82"/>
        <v>0</v>
      </c>
      <c r="AD171" s="114">
        <f t="shared" si="104"/>
        <v>24.833333333333332</v>
      </c>
      <c r="AE171" s="114">
        <f t="shared" si="105"/>
        <v>0</v>
      </c>
      <c r="AF171" s="114">
        <f t="shared" si="106"/>
        <v>641.52777777777771</v>
      </c>
      <c r="AG171" s="114"/>
      <c r="AH171" s="176">
        <f t="shared" si="107"/>
        <v>183261973.42128766</v>
      </c>
      <c r="AI171" s="176">
        <f t="shared" si="108"/>
        <v>893729.44978487107</v>
      </c>
      <c r="AJ171" s="178">
        <f t="shared" si="109"/>
        <v>1647567.9135132423</v>
      </c>
      <c r="AK171" s="113">
        <f t="shared" si="110"/>
        <v>2541297.3632981135</v>
      </c>
      <c r="AL171" s="113">
        <f t="shared" si="83"/>
        <v>1241996.5993906008</v>
      </c>
      <c r="AM171" s="114">
        <f t="shared" si="111"/>
        <v>24.833333333333332</v>
      </c>
      <c r="AN171" s="114">
        <f t="shared" si="112"/>
        <v>1.2379664589987202E-2</v>
      </c>
      <c r="AO171" s="114">
        <f t="shared" si="113"/>
        <v>641.52777777777771</v>
      </c>
    </row>
    <row r="172" spans="1:41" hidden="1" outlineLevel="1" x14ac:dyDescent="0.3">
      <c r="A172" s="146">
        <f t="shared" si="84"/>
        <v>150</v>
      </c>
      <c r="B172" s="147">
        <f t="shared" si="77"/>
        <v>135</v>
      </c>
      <c r="C172" s="147">
        <f t="shared" si="76"/>
        <v>225</v>
      </c>
      <c r="D172" s="149">
        <f t="shared" si="85"/>
        <v>181619633.62423748</v>
      </c>
      <c r="E172" s="149">
        <f t="shared" si="86"/>
        <v>1860437.3988987065</v>
      </c>
      <c r="F172" s="149">
        <f t="shared" si="78"/>
        <v>916309.8671064385</v>
      </c>
      <c r="G172" s="149">
        <f t="shared" si="79"/>
        <v>885766.20486955717</v>
      </c>
      <c r="H172" s="149">
        <f t="shared" si="87"/>
        <v>30543.662236881326</v>
      </c>
      <c r="I172" s="149">
        <f t="shared" si="88"/>
        <v>944127.53179226804</v>
      </c>
      <c r="J172" s="147">
        <f t="shared" si="89"/>
        <v>4.4999999999999998E-2</v>
      </c>
      <c r="K172" s="175">
        <f t="shared" si="80"/>
        <v>3.8296430163020645E-3</v>
      </c>
      <c r="L172" s="149">
        <f t="shared" si="90"/>
        <v>698212.26525794226</v>
      </c>
      <c r="M172" s="149">
        <f t="shared" si="91"/>
        <v>2528106.0019197678</v>
      </c>
      <c r="N172" s="149">
        <f t="shared" si="92"/>
        <v>1642339.7970502102</v>
      </c>
      <c r="P172" s="149">
        <f t="shared" si="93"/>
        <v>0</v>
      </c>
      <c r="Q172" s="149">
        <f t="shared" si="94"/>
        <v>0</v>
      </c>
      <c r="R172" s="178">
        <f t="shared" si="95"/>
        <v>0</v>
      </c>
      <c r="S172" s="113">
        <f t="shared" si="96"/>
        <v>0</v>
      </c>
      <c r="T172" s="113">
        <f t="shared" si="81"/>
        <v>0</v>
      </c>
      <c r="U172" s="114">
        <f t="shared" si="97"/>
        <v>25</v>
      </c>
      <c r="V172" s="114">
        <f t="shared" si="98"/>
        <v>0</v>
      </c>
      <c r="W172" s="114">
        <f t="shared" si="99"/>
        <v>650</v>
      </c>
      <c r="X172" s="114"/>
      <c r="Y172" s="149">
        <f t="shared" si="100"/>
        <v>0</v>
      </c>
      <c r="Z172" s="149">
        <f t="shared" si="101"/>
        <v>0</v>
      </c>
      <c r="AA172" s="178">
        <f t="shared" si="102"/>
        <v>0</v>
      </c>
      <c r="AB172" s="113">
        <f t="shared" si="103"/>
        <v>0</v>
      </c>
      <c r="AC172" s="113">
        <f t="shared" si="82"/>
        <v>0</v>
      </c>
      <c r="AD172" s="114">
        <f t="shared" si="104"/>
        <v>25</v>
      </c>
      <c r="AE172" s="114">
        <f t="shared" si="105"/>
        <v>0</v>
      </c>
      <c r="AF172" s="114">
        <f t="shared" si="106"/>
        <v>650</v>
      </c>
      <c r="AG172" s="114"/>
      <c r="AH172" s="176">
        <f t="shared" si="107"/>
        <v>181619633.62423745</v>
      </c>
      <c r="AI172" s="176">
        <f t="shared" si="108"/>
        <v>885766.20486955706</v>
      </c>
      <c r="AJ172" s="178">
        <f t="shared" si="109"/>
        <v>1642339.7970502102</v>
      </c>
      <c r="AK172" s="113">
        <f t="shared" si="110"/>
        <v>2528106.0019197674</v>
      </c>
      <c r="AL172" s="113">
        <f t="shared" si="83"/>
        <v>1229626.9919903886</v>
      </c>
      <c r="AM172" s="114">
        <f t="shared" si="111"/>
        <v>25</v>
      </c>
      <c r="AN172" s="114">
        <f t="shared" si="112"/>
        <v>1.2256369895944089E-2</v>
      </c>
      <c r="AO172" s="114">
        <f t="shared" si="113"/>
        <v>650</v>
      </c>
    </row>
    <row r="173" spans="1:41" hidden="1" outlineLevel="1" x14ac:dyDescent="0.3">
      <c r="A173" s="146">
        <f t="shared" si="84"/>
        <v>151</v>
      </c>
      <c r="B173" s="147">
        <f t="shared" si="77"/>
        <v>134</v>
      </c>
      <c r="C173" s="147">
        <f t="shared" si="76"/>
        <v>226</v>
      </c>
      <c r="D173" s="149">
        <f t="shared" si="85"/>
        <v>179982500.67682076</v>
      </c>
      <c r="E173" s="149">
        <f t="shared" si="86"/>
        <v>1853312.5878067468</v>
      </c>
      <c r="F173" s="149">
        <f t="shared" si="78"/>
        <v>908098.16812118737</v>
      </c>
      <c r="G173" s="149">
        <f t="shared" si="79"/>
        <v>877828.22918381449</v>
      </c>
      <c r="H173" s="149">
        <f t="shared" si="87"/>
        <v>30269.938937372877</v>
      </c>
      <c r="I173" s="149">
        <f t="shared" si="88"/>
        <v>945214.41968555946</v>
      </c>
      <c r="J173" s="147">
        <f t="shared" si="89"/>
        <v>4.4999999999999998E-2</v>
      </c>
      <c r="K173" s="175">
        <f t="shared" si="80"/>
        <v>3.8296430163020645E-3</v>
      </c>
      <c r="L173" s="149">
        <f t="shared" si="90"/>
        <v>691918.52773114375</v>
      </c>
      <c r="M173" s="149">
        <f t="shared" si="91"/>
        <v>2514961.1766005177</v>
      </c>
      <c r="N173" s="149">
        <f t="shared" si="92"/>
        <v>1637132.9474167032</v>
      </c>
      <c r="P173" s="149">
        <f t="shared" si="93"/>
        <v>0</v>
      </c>
      <c r="Q173" s="149">
        <f t="shared" si="94"/>
        <v>0</v>
      </c>
      <c r="R173" s="178">
        <f t="shared" si="95"/>
        <v>0</v>
      </c>
      <c r="S173" s="113">
        <f t="shared" si="96"/>
        <v>0</v>
      </c>
      <c r="T173" s="113">
        <f t="shared" si="81"/>
        <v>0</v>
      </c>
      <c r="U173" s="114">
        <f t="shared" si="97"/>
        <v>25.166666666666668</v>
      </c>
      <c r="V173" s="114">
        <f t="shared" si="98"/>
        <v>0</v>
      </c>
      <c r="W173" s="114">
        <f t="shared" si="99"/>
        <v>658.52777777777783</v>
      </c>
      <c r="X173" s="114"/>
      <c r="Y173" s="149">
        <f t="shared" si="100"/>
        <v>0</v>
      </c>
      <c r="Z173" s="149">
        <f t="shared" si="101"/>
        <v>0</v>
      </c>
      <c r="AA173" s="178">
        <f t="shared" si="102"/>
        <v>0</v>
      </c>
      <c r="AB173" s="113">
        <f t="shared" si="103"/>
        <v>0</v>
      </c>
      <c r="AC173" s="113">
        <f t="shared" si="82"/>
        <v>0</v>
      </c>
      <c r="AD173" s="114">
        <f t="shared" si="104"/>
        <v>25.166666666666668</v>
      </c>
      <c r="AE173" s="114">
        <f t="shared" si="105"/>
        <v>0</v>
      </c>
      <c r="AF173" s="114">
        <f t="shared" si="106"/>
        <v>658.52777777777783</v>
      </c>
      <c r="AG173" s="114"/>
      <c r="AH173" s="176">
        <f t="shared" si="107"/>
        <v>179982500.67682076</v>
      </c>
      <c r="AI173" s="176">
        <f t="shared" si="108"/>
        <v>877828.22918381437</v>
      </c>
      <c r="AJ173" s="178">
        <f t="shared" si="109"/>
        <v>1637132.9474167032</v>
      </c>
      <c r="AK173" s="113">
        <f t="shared" si="110"/>
        <v>2514961.1766005177</v>
      </c>
      <c r="AL173" s="113">
        <f t="shared" si="83"/>
        <v>1217369.960182311</v>
      </c>
      <c r="AM173" s="114">
        <f t="shared" si="111"/>
        <v>25.166666666666668</v>
      </c>
      <c r="AN173" s="114">
        <f t="shared" si="112"/>
        <v>1.2134197304869962E-2</v>
      </c>
      <c r="AO173" s="114">
        <f t="shared" si="113"/>
        <v>658.52777777777783</v>
      </c>
    </row>
    <row r="174" spans="1:41" hidden="1" outlineLevel="1" x14ac:dyDescent="0.3">
      <c r="A174" s="146">
        <f t="shared" si="84"/>
        <v>152</v>
      </c>
      <c r="B174" s="147">
        <f t="shared" si="77"/>
        <v>133</v>
      </c>
      <c r="C174" s="147">
        <f t="shared" si="76"/>
        <v>227</v>
      </c>
      <c r="D174" s="149">
        <f t="shared" si="85"/>
        <v>178350553.39221913</v>
      </c>
      <c r="E174" s="149">
        <f t="shared" si="86"/>
        <v>1846215.062197828</v>
      </c>
      <c r="F174" s="149">
        <f t="shared" si="78"/>
        <v>899912.50338410377</v>
      </c>
      <c r="G174" s="149">
        <f t="shared" si="79"/>
        <v>869915.41993796697</v>
      </c>
      <c r="H174" s="149">
        <f t="shared" si="87"/>
        <v>29997.083446136792</v>
      </c>
      <c r="I174" s="149">
        <f t="shared" si="88"/>
        <v>946302.5588137242</v>
      </c>
      <c r="J174" s="147">
        <f t="shared" si="89"/>
        <v>4.4999999999999998E-2</v>
      </c>
      <c r="K174" s="175">
        <f t="shared" si="80"/>
        <v>3.8296430163020645E-3</v>
      </c>
      <c r="L174" s="149">
        <f t="shared" si="90"/>
        <v>685644.72578789841</v>
      </c>
      <c r="M174" s="149">
        <f t="shared" si="91"/>
        <v>2501862.7045395896</v>
      </c>
      <c r="N174" s="149">
        <f t="shared" si="92"/>
        <v>1631947.2846016227</v>
      </c>
      <c r="P174" s="149">
        <f t="shared" si="93"/>
        <v>0</v>
      </c>
      <c r="Q174" s="149">
        <f t="shared" si="94"/>
        <v>0</v>
      </c>
      <c r="R174" s="178">
        <f t="shared" si="95"/>
        <v>0</v>
      </c>
      <c r="S174" s="113">
        <f t="shared" si="96"/>
        <v>0</v>
      </c>
      <c r="T174" s="113">
        <f t="shared" si="81"/>
        <v>0</v>
      </c>
      <c r="U174" s="114">
        <f t="shared" si="97"/>
        <v>25.333333333333332</v>
      </c>
      <c r="V174" s="114">
        <f t="shared" si="98"/>
        <v>0</v>
      </c>
      <c r="W174" s="114">
        <f t="shared" si="99"/>
        <v>667.11111111111109</v>
      </c>
      <c r="X174" s="114"/>
      <c r="Y174" s="149">
        <f t="shared" si="100"/>
        <v>0</v>
      </c>
      <c r="Z174" s="149">
        <f t="shared" si="101"/>
        <v>0</v>
      </c>
      <c r="AA174" s="178">
        <f t="shared" si="102"/>
        <v>0</v>
      </c>
      <c r="AB174" s="113">
        <f t="shared" si="103"/>
        <v>0</v>
      </c>
      <c r="AC174" s="113">
        <f t="shared" si="82"/>
        <v>0</v>
      </c>
      <c r="AD174" s="114">
        <f t="shared" si="104"/>
        <v>25.333333333333332</v>
      </c>
      <c r="AE174" s="114">
        <f t="shared" si="105"/>
        <v>0</v>
      </c>
      <c r="AF174" s="114">
        <f t="shared" si="106"/>
        <v>667.11111111111109</v>
      </c>
      <c r="AG174" s="114"/>
      <c r="AH174" s="176">
        <f t="shared" si="107"/>
        <v>178350553.39221913</v>
      </c>
      <c r="AI174" s="176">
        <f t="shared" si="108"/>
        <v>869915.41993796697</v>
      </c>
      <c r="AJ174" s="178">
        <f t="shared" si="109"/>
        <v>1631947.2846016227</v>
      </c>
      <c r="AK174" s="113">
        <f t="shared" si="110"/>
        <v>2501862.7045395896</v>
      </c>
      <c r="AL174" s="113">
        <f t="shared" si="83"/>
        <v>1205224.5128853377</v>
      </c>
      <c r="AM174" s="114">
        <f t="shared" si="111"/>
        <v>25.333333333333332</v>
      </c>
      <c r="AN174" s="114">
        <f t="shared" si="112"/>
        <v>1.2013136938113988E-2</v>
      </c>
      <c r="AO174" s="114">
        <f t="shared" si="113"/>
        <v>667.11111111111109</v>
      </c>
    </row>
    <row r="175" spans="1:41" hidden="1" outlineLevel="1" x14ac:dyDescent="0.3">
      <c r="A175" s="146">
        <f t="shared" si="84"/>
        <v>153</v>
      </c>
      <c r="B175" s="147">
        <f t="shared" si="77"/>
        <v>132</v>
      </c>
      <c r="C175" s="147">
        <f t="shared" si="76"/>
        <v>228</v>
      </c>
      <c r="D175" s="149">
        <f t="shared" si="85"/>
        <v>176723770.6633172</v>
      </c>
      <c r="E175" s="149">
        <f t="shared" si="86"/>
        <v>1839144.7175782903</v>
      </c>
      <c r="F175" s="149">
        <f t="shared" si="78"/>
        <v>891752.76696109562</v>
      </c>
      <c r="G175" s="149">
        <f t="shared" si="79"/>
        <v>862027.6747290591</v>
      </c>
      <c r="H175" s="149">
        <f t="shared" si="87"/>
        <v>29725.092232036521</v>
      </c>
      <c r="I175" s="149">
        <f t="shared" si="88"/>
        <v>947391.95061719464</v>
      </c>
      <c r="J175" s="147">
        <f t="shared" si="89"/>
        <v>4.4999999999999998E-2</v>
      </c>
      <c r="K175" s="175">
        <f t="shared" si="80"/>
        <v>3.8296430163020645E-3</v>
      </c>
      <c r="L175" s="149">
        <f t="shared" si="90"/>
        <v>679390.77828473854</v>
      </c>
      <c r="M175" s="149">
        <f t="shared" si="91"/>
        <v>2488810.4036309924</v>
      </c>
      <c r="N175" s="149">
        <f t="shared" si="92"/>
        <v>1626782.7289019332</v>
      </c>
      <c r="P175" s="149">
        <f t="shared" si="93"/>
        <v>0</v>
      </c>
      <c r="Q175" s="149">
        <f t="shared" si="94"/>
        <v>0</v>
      </c>
      <c r="R175" s="178">
        <f t="shared" si="95"/>
        <v>0</v>
      </c>
      <c r="S175" s="113">
        <f t="shared" si="96"/>
        <v>0</v>
      </c>
      <c r="T175" s="113">
        <f t="shared" si="81"/>
        <v>0</v>
      </c>
      <c r="U175" s="114">
        <f t="shared" si="97"/>
        <v>25.5</v>
      </c>
      <c r="V175" s="114">
        <f t="shared" si="98"/>
        <v>0</v>
      </c>
      <c r="W175" s="114">
        <f t="shared" si="99"/>
        <v>675.75</v>
      </c>
      <c r="X175" s="114"/>
      <c r="Y175" s="149">
        <f t="shared" si="100"/>
        <v>0</v>
      </c>
      <c r="Z175" s="149">
        <f t="shared" si="101"/>
        <v>0</v>
      </c>
      <c r="AA175" s="178">
        <f t="shared" si="102"/>
        <v>0</v>
      </c>
      <c r="AB175" s="113">
        <f t="shared" si="103"/>
        <v>0</v>
      </c>
      <c r="AC175" s="113">
        <f t="shared" si="82"/>
        <v>0</v>
      </c>
      <c r="AD175" s="114">
        <f t="shared" si="104"/>
        <v>25.5</v>
      </c>
      <c r="AE175" s="114">
        <f t="shared" si="105"/>
        <v>0</v>
      </c>
      <c r="AF175" s="114">
        <f t="shared" si="106"/>
        <v>675.75</v>
      </c>
      <c r="AG175" s="114"/>
      <c r="AH175" s="176">
        <f t="shared" si="107"/>
        <v>176723770.6633172</v>
      </c>
      <c r="AI175" s="176">
        <f t="shared" si="108"/>
        <v>862027.6747290591</v>
      </c>
      <c r="AJ175" s="178">
        <f t="shared" si="109"/>
        <v>1626782.7289019332</v>
      </c>
      <c r="AK175" s="113">
        <f t="shared" si="110"/>
        <v>2488810.4036309924</v>
      </c>
      <c r="AL175" s="113">
        <f t="shared" si="83"/>
        <v>1193189.6676281835</v>
      </c>
      <c r="AM175" s="114">
        <f t="shared" si="111"/>
        <v>25.5</v>
      </c>
      <c r="AN175" s="114">
        <f t="shared" si="112"/>
        <v>1.1893179002843418E-2</v>
      </c>
      <c r="AO175" s="114">
        <f t="shared" si="113"/>
        <v>675.75</v>
      </c>
    </row>
    <row r="176" spans="1:41" hidden="1" outlineLevel="1" x14ac:dyDescent="0.3">
      <c r="A176" s="146">
        <f t="shared" si="84"/>
        <v>154</v>
      </c>
      <c r="B176" s="147">
        <f t="shared" si="77"/>
        <v>131</v>
      </c>
      <c r="C176" s="147">
        <f t="shared" si="76"/>
        <v>229</v>
      </c>
      <c r="D176" s="149">
        <f t="shared" si="85"/>
        <v>175102131.4623957</v>
      </c>
      <c r="E176" s="149">
        <f t="shared" si="86"/>
        <v>1832101.4498546477</v>
      </c>
      <c r="F176" s="149">
        <f t="shared" si="78"/>
        <v>883618.853316586</v>
      </c>
      <c r="G176" s="149">
        <f t="shared" si="79"/>
        <v>854164.89153936657</v>
      </c>
      <c r="H176" s="149">
        <f t="shared" si="87"/>
        <v>29453.961777219432</v>
      </c>
      <c r="I176" s="149">
        <f t="shared" si="88"/>
        <v>948482.59653806174</v>
      </c>
      <c r="J176" s="147">
        <f t="shared" si="89"/>
        <v>4.4999999999999998E-2</v>
      </c>
      <c r="K176" s="175">
        <f t="shared" si="80"/>
        <v>3.8296430163020645E-3</v>
      </c>
      <c r="L176" s="149">
        <f t="shared" si="90"/>
        <v>673156.60438342439</v>
      </c>
      <c r="M176" s="149">
        <f t="shared" si="91"/>
        <v>2475804.0924608526</v>
      </c>
      <c r="N176" s="149">
        <f t="shared" si="92"/>
        <v>1621639.2009214861</v>
      </c>
      <c r="P176" s="149">
        <f t="shared" si="93"/>
        <v>0</v>
      </c>
      <c r="Q176" s="149">
        <f t="shared" si="94"/>
        <v>0</v>
      </c>
      <c r="R176" s="178">
        <f t="shared" si="95"/>
        <v>0</v>
      </c>
      <c r="S176" s="113">
        <f t="shared" si="96"/>
        <v>0</v>
      </c>
      <c r="T176" s="113">
        <f t="shared" si="81"/>
        <v>0</v>
      </c>
      <c r="U176" s="114">
        <f t="shared" si="97"/>
        <v>25.666666666666668</v>
      </c>
      <c r="V176" s="114">
        <f t="shared" si="98"/>
        <v>0</v>
      </c>
      <c r="W176" s="114">
        <f t="shared" si="99"/>
        <v>684.44444444444446</v>
      </c>
      <c r="X176" s="114"/>
      <c r="Y176" s="149">
        <f t="shared" si="100"/>
        <v>0</v>
      </c>
      <c r="Z176" s="149">
        <f t="shared" si="101"/>
        <v>0</v>
      </c>
      <c r="AA176" s="178">
        <f t="shared" si="102"/>
        <v>0</v>
      </c>
      <c r="AB176" s="113">
        <f t="shared" si="103"/>
        <v>0</v>
      </c>
      <c r="AC176" s="113">
        <f t="shared" si="82"/>
        <v>0</v>
      </c>
      <c r="AD176" s="114">
        <f t="shared" si="104"/>
        <v>25.666666666666668</v>
      </c>
      <c r="AE176" s="114">
        <f t="shared" si="105"/>
        <v>0</v>
      </c>
      <c r="AF176" s="114">
        <f t="shared" si="106"/>
        <v>684.44444444444446</v>
      </c>
      <c r="AG176" s="114"/>
      <c r="AH176" s="176">
        <f t="shared" si="107"/>
        <v>175102131.46239573</v>
      </c>
      <c r="AI176" s="176">
        <f t="shared" si="108"/>
        <v>854164.89153936657</v>
      </c>
      <c r="AJ176" s="178">
        <f t="shared" si="109"/>
        <v>1621639.2009214861</v>
      </c>
      <c r="AK176" s="113">
        <f t="shared" si="110"/>
        <v>2475804.0924608526</v>
      </c>
      <c r="AL176" s="113">
        <f t="shared" si="83"/>
        <v>1181264.4504749246</v>
      </c>
      <c r="AM176" s="114">
        <f t="shared" si="111"/>
        <v>25.666666666666668</v>
      </c>
      <c r="AN176" s="114">
        <f t="shared" si="112"/>
        <v>1.1774313791302143E-2</v>
      </c>
      <c r="AO176" s="114">
        <f t="shared" si="113"/>
        <v>684.44444444444446</v>
      </c>
    </row>
    <row r="177" spans="1:41" hidden="1" outlineLevel="1" x14ac:dyDescent="0.3">
      <c r="A177" s="146">
        <f t="shared" si="84"/>
        <v>155</v>
      </c>
      <c r="B177" s="147">
        <f t="shared" si="77"/>
        <v>130</v>
      </c>
      <c r="C177" s="147">
        <f t="shared" si="76"/>
        <v>230</v>
      </c>
      <c r="D177" s="149">
        <f t="shared" si="85"/>
        <v>173485614.84082586</v>
      </c>
      <c r="E177" s="149">
        <f t="shared" si="86"/>
        <v>1825085.1553320549</v>
      </c>
      <c r="F177" s="149">
        <f t="shared" si="78"/>
        <v>875510.65731197852</v>
      </c>
      <c r="G177" s="149">
        <f t="shared" si="79"/>
        <v>846326.96873491257</v>
      </c>
      <c r="H177" s="149">
        <f t="shared" si="87"/>
        <v>29183.688577065943</v>
      </c>
      <c r="I177" s="149">
        <f t="shared" si="88"/>
        <v>949574.49802007643</v>
      </c>
      <c r="J177" s="147">
        <f t="shared" si="89"/>
        <v>4.4999999999999998E-2</v>
      </c>
      <c r="K177" s="175">
        <f t="shared" si="80"/>
        <v>3.8296430163020645E-3</v>
      </c>
      <c r="L177" s="149">
        <f t="shared" si="90"/>
        <v>666942.12354976858</v>
      </c>
      <c r="M177" s="149">
        <f t="shared" si="91"/>
        <v>2462843.5903047575</v>
      </c>
      <c r="N177" s="149">
        <f t="shared" si="92"/>
        <v>1616516.6215698449</v>
      </c>
      <c r="P177" s="149">
        <f t="shared" si="93"/>
        <v>0</v>
      </c>
      <c r="Q177" s="149">
        <f t="shared" si="94"/>
        <v>0</v>
      </c>
      <c r="R177" s="178">
        <f t="shared" si="95"/>
        <v>0</v>
      </c>
      <c r="S177" s="113">
        <f t="shared" si="96"/>
        <v>0</v>
      </c>
      <c r="T177" s="113">
        <f t="shared" si="81"/>
        <v>0</v>
      </c>
      <c r="U177" s="114">
        <f t="shared" si="97"/>
        <v>25.833333333333332</v>
      </c>
      <c r="V177" s="114">
        <f t="shared" si="98"/>
        <v>0</v>
      </c>
      <c r="W177" s="114">
        <f t="shared" si="99"/>
        <v>693.19444444444434</v>
      </c>
      <c r="X177" s="114"/>
      <c r="Y177" s="149">
        <f t="shared" si="100"/>
        <v>0</v>
      </c>
      <c r="Z177" s="149">
        <f t="shared" si="101"/>
        <v>0</v>
      </c>
      <c r="AA177" s="178">
        <f t="shared" si="102"/>
        <v>0</v>
      </c>
      <c r="AB177" s="113">
        <f t="shared" si="103"/>
        <v>0</v>
      </c>
      <c r="AC177" s="113">
        <f t="shared" si="82"/>
        <v>0</v>
      </c>
      <c r="AD177" s="114">
        <f t="shared" si="104"/>
        <v>25.833333333333332</v>
      </c>
      <c r="AE177" s="114">
        <f t="shared" si="105"/>
        <v>0</v>
      </c>
      <c r="AF177" s="114">
        <f t="shared" si="106"/>
        <v>693.19444444444434</v>
      </c>
      <c r="AG177" s="114"/>
      <c r="AH177" s="176">
        <f t="shared" si="107"/>
        <v>173485614.84082589</v>
      </c>
      <c r="AI177" s="176">
        <f t="shared" si="108"/>
        <v>846326.96873491269</v>
      </c>
      <c r="AJ177" s="178">
        <f t="shared" si="109"/>
        <v>1616516.6215698449</v>
      </c>
      <c r="AK177" s="113">
        <f t="shared" si="110"/>
        <v>2462843.5903047575</v>
      </c>
      <c r="AL177" s="113">
        <f t="shared" si="83"/>
        <v>1169447.8959512569</v>
      </c>
      <c r="AM177" s="114">
        <f t="shared" si="111"/>
        <v>25.833333333333332</v>
      </c>
      <c r="AN177" s="114">
        <f t="shared" si="112"/>
        <v>1.1656531680075688E-2</v>
      </c>
      <c r="AO177" s="114">
        <f t="shared" si="113"/>
        <v>693.19444444444434</v>
      </c>
    </row>
    <row r="178" spans="1:41" hidden="1" outlineLevel="1" x14ac:dyDescent="0.3">
      <c r="A178" s="146">
        <f t="shared" si="84"/>
        <v>156</v>
      </c>
      <c r="B178" s="147">
        <f t="shared" si="77"/>
        <v>129</v>
      </c>
      <c r="C178" s="147">
        <f t="shared" si="76"/>
        <v>231</v>
      </c>
      <c r="D178" s="149">
        <f t="shared" si="85"/>
        <v>171874199.92876473</v>
      </c>
      <c r="E178" s="149">
        <f t="shared" si="86"/>
        <v>1818095.730712781</v>
      </c>
      <c r="F178" s="149">
        <f t="shared" si="78"/>
        <v>867428.07420412928</v>
      </c>
      <c r="G178" s="149">
        <f t="shared" si="79"/>
        <v>838513.80506399169</v>
      </c>
      <c r="H178" s="149">
        <f t="shared" si="87"/>
        <v>28914.269140137592</v>
      </c>
      <c r="I178" s="149">
        <f t="shared" si="88"/>
        <v>950667.65650865168</v>
      </c>
      <c r="J178" s="147">
        <f t="shared" si="89"/>
        <v>4.4999999999999998E-2</v>
      </c>
      <c r="K178" s="175">
        <f t="shared" si="80"/>
        <v>3.8296430163020645E-3</v>
      </c>
      <c r="L178" s="149">
        <f t="shared" si="90"/>
        <v>660747.25555246591</v>
      </c>
      <c r="M178" s="149">
        <f t="shared" si="91"/>
        <v>2449928.7171251094</v>
      </c>
      <c r="N178" s="149">
        <f t="shared" si="92"/>
        <v>1611414.9120611176</v>
      </c>
      <c r="P178" s="149">
        <f t="shared" si="93"/>
        <v>0</v>
      </c>
      <c r="Q178" s="149">
        <f t="shared" si="94"/>
        <v>0</v>
      </c>
      <c r="R178" s="178">
        <f t="shared" si="95"/>
        <v>0</v>
      </c>
      <c r="S178" s="113">
        <f t="shared" si="96"/>
        <v>0</v>
      </c>
      <c r="T178" s="113">
        <f t="shared" si="81"/>
        <v>0</v>
      </c>
      <c r="U178" s="114">
        <f t="shared" si="97"/>
        <v>26</v>
      </c>
      <c r="V178" s="114">
        <f t="shared" si="98"/>
        <v>0</v>
      </c>
      <c r="W178" s="114">
        <f t="shared" si="99"/>
        <v>702</v>
      </c>
      <c r="X178" s="114"/>
      <c r="Y178" s="149">
        <f t="shared" si="100"/>
        <v>0</v>
      </c>
      <c r="Z178" s="149">
        <f t="shared" si="101"/>
        <v>0</v>
      </c>
      <c r="AA178" s="178">
        <f t="shared" si="102"/>
        <v>0</v>
      </c>
      <c r="AB178" s="113">
        <f t="shared" si="103"/>
        <v>0</v>
      </c>
      <c r="AC178" s="113">
        <f t="shared" si="82"/>
        <v>0</v>
      </c>
      <c r="AD178" s="114">
        <f t="shared" si="104"/>
        <v>26</v>
      </c>
      <c r="AE178" s="114">
        <f t="shared" si="105"/>
        <v>0</v>
      </c>
      <c r="AF178" s="114">
        <f t="shared" si="106"/>
        <v>702</v>
      </c>
      <c r="AG178" s="114"/>
      <c r="AH178" s="176">
        <f t="shared" si="107"/>
        <v>171874199.92876476</v>
      </c>
      <c r="AI178" s="176">
        <f t="shared" si="108"/>
        <v>838513.80506399181</v>
      </c>
      <c r="AJ178" s="178">
        <f t="shared" si="109"/>
        <v>1611414.9120611176</v>
      </c>
      <c r="AK178" s="113">
        <f t="shared" si="110"/>
        <v>2449928.7171251094</v>
      </c>
      <c r="AL178" s="113">
        <f t="shared" si="83"/>
        <v>1157739.0469713903</v>
      </c>
      <c r="AM178" s="114">
        <f t="shared" si="111"/>
        <v>26</v>
      </c>
      <c r="AN178" s="114">
        <f t="shared" si="112"/>
        <v>1.1539823129362518E-2</v>
      </c>
      <c r="AO178" s="114">
        <f t="shared" si="113"/>
        <v>702</v>
      </c>
    </row>
    <row r="179" spans="1:41" hidden="1" outlineLevel="1" x14ac:dyDescent="0.3">
      <c r="A179" s="146">
        <f t="shared" si="84"/>
        <v>157</v>
      </c>
      <c r="B179" s="147">
        <f t="shared" si="77"/>
        <v>128</v>
      </c>
      <c r="C179" s="147">
        <f t="shared" si="76"/>
        <v>232</v>
      </c>
      <c r="D179" s="149">
        <f t="shared" si="85"/>
        <v>170267865.93485194</v>
      </c>
      <c r="E179" s="149">
        <f t="shared" si="86"/>
        <v>1811133.0730946881</v>
      </c>
      <c r="F179" s="149">
        <f t="shared" si="78"/>
        <v>859370.99964382371</v>
      </c>
      <c r="G179" s="149">
        <f t="shared" si="79"/>
        <v>830725.29965569626</v>
      </c>
      <c r="H179" s="149">
        <f t="shared" si="87"/>
        <v>28645.699988127453</v>
      </c>
      <c r="I179" s="149">
        <f t="shared" si="88"/>
        <v>951762.07345086441</v>
      </c>
      <c r="J179" s="147">
        <f t="shared" si="89"/>
        <v>4.4999999999999998E-2</v>
      </c>
      <c r="K179" s="175">
        <f t="shared" si="80"/>
        <v>3.8296430163020645E-3</v>
      </c>
      <c r="L179" s="149">
        <f t="shared" si="90"/>
        <v>654571.92046192638</v>
      </c>
      <c r="M179" s="149">
        <f t="shared" si="91"/>
        <v>2437059.2935684873</v>
      </c>
      <c r="N179" s="149">
        <f t="shared" si="92"/>
        <v>1606333.9939127909</v>
      </c>
      <c r="P179" s="149">
        <f t="shared" si="93"/>
        <v>0</v>
      </c>
      <c r="Q179" s="149">
        <f t="shared" si="94"/>
        <v>0</v>
      </c>
      <c r="R179" s="178">
        <f t="shared" si="95"/>
        <v>0</v>
      </c>
      <c r="S179" s="113">
        <f t="shared" si="96"/>
        <v>0</v>
      </c>
      <c r="T179" s="113">
        <f t="shared" si="81"/>
        <v>0</v>
      </c>
      <c r="U179" s="114">
        <f t="shared" si="97"/>
        <v>26.166666666666668</v>
      </c>
      <c r="V179" s="114">
        <f t="shared" si="98"/>
        <v>0</v>
      </c>
      <c r="W179" s="114">
        <f t="shared" si="99"/>
        <v>710.8611111111112</v>
      </c>
      <c r="X179" s="114"/>
      <c r="Y179" s="149">
        <f t="shared" si="100"/>
        <v>0</v>
      </c>
      <c r="Z179" s="149">
        <f t="shared" si="101"/>
        <v>0</v>
      </c>
      <c r="AA179" s="178">
        <f t="shared" si="102"/>
        <v>0</v>
      </c>
      <c r="AB179" s="113">
        <f t="shared" si="103"/>
        <v>0</v>
      </c>
      <c r="AC179" s="113">
        <f t="shared" si="82"/>
        <v>0</v>
      </c>
      <c r="AD179" s="114">
        <f t="shared" si="104"/>
        <v>26.166666666666668</v>
      </c>
      <c r="AE179" s="114">
        <f t="shared" si="105"/>
        <v>0</v>
      </c>
      <c r="AF179" s="114">
        <f t="shared" si="106"/>
        <v>710.8611111111112</v>
      </c>
      <c r="AG179" s="114"/>
      <c r="AH179" s="176">
        <f t="shared" si="107"/>
        <v>170267865.93485197</v>
      </c>
      <c r="AI179" s="176">
        <f t="shared" si="108"/>
        <v>830725.29965569638</v>
      </c>
      <c r="AJ179" s="178">
        <f t="shared" si="109"/>
        <v>1606333.9939127909</v>
      </c>
      <c r="AK179" s="113">
        <f t="shared" si="110"/>
        <v>2437059.2935684873</v>
      </c>
      <c r="AL179" s="113">
        <f t="shared" si="83"/>
        <v>1146136.9547655701</v>
      </c>
      <c r="AM179" s="114">
        <f t="shared" si="111"/>
        <v>26.166666666666668</v>
      </c>
      <c r="AN179" s="114">
        <f t="shared" si="112"/>
        <v>1.1424178682251608E-2</v>
      </c>
      <c r="AO179" s="114">
        <f t="shared" si="113"/>
        <v>710.8611111111112</v>
      </c>
    </row>
    <row r="180" spans="1:41" hidden="1" outlineLevel="1" x14ac:dyDescent="0.3">
      <c r="A180" s="146">
        <f t="shared" si="84"/>
        <v>158</v>
      </c>
      <c r="B180" s="147">
        <f t="shared" si="77"/>
        <v>127</v>
      </c>
      <c r="C180" s="147">
        <f t="shared" si="76"/>
        <v>233</v>
      </c>
      <c r="D180" s="149">
        <f t="shared" si="85"/>
        <v>168666592.14590737</v>
      </c>
      <c r="E180" s="149">
        <f t="shared" si="86"/>
        <v>1804197.0799697174</v>
      </c>
      <c r="F180" s="149">
        <f t="shared" si="78"/>
        <v>851339.32967425976</v>
      </c>
      <c r="G180" s="149">
        <f t="shared" si="79"/>
        <v>822961.35201845109</v>
      </c>
      <c r="H180" s="149">
        <f t="shared" si="87"/>
        <v>28377.977655808674</v>
      </c>
      <c r="I180" s="149">
        <f t="shared" si="88"/>
        <v>952857.75029545766</v>
      </c>
      <c r="J180" s="147">
        <f t="shared" si="89"/>
        <v>4.4999999999999998E-2</v>
      </c>
      <c r="K180" s="175">
        <f t="shared" si="80"/>
        <v>3.8296430163020645E-3</v>
      </c>
      <c r="L180" s="149">
        <f t="shared" si="90"/>
        <v>648416.03864911362</v>
      </c>
      <c r="M180" s="149">
        <f t="shared" si="91"/>
        <v>2424235.1409630226</v>
      </c>
      <c r="N180" s="149">
        <f t="shared" si="92"/>
        <v>1601273.7889445713</v>
      </c>
      <c r="P180" s="149">
        <f t="shared" si="93"/>
        <v>0</v>
      </c>
      <c r="Q180" s="149">
        <f t="shared" si="94"/>
        <v>0</v>
      </c>
      <c r="R180" s="178">
        <f t="shared" si="95"/>
        <v>0</v>
      </c>
      <c r="S180" s="113">
        <f t="shared" si="96"/>
        <v>0</v>
      </c>
      <c r="T180" s="113">
        <f t="shared" si="81"/>
        <v>0</v>
      </c>
      <c r="U180" s="114">
        <f t="shared" si="97"/>
        <v>26.333333333333332</v>
      </c>
      <c r="V180" s="114">
        <f t="shared" si="98"/>
        <v>0</v>
      </c>
      <c r="W180" s="114">
        <f t="shared" si="99"/>
        <v>719.77777777777771</v>
      </c>
      <c r="X180" s="114"/>
      <c r="Y180" s="149">
        <f t="shared" si="100"/>
        <v>0</v>
      </c>
      <c r="Z180" s="149">
        <f t="shared" si="101"/>
        <v>0</v>
      </c>
      <c r="AA180" s="178">
        <f t="shared" si="102"/>
        <v>0</v>
      </c>
      <c r="AB180" s="113">
        <f t="shared" si="103"/>
        <v>0</v>
      </c>
      <c r="AC180" s="113">
        <f t="shared" si="82"/>
        <v>0</v>
      </c>
      <c r="AD180" s="114">
        <f t="shared" si="104"/>
        <v>26.333333333333332</v>
      </c>
      <c r="AE180" s="114">
        <f t="shared" si="105"/>
        <v>0</v>
      </c>
      <c r="AF180" s="114">
        <f t="shared" si="106"/>
        <v>719.77777777777771</v>
      </c>
      <c r="AG180" s="114"/>
      <c r="AH180" s="176">
        <f t="shared" si="107"/>
        <v>168666592.1459074</v>
      </c>
      <c r="AI180" s="176">
        <f t="shared" si="108"/>
        <v>822961.3520184512</v>
      </c>
      <c r="AJ180" s="178">
        <f t="shared" si="109"/>
        <v>1601273.7889445713</v>
      </c>
      <c r="AK180" s="113">
        <f t="shared" si="110"/>
        <v>2424235.1409630226</v>
      </c>
      <c r="AL180" s="113">
        <f t="shared" si="83"/>
        <v>1134640.6788082272</v>
      </c>
      <c r="AM180" s="114">
        <f t="shared" si="111"/>
        <v>26.333333333333332</v>
      </c>
      <c r="AN180" s="114">
        <f t="shared" si="112"/>
        <v>1.1309588964006268E-2</v>
      </c>
      <c r="AO180" s="114">
        <f t="shared" si="113"/>
        <v>719.77777777777771</v>
      </c>
    </row>
    <row r="181" spans="1:41" hidden="1" outlineLevel="1" x14ac:dyDescent="0.3">
      <c r="A181" s="146">
        <f t="shared" si="84"/>
        <v>159</v>
      </c>
      <c r="B181" s="147">
        <f t="shared" si="77"/>
        <v>126</v>
      </c>
      <c r="C181" s="147">
        <f t="shared" si="76"/>
        <v>234</v>
      </c>
      <c r="D181" s="149">
        <f t="shared" si="85"/>
        <v>167070357.92663014</v>
      </c>
      <c r="E181" s="149">
        <f t="shared" si="86"/>
        <v>1797287.6492223789</v>
      </c>
      <c r="F181" s="149">
        <f t="shared" si="78"/>
        <v>843332.96072953683</v>
      </c>
      <c r="G181" s="149">
        <f t="shared" si="79"/>
        <v>815221.8620385523</v>
      </c>
      <c r="H181" s="149">
        <f t="shared" si="87"/>
        <v>28111.098690984538</v>
      </c>
      <c r="I181" s="149">
        <f t="shared" si="88"/>
        <v>953954.68849284202</v>
      </c>
      <c r="J181" s="147">
        <f t="shared" si="89"/>
        <v>4.4999999999999998E-2</v>
      </c>
      <c r="K181" s="175">
        <f t="shared" si="80"/>
        <v>3.8296430163020645E-3</v>
      </c>
      <c r="L181" s="149">
        <f t="shared" si="90"/>
        <v>642279.53078438761</v>
      </c>
      <c r="M181" s="149">
        <f t="shared" si="91"/>
        <v>2411456.0813157819</v>
      </c>
      <c r="N181" s="149">
        <f t="shared" si="92"/>
        <v>1596234.2192772296</v>
      </c>
      <c r="P181" s="149">
        <f t="shared" si="93"/>
        <v>0</v>
      </c>
      <c r="Q181" s="149">
        <f t="shared" si="94"/>
        <v>0</v>
      </c>
      <c r="R181" s="178">
        <f t="shared" si="95"/>
        <v>0</v>
      </c>
      <c r="S181" s="113">
        <f t="shared" si="96"/>
        <v>0</v>
      </c>
      <c r="T181" s="113">
        <f t="shared" si="81"/>
        <v>0</v>
      </c>
      <c r="U181" s="114">
        <f t="shared" si="97"/>
        <v>26.5</v>
      </c>
      <c r="V181" s="114">
        <f t="shared" si="98"/>
        <v>0</v>
      </c>
      <c r="W181" s="114">
        <f t="shared" si="99"/>
        <v>728.75</v>
      </c>
      <c r="X181" s="114"/>
      <c r="Y181" s="149">
        <f t="shared" si="100"/>
        <v>0</v>
      </c>
      <c r="Z181" s="149">
        <f t="shared" si="101"/>
        <v>0</v>
      </c>
      <c r="AA181" s="178">
        <f t="shared" si="102"/>
        <v>0</v>
      </c>
      <c r="AB181" s="113">
        <f t="shared" si="103"/>
        <v>0</v>
      </c>
      <c r="AC181" s="113">
        <f t="shared" si="82"/>
        <v>0</v>
      </c>
      <c r="AD181" s="114">
        <f t="shared" si="104"/>
        <v>26.5</v>
      </c>
      <c r="AE181" s="114">
        <f t="shared" si="105"/>
        <v>0</v>
      </c>
      <c r="AF181" s="114">
        <f t="shared" si="106"/>
        <v>728.75</v>
      </c>
      <c r="AG181" s="114"/>
      <c r="AH181" s="176">
        <f t="shared" si="107"/>
        <v>167070357.92663017</v>
      </c>
      <c r="AI181" s="176">
        <f t="shared" si="108"/>
        <v>815221.86203855253</v>
      </c>
      <c r="AJ181" s="178">
        <f t="shared" si="109"/>
        <v>1596234.2192772296</v>
      </c>
      <c r="AK181" s="113">
        <f t="shared" si="110"/>
        <v>2411456.0813157819</v>
      </c>
      <c r="AL181" s="113">
        <f t="shared" si="83"/>
        <v>1123249.2867467462</v>
      </c>
      <c r="AM181" s="114">
        <f t="shared" si="111"/>
        <v>26.5</v>
      </c>
      <c r="AN181" s="114">
        <f t="shared" si="112"/>
        <v>1.1196044681354147E-2</v>
      </c>
      <c r="AO181" s="114">
        <f t="shared" si="113"/>
        <v>728.75</v>
      </c>
    </row>
    <row r="182" spans="1:41" hidden="1" outlineLevel="1" x14ac:dyDescent="0.3">
      <c r="A182" s="146">
        <f t="shared" si="84"/>
        <v>160</v>
      </c>
      <c r="B182" s="147">
        <f t="shared" si="77"/>
        <v>125</v>
      </c>
      <c r="C182" s="147">
        <f t="shared" si="76"/>
        <v>235</v>
      </c>
      <c r="D182" s="149">
        <f t="shared" si="85"/>
        <v>165479142.71929869</v>
      </c>
      <c r="E182" s="149">
        <f t="shared" si="86"/>
        <v>1790404.6791282485</v>
      </c>
      <c r="F182" s="149">
        <f t="shared" si="78"/>
        <v>835351.78963315068</v>
      </c>
      <c r="G182" s="149">
        <f t="shared" si="79"/>
        <v>807506.72997871239</v>
      </c>
      <c r="H182" s="149">
        <f t="shared" si="87"/>
        <v>27845.059654438286</v>
      </c>
      <c r="I182" s="149">
        <f t="shared" si="88"/>
        <v>955052.8894950978</v>
      </c>
      <c r="J182" s="147">
        <f t="shared" si="89"/>
        <v>4.4999999999999998E-2</v>
      </c>
      <c r="K182" s="175">
        <f t="shared" si="80"/>
        <v>3.8296430163020645E-3</v>
      </c>
      <c r="L182" s="149">
        <f t="shared" si="90"/>
        <v>636162.31783635134</v>
      </c>
      <c r="M182" s="149">
        <f t="shared" si="91"/>
        <v>2398721.9373101615</v>
      </c>
      <c r="N182" s="149">
        <f t="shared" si="92"/>
        <v>1591215.2073314493</v>
      </c>
      <c r="P182" s="149">
        <f t="shared" si="93"/>
        <v>0</v>
      </c>
      <c r="Q182" s="149">
        <f t="shared" si="94"/>
        <v>0</v>
      </c>
      <c r="R182" s="178">
        <f t="shared" si="95"/>
        <v>0</v>
      </c>
      <c r="S182" s="113">
        <f t="shared" si="96"/>
        <v>0</v>
      </c>
      <c r="T182" s="113">
        <f t="shared" si="81"/>
        <v>0</v>
      </c>
      <c r="U182" s="114">
        <f t="shared" si="97"/>
        <v>26.666666666666668</v>
      </c>
      <c r="V182" s="114">
        <f t="shared" si="98"/>
        <v>0</v>
      </c>
      <c r="W182" s="114">
        <f t="shared" si="99"/>
        <v>737.77777777777783</v>
      </c>
      <c r="X182" s="114"/>
      <c r="Y182" s="149">
        <f t="shared" si="100"/>
        <v>0</v>
      </c>
      <c r="Z182" s="149">
        <f t="shared" si="101"/>
        <v>0</v>
      </c>
      <c r="AA182" s="178">
        <f t="shared" si="102"/>
        <v>0</v>
      </c>
      <c r="AB182" s="113">
        <f t="shared" si="103"/>
        <v>0</v>
      </c>
      <c r="AC182" s="113">
        <f t="shared" si="82"/>
        <v>0</v>
      </c>
      <c r="AD182" s="114">
        <f t="shared" si="104"/>
        <v>26.666666666666668</v>
      </c>
      <c r="AE182" s="114">
        <f t="shared" si="105"/>
        <v>0</v>
      </c>
      <c r="AF182" s="114">
        <f t="shared" si="106"/>
        <v>737.77777777777783</v>
      </c>
      <c r="AG182" s="114"/>
      <c r="AH182" s="176">
        <f t="shared" si="107"/>
        <v>165479142.71929872</v>
      </c>
      <c r="AI182" s="176">
        <f t="shared" si="108"/>
        <v>807506.72997871251</v>
      </c>
      <c r="AJ182" s="178">
        <f t="shared" si="109"/>
        <v>1591215.2073314493</v>
      </c>
      <c r="AK182" s="113">
        <f t="shared" si="110"/>
        <v>2398721.937310162</v>
      </c>
      <c r="AL182" s="113">
        <f t="shared" si="83"/>
        <v>1111961.8543308452</v>
      </c>
      <c r="AM182" s="114">
        <f t="shared" si="111"/>
        <v>26.666666666666668</v>
      </c>
      <c r="AN182" s="114">
        <f t="shared" si="112"/>
        <v>1.1083536621783319E-2</v>
      </c>
      <c r="AO182" s="114">
        <f t="shared" si="113"/>
        <v>737.77777777777783</v>
      </c>
    </row>
    <row r="183" spans="1:41" hidden="1" outlineLevel="1" x14ac:dyDescent="0.3">
      <c r="A183" s="146">
        <f t="shared" si="84"/>
        <v>161</v>
      </c>
      <c r="B183" s="147">
        <f t="shared" si="77"/>
        <v>124</v>
      </c>
      <c r="C183" s="147">
        <f t="shared" si="76"/>
        <v>236</v>
      </c>
      <c r="D183" s="149">
        <f t="shared" si="85"/>
        <v>163892926.04347202</v>
      </c>
      <c r="E183" s="149">
        <f t="shared" si="86"/>
        <v>1783548.0683524704</v>
      </c>
      <c r="F183" s="149">
        <f t="shared" si="78"/>
        <v>827395.71359649347</v>
      </c>
      <c r="G183" s="149">
        <f t="shared" si="79"/>
        <v>799815.85647661041</v>
      </c>
      <c r="H183" s="149">
        <f t="shared" si="87"/>
        <v>27579.857119883061</v>
      </c>
      <c r="I183" s="149">
        <f t="shared" si="88"/>
        <v>956152.35475597694</v>
      </c>
      <c r="J183" s="147">
        <f t="shared" si="89"/>
        <v>4.4999999999999998E-2</v>
      </c>
      <c r="K183" s="175">
        <f t="shared" si="80"/>
        <v>3.8296430163020645E-3</v>
      </c>
      <c r="L183" s="149">
        <f t="shared" si="90"/>
        <v>630064.32107070286</v>
      </c>
      <c r="M183" s="149">
        <f t="shared" si="91"/>
        <v>2386032.53230329</v>
      </c>
      <c r="N183" s="149">
        <f t="shared" si="92"/>
        <v>1586216.6758266799</v>
      </c>
      <c r="P183" s="149">
        <f t="shared" si="93"/>
        <v>0</v>
      </c>
      <c r="Q183" s="149">
        <f t="shared" si="94"/>
        <v>0</v>
      </c>
      <c r="R183" s="178">
        <f t="shared" si="95"/>
        <v>0</v>
      </c>
      <c r="S183" s="113">
        <f t="shared" si="96"/>
        <v>0</v>
      </c>
      <c r="T183" s="113">
        <f t="shared" si="81"/>
        <v>0</v>
      </c>
      <c r="U183" s="114">
        <f t="shared" si="97"/>
        <v>26.833333333333332</v>
      </c>
      <c r="V183" s="114">
        <f t="shared" si="98"/>
        <v>0</v>
      </c>
      <c r="W183" s="114">
        <f t="shared" si="99"/>
        <v>746.86111111111109</v>
      </c>
      <c r="X183" s="114"/>
      <c r="Y183" s="149">
        <f t="shared" si="100"/>
        <v>0</v>
      </c>
      <c r="Z183" s="149">
        <f t="shared" si="101"/>
        <v>0</v>
      </c>
      <c r="AA183" s="178">
        <f t="shared" si="102"/>
        <v>0</v>
      </c>
      <c r="AB183" s="113">
        <f t="shared" si="103"/>
        <v>0</v>
      </c>
      <c r="AC183" s="113">
        <f t="shared" si="82"/>
        <v>0</v>
      </c>
      <c r="AD183" s="114">
        <f t="shared" si="104"/>
        <v>26.833333333333332</v>
      </c>
      <c r="AE183" s="114">
        <f t="shared" si="105"/>
        <v>0</v>
      </c>
      <c r="AF183" s="114">
        <f t="shared" si="106"/>
        <v>746.86111111111109</v>
      </c>
      <c r="AG183" s="114"/>
      <c r="AH183" s="176">
        <f t="shared" si="107"/>
        <v>163892926.04347205</v>
      </c>
      <c r="AI183" s="176">
        <f t="shared" si="108"/>
        <v>799815.85647661053</v>
      </c>
      <c r="AJ183" s="178">
        <f t="shared" si="109"/>
        <v>1586216.6758266799</v>
      </c>
      <c r="AK183" s="113">
        <f t="shared" si="110"/>
        <v>2386032.5323032904</v>
      </c>
      <c r="AL183" s="113">
        <f t="shared" si="83"/>
        <v>1100777.465342568</v>
      </c>
      <c r="AM183" s="114">
        <f t="shared" si="111"/>
        <v>26.833333333333332</v>
      </c>
      <c r="AN183" s="114">
        <f t="shared" si="112"/>
        <v>1.0972055652844473E-2</v>
      </c>
      <c r="AO183" s="114">
        <f t="shared" si="113"/>
        <v>746.86111111111109</v>
      </c>
    </row>
    <row r="184" spans="1:41" hidden="1" outlineLevel="1" x14ac:dyDescent="0.3">
      <c r="A184" s="146">
        <f t="shared" si="84"/>
        <v>162</v>
      </c>
      <c r="B184" s="147">
        <f t="shared" si="77"/>
        <v>123</v>
      </c>
      <c r="C184" s="147">
        <f t="shared" si="76"/>
        <v>237</v>
      </c>
      <c r="D184" s="149">
        <f t="shared" si="85"/>
        <v>162311687.49569201</v>
      </c>
      <c r="E184" s="149">
        <f t="shared" si="86"/>
        <v>1776717.7159482653</v>
      </c>
      <c r="F184" s="149">
        <f t="shared" si="78"/>
        <v>819464.6302173601</v>
      </c>
      <c r="G184" s="149">
        <f t="shared" si="79"/>
        <v>792149.14254344814</v>
      </c>
      <c r="H184" s="149">
        <f t="shared" si="87"/>
        <v>27315.487673911965</v>
      </c>
      <c r="I184" s="149">
        <f t="shared" si="88"/>
        <v>957253.08573090518</v>
      </c>
      <c r="J184" s="147">
        <f t="shared" si="89"/>
        <v>4.4999999999999998E-2</v>
      </c>
      <c r="K184" s="175">
        <f t="shared" si="80"/>
        <v>3.8296430163020645E-3</v>
      </c>
      <c r="L184" s="149">
        <f t="shared" si="90"/>
        <v>623985.46204909042</v>
      </c>
      <c r="M184" s="149">
        <f t="shared" si="91"/>
        <v>2373387.6903234436</v>
      </c>
      <c r="N184" s="149">
        <f t="shared" si="92"/>
        <v>1581238.5477799955</v>
      </c>
      <c r="P184" s="149">
        <f t="shared" si="93"/>
        <v>0</v>
      </c>
      <c r="Q184" s="149">
        <f t="shared" si="94"/>
        <v>0</v>
      </c>
      <c r="R184" s="178">
        <f t="shared" si="95"/>
        <v>0</v>
      </c>
      <c r="S184" s="113">
        <f t="shared" si="96"/>
        <v>0</v>
      </c>
      <c r="T184" s="113">
        <f t="shared" si="81"/>
        <v>0</v>
      </c>
      <c r="U184" s="114">
        <f t="shared" si="97"/>
        <v>27</v>
      </c>
      <c r="V184" s="114">
        <f t="shared" si="98"/>
        <v>0</v>
      </c>
      <c r="W184" s="114">
        <f t="shared" si="99"/>
        <v>756</v>
      </c>
      <c r="X184" s="114"/>
      <c r="Y184" s="149">
        <f t="shared" si="100"/>
        <v>0</v>
      </c>
      <c r="Z184" s="149">
        <f t="shared" si="101"/>
        <v>0</v>
      </c>
      <c r="AA184" s="178">
        <f t="shared" si="102"/>
        <v>0</v>
      </c>
      <c r="AB184" s="113">
        <f t="shared" si="103"/>
        <v>0</v>
      </c>
      <c r="AC184" s="113">
        <f t="shared" si="82"/>
        <v>0</v>
      </c>
      <c r="AD184" s="114">
        <f t="shared" si="104"/>
        <v>27</v>
      </c>
      <c r="AE184" s="114">
        <f t="shared" si="105"/>
        <v>0</v>
      </c>
      <c r="AF184" s="114">
        <f t="shared" si="106"/>
        <v>756</v>
      </c>
      <c r="AG184" s="114"/>
      <c r="AH184" s="176">
        <f t="shared" si="107"/>
        <v>162311687.49569204</v>
      </c>
      <c r="AI184" s="176">
        <f t="shared" si="108"/>
        <v>792149.14254344825</v>
      </c>
      <c r="AJ184" s="178">
        <f t="shared" si="109"/>
        <v>1581238.5477799955</v>
      </c>
      <c r="AK184" s="113">
        <f t="shared" si="110"/>
        <v>2373387.6903234436</v>
      </c>
      <c r="AL184" s="113">
        <f t="shared" si="83"/>
        <v>1089695.2115268768</v>
      </c>
      <c r="AM184" s="114">
        <f t="shared" si="111"/>
        <v>27</v>
      </c>
      <c r="AN184" s="114">
        <f t="shared" si="112"/>
        <v>1.0861592721459088E-2</v>
      </c>
      <c r="AO184" s="114">
        <f t="shared" si="113"/>
        <v>756</v>
      </c>
    </row>
    <row r="185" spans="1:41" hidden="1" outlineLevel="1" x14ac:dyDescent="0.3">
      <c r="A185" s="146">
        <f t="shared" si="84"/>
        <v>163</v>
      </c>
      <c r="B185" s="147">
        <f t="shared" si="77"/>
        <v>122</v>
      </c>
      <c r="C185" s="147">
        <f t="shared" si="76"/>
        <v>238</v>
      </c>
      <c r="D185" s="149">
        <f t="shared" si="85"/>
        <v>160735406.74918705</v>
      </c>
      <c r="E185" s="149">
        <f t="shared" si="86"/>
        <v>1769913.5213554439</v>
      </c>
      <c r="F185" s="149">
        <f t="shared" si="78"/>
        <v>811558.43747846014</v>
      </c>
      <c r="G185" s="149">
        <f t="shared" si="79"/>
        <v>784506.48956251144</v>
      </c>
      <c r="H185" s="149">
        <f t="shared" si="87"/>
        <v>27051.947915948695</v>
      </c>
      <c r="I185" s="149">
        <f t="shared" si="88"/>
        <v>958355.08387698373</v>
      </c>
      <c r="J185" s="147">
        <f t="shared" si="89"/>
        <v>4.4999999999999998E-2</v>
      </c>
      <c r="K185" s="175">
        <f t="shared" si="80"/>
        <v>3.8296430163020645E-3</v>
      </c>
      <c r="L185" s="149">
        <f t="shared" si="90"/>
        <v>617925.6626279729</v>
      </c>
      <c r="M185" s="149">
        <f t="shared" si="91"/>
        <v>2360787.2360674683</v>
      </c>
      <c r="N185" s="149">
        <f t="shared" si="92"/>
        <v>1576280.7465049566</v>
      </c>
      <c r="P185" s="149">
        <f t="shared" si="93"/>
        <v>0</v>
      </c>
      <c r="Q185" s="149">
        <f t="shared" si="94"/>
        <v>0</v>
      </c>
      <c r="R185" s="178">
        <f t="shared" si="95"/>
        <v>0</v>
      </c>
      <c r="S185" s="113">
        <f t="shared" si="96"/>
        <v>0</v>
      </c>
      <c r="T185" s="113">
        <f t="shared" si="81"/>
        <v>0</v>
      </c>
      <c r="U185" s="114">
        <f t="shared" si="97"/>
        <v>27.166666666666668</v>
      </c>
      <c r="V185" s="114">
        <f t="shared" si="98"/>
        <v>0</v>
      </c>
      <c r="W185" s="114">
        <f t="shared" si="99"/>
        <v>765.19444444444446</v>
      </c>
      <c r="X185" s="114"/>
      <c r="Y185" s="149">
        <f t="shared" si="100"/>
        <v>0</v>
      </c>
      <c r="Z185" s="149">
        <f t="shared" si="101"/>
        <v>0</v>
      </c>
      <c r="AA185" s="178">
        <f t="shared" si="102"/>
        <v>0</v>
      </c>
      <c r="AB185" s="113">
        <f t="shared" si="103"/>
        <v>0</v>
      </c>
      <c r="AC185" s="113">
        <f t="shared" si="82"/>
        <v>0</v>
      </c>
      <c r="AD185" s="114">
        <f t="shared" si="104"/>
        <v>27.166666666666668</v>
      </c>
      <c r="AE185" s="114">
        <f t="shared" si="105"/>
        <v>0</v>
      </c>
      <c r="AF185" s="114">
        <f t="shared" si="106"/>
        <v>765.19444444444446</v>
      </c>
      <c r="AG185" s="114"/>
      <c r="AH185" s="176">
        <f t="shared" si="107"/>
        <v>160735406.74918708</v>
      </c>
      <c r="AI185" s="176">
        <f t="shared" si="108"/>
        <v>784506.48956251156</v>
      </c>
      <c r="AJ185" s="178">
        <f t="shared" si="109"/>
        <v>1576280.7465049566</v>
      </c>
      <c r="AK185" s="113">
        <f t="shared" si="110"/>
        <v>2360787.2360674683</v>
      </c>
      <c r="AL185" s="113">
        <f t="shared" si="83"/>
        <v>1078714.1925228462</v>
      </c>
      <c r="AM185" s="114">
        <f t="shared" si="111"/>
        <v>27.166666666666668</v>
      </c>
      <c r="AN185" s="114">
        <f t="shared" si="112"/>
        <v>1.0752138853233624E-2</v>
      </c>
      <c r="AO185" s="114">
        <f t="shared" si="113"/>
        <v>765.19444444444446</v>
      </c>
    </row>
    <row r="186" spans="1:41" hidden="1" outlineLevel="1" x14ac:dyDescent="0.3">
      <c r="A186" s="146">
        <f t="shared" si="84"/>
        <v>164</v>
      </c>
      <c r="B186" s="147">
        <f t="shared" si="77"/>
        <v>121</v>
      </c>
      <c r="C186" s="147">
        <f t="shared" si="76"/>
        <v>239</v>
      </c>
      <c r="D186" s="149">
        <f t="shared" si="85"/>
        <v>159164063.55357659</v>
      </c>
      <c r="E186" s="149">
        <f t="shared" si="86"/>
        <v>1763135.3843989263</v>
      </c>
      <c r="F186" s="149">
        <f t="shared" si="78"/>
        <v>803677.0337459353</v>
      </c>
      <c r="G186" s="149">
        <f t="shared" si="79"/>
        <v>776887.79928773746</v>
      </c>
      <c r="H186" s="149">
        <f t="shared" si="87"/>
        <v>26789.23445819784</v>
      </c>
      <c r="I186" s="149">
        <f t="shared" si="88"/>
        <v>959458.35065299098</v>
      </c>
      <c r="J186" s="147">
        <f t="shared" si="89"/>
        <v>4.4999999999999998E-2</v>
      </c>
      <c r="K186" s="175">
        <f t="shared" si="80"/>
        <v>3.8296430163020645E-3</v>
      </c>
      <c r="L186" s="149">
        <f t="shared" si="90"/>
        <v>611884.84495748498</v>
      </c>
      <c r="M186" s="149">
        <f t="shared" si="91"/>
        <v>2348230.9948982135</v>
      </c>
      <c r="N186" s="149">
        <f t="shared" si="92"/>
        <v>1571343.195610476</v>
      </c>
      <c r="P186" s="149">
        <f t="shared" si="93"/>
        <v>0</v>
      </c>
      <c r="Q186" s="149">
        <f t="shared" si="94"/>
        <v>0</v>
      </c>
      <c r="R186" s="178">
        <f t="shared" si="95"/>
        <v>0</v>
      </c>
      <c r="S186" s="113">
        <f t="shared" si="96"/>
        <v>0</v>
      </c>
      <c r="T186" s="113">
        <f t="shared" si="81"/>
        <v>0</v>
      </c>
      <c r="U186" s="114">
        <f t="shared" si="97"/>
        <v>27.333333333333332</v>
      </c>
      <c r="V186" s="114">
        <f t="shared" si="98"/>
        <v>0</v>
      </c>
      <c r="W186" s="114">
        <f t="shared" si="99"/>
        <v>774.44444444444434</v>
      </c>
      <c r="X186" s="114"/>
      <c r="Y186" s="149">
        <f t="shared" si="100"/>
        <v>0</v>
      </c>
      <c r="Z186" s="149">
        <f t="shared" si="101"/>
        <v>0</v>
      </c>
      <c r="AA186" s="178">
        <f t="shared" si="102"/>
        <v>0</v>
      </c>
      <c r="AB186" s="113">
        <f t="shared" si="103"/>
        <v>0</v>
      </c>
      <c r="AC186" s="113">
        <f t="shared" si="82"/>
        <v>0</v>
      </c>
      <c r="AD186" s="114">
        <f t="shared" si="104"/>
        <v>27.333333333333332</v>
      </c>
      <c r="AE186" s="114">
        <f t="shared" si="105"/>
        <v>0</v>
      </c>
      <c r="AF186" s="114">
        <f t="shared" si="106"/>
        <v>774.44444444444434</v>
      </c>
      <c r="AG186" s="114"/>
      <c r="AH186" s="176">
        <f t="shared" si="107"/>
        <v>159164063.55357662</v>
      </c>
      <c r="AI186" s="176">
        <f t="shared" si="108"/>
        <v>776887.79928773758</v>
      </c>
      <c r="AJ186" s="178">
        <f t="shared" si="109"/>
        <v>1571343.195610476</v>
      </c>
      <c r="AK186" s="113">
        <f t="shared" si="110"/>
        <v>2348230.9948982135</v>
      </c>
      <c r="AL186" s="113">
        <f t="shared" si="83"/>
        <v>1067833.5157954462</v>
      </c>
      <c r="AM186" s="114">
        <f t="shared" si="111"/>
        <v>27.333333333333332</v>
      </c>
      <c r="AN186" s="114">
        <f t="shared" si="112"/>
        <v>1.0643685151779544E-2</v>
      </c>
      <c r="AO186" s="114">
        <f t="shared" si="113"/>
        <v>774.44444444444434</v>
      </c>
    </row>
    <row r="187" spans="1:41" hidden="1" outlineLevel="1" x14ac:dyDescent="0.3">
      <c r="A187" s="146">
        <f t="shared" si="84"/>
        <v>165</v>
      </c>
      <c r="B187" s="147">
        <f t="shared" si="77"/>
        <v>120</v>
      </c>
      <c r="C187" s="147">
        <f t="shared" si="76"/>
        <v>240</v>
      </c>
      <c r="D187" s="149">
        <f t="shared" si="85"/>
        <v>157597637.73457688</v>
      </c>
      <c r="E187" s="149">
        <f t="shared" si="86"/>
        <v>1756383.2052872679</v>
      </c>
      <c r="F187" s="149">
        <f t="shared" si="78"/>
        <v>795820.31776788295</v>
      </c>
      <c r="G187" s="149">
        <f t="shared" si="79"/>
        <v>769292.97384228685</v>
      </c>
      <c r="H187" s="149">
        <f t="shared" si="87"/>
        <v>26527.343925596098</v>
      </c>
      <c r="I187" s="149">
        <f t="shared" si="88"/>
        <v>960562.88751938497</v>
      </c>
      <c r="J187" s="147">
        <f t="shared" si="89"/>
        <v>4.4999999999999998E-2</v>
      </c>
      <c r="K187" s="175">
        <f t="shared" si="80"/>
        <v>3.8296430163020645E-3</v>
      </c>
      <c r="L187" s="149">
        <f t="shared" si="90"/>
        <v>605862.93148030492</v>
      </c>
      <c r="M187" s="149">
        <f t="shared" si="91"/>
        <v>2335718.7928419765</v>
      </c>
      <c r="N187" s="149">
        <f t="shared" si="92"/>
        <v>1566425.81899969</v>
      </c>
      <c r="P187" s="149">
        <f t="shared" si="93"/>
        <v>0</v>
      </c>
      <c r="Q187" s="149">
        <f t="shared" si="94"/>
        <v>0</v>
      </c>
      <c r="R187" s="178">
        <f t="shared" si="95"/>
        <v>0</v>
      </c>
      <c r="S187" s="113">
        <f t="shared" si="96"/>
        <v>0</v>
      </c>
      <c r="T187" s="113">
        <f t="shared" si="81"/>
        <v>0</v>
      </c>
      <c r="U187" s="114">
        <f t="shared" si="97"/>
        <v>27.5</v>
      </c>
      <c r="V187" s="114">
        <f t="shared" si="98"/>
        <v>0</v>
      </c>
      <c r="W187" s="114">
        <f t="shared" si="99"/>
        <v>783.75</v>
      </c>
      <c r="X187" s="114"/>
      <c r="Y187" s="149">
        <f t="shared" si="100"/>
        <v>0</v>
      </c>
      <c r="Z187" s="149">
        <f t="shared" si="101"/>
        <v>0</v>
      </c>
      <c r="AA187" s="178">
        <f t="shared" si="102"/>
        <v>0</v>
      </c>
      <c r="AB187" s="113">
        <f t="shared" si="103"/>
        <v>0</v>
      </c>
      <c r="AC187" s="113">
        <f t="shared" si="82"/>
        <v>0</v>
      </c>
      <c r="AD187" s="114">
        <f t="shared" si="104"/>
        <v>27.5</v>
      </c>
      <c r="AE187" s="114">
        <f t="shared" si="105"/>
        <v>0</v>
      </c>
      <c r="AF187" s="114">
        <f t="shared" si="106"/>
        <v>783.75</v>
      </c>
      <c r="AG187" s="114"/>
      <c r="AH187" s="176">
        <f t="shared" si="107"/>
        <v>157597637.73457694</v>
      </c>
      <c r="AI187" s="176">
        <f t="shared" si="108"/>
        <v>769292.97384228697</v>
      </c>
      <c r="AJ187" s="178">
        <f t="shared" si="109"/>
        <v>1566425.81899969</v>
      </c>
      <c r="AK187" s="113">
        <f t="shared" si="110"/>
        <v>2335718.792841977</v>
      </c>
      <c r="AL187" s="113">
        <f t="shared" si="83"/>
        <v>1057052.2965679171</v>
      </c>
      <c r="AM187" s="114">
        <f t="shared" si="111"/>
        <v>27.5</v>
      </c>
      <c r="AN187" s="114">
        <f t="shared" si="112"/>
        <v>1.053622279803927E-2</v>
      </c>
      <c r="AO187" s="114">
        <f t="shared" si="113"/>
        <v>783.75</v>
      </c>
    </row>
    <row r="188" spans="1:41" hidden="1" outlineLevel="1" x14ac:dyDescent="0.3">
      <c r="A188" s="146">
        <f t="shared" si="84"/>
        <v>166</v>
      </c>
      <c r="B188" s="147">
        <f t="shared" si="77"/>
        <v>119</v>
      </c>
      <c r="C188" s="147">
        <f t="shared" si="76"/>
        <v>241</v>
      </c>
      <c r="D188" s="149">
        <f t="shared" si="85"/>
        <v>156036109.19370803</v>
      </c>
      <c r="E188" s="149">
        <f t="shared" si="86"/>
        <v>1749656.8846111894</v>
      </c>
      <c r="F188" s="149">
        <f t="shared" si="78"/>
        <v>787988.18867288437</v>
      </c>
      <c r="G188" s="149">
        <f t="shared" si="79"/>
        <v>761721.91571712168</v>
      </c>
      <c r="H188" s="149">
        <f t="shared" si="87"/>
        <v>26266.272955762688</v>
      </c>
      <c r="I188" s="149">
        <f t="shared" si="88"/>
        <v>961668.695938305</v>
      </c>
      <c r="J188" s="147">
        <f t="shared" si="89"/>
        <v>4.4999999999999998E-2</v>
      </c>
      <c r="K188" s="175">
        <f t="shared" si="80"/>
        <v>3.8296430163020645E-3</v>
      </c>
      <c r="L188" s="149">
        <f t="shared" si="90"/>
        <v>599859.84493052855</v>
      </c>
      <c r="M188" s="149">
        <f t="shared" si="91"/>
        <v>2323250.4565859553</v>
      </c>
      <c r="N188" s="149">
        <f t="shared" si="92"/>
        <v>1561528.5408688337</v>
      </c>
      <c r="P188" s="149">
        <f t="shared" si="93"/>
        <v>0</v>
      </c>
      <c r="Q188" s="149">
        <f t="shared" si="94"/>
        <v>0</v>
      </c>
      <c r="R188" s="178">
        <f t="shared" si="95"/>
        <v>0</v>
      </c>
      <c r="S188" s="113">
        <f t="shared" si="96"/>
        <v>0</v>
      </c>
      <c r="T188" s="113">
        <f t="shared" si="81"/>
        <v>0</v>
      </c>
      <c r="U188" s="114">
        <f t="shared" si="97"/>
        <v>27.666666666666668</v>
      </c>
      <c r="V188" s="114">
        <f t="shared" si="98"/>
        <v>0</v>
      </c>
      <c r="W188" s="114">
        <f t="shared" si="99"/>
        <v>793.1111111111112</v>
      </c>
      <c r="X188" s="114"/>
      <c r="Y188" s="149">
        <f t="shared" si="100"/>
        <v>0</v>
      </c>
      <c r="Z188" s="149">
        <f t="shared" si="101"/>
        <v>0</v>
      </c>
      <c r="AA188" s="178">
        <f t="shared" si="102"/>
        <v>0</v>
      </c>
      <c r="AB188" s="113">
        <f t="shared" si="103"/>
        <v>0</v>
      </c>
      <c r="AC188" s="113">
        <f t="shared" si="82"/>
        <v>0</v>
      </c>
      <c r="AD188" s="114">
        <f t="shared" si="104"/>
        <v>27.666666666666668</v>
      </c>
      <c r="AE188" s="114">
        <f t="shared" si="105"/>
        <v>0</v>
      </c>
      <c r="AF188" s="114">
        <f t="shared" si="106"/>
        <v>793.1111111111112</v>
      </c>
      <c r="AG188" s="114"/>
      <c r="AH188" s="176">
        <f t="shared" si="107"/>
        <v>156036109.19370812</v>
      </c>
      <c r="AI188" s="176">
        <f t="shared" si="108"/>
        <v>761721.91571712191</v>
      </c>
      <c r="AJ188" s="178">
        <f t="shared" si="109"/>
        <v>1561528.5408688337</v>
      </c>
      <c r="AK188" s="113">
        <f t="shared" si="110"/>
        <v>2323250.4565859558</v>
      </c>
      <c r="AL188" s="113">
        <f t="shared" si="83"/>
        <v>1046369.6577547259</v>
      </c>
      <c r="AM188" s="114">
        <f t="shared" si="111"/>
        <v>27.666666666666668</v>
      </c>
      <c r="AN188" s="114">
        <f t="shared" si="112"/>
        <v>1.0429743049617917E-2</v>
      </c>
      <c r="AO188" s="114">
        <f t="shared" si="113"/>
        <v>793.1111111111112</v>
      </c>
    </row>
    <row r="189" spans="1:41" hidden="1" outlineLevel="1" x14ac:dyDescent="0.3">
      <c r="A189" s="146">
        <f t="shared" si="84"/>
        <v>167</v>
      </c>
      <c r="B189" s="147">
        <f t="shared" si="77"/>
        <v>118</v>
      </c>
      <c r="C189" s="147">
        <f t="shared" si="76"/>
        <v>242</v>
      </c>
      <c r="D189" s="149">
        <f t="shared" si="85"/>
        <v>154479457.9080019</v>
      </c>
      <c r="E189" s="149">
        <f t="shared" si="86"/>
        <v>1742956.3233421133</v>
      </c>
      <c r="F189" s="149">
        <f t="shared" si="78"/>
        <v>780180.54596854013</v>
      </c>
      <c r="G189" s="149">
        <f t="shared" si="79"/>
        <v>754174.52776958887</v>
      </c>
      <c r="H189" s="149">
        <f t="shared" si="87"/>
        <v>26006.018198951264</v>
      </c>
      <c r="I189" s="149">
        <f t="shared" si="88"/>
        <v>962775.77737357316</v>
      </c>
      <c r="J189" s="147">
        <f t="shared" si="89"/>
        <v>4.4999999999999998E-2</v>
      </c>
      <c r="K189" s="175">
        <f t="shared" si="80"/>
        <v>3.8296430163020645E-3</v>
      </c>
      <c r="L189" s="149">
        <f t="shared" si="90"/>
        <v>593875.5083325468</v>
      </c>
      <c r="M189" s="149">
        <f t="shared" si="91"/>
        <v>2310825.8134757089</v>
      </c>
      <c r="N189" s="149">
        <f t="shared" si="92"/>
        <v>1556651.2857061201</v>
      </c>
      <c r="P189" s="149">
        <f t="shared" si="93"/>
        <v>0</v>
      </c>
      <c r="Q189" s="149">
        <f t="shared" si="94"/>
        <v>0</v>
      </c>
      <c r="R189" s="178">
        <f t="shared" si="95"/>
        <v>0</v>
      </c>
      <c r="S189" s="113">
        <f t="shared" si="96"/>
        <v>0</v>
      </c>
      <c r="T189" s="113">
        <f t="shared" si="81"/>
        <v>0</v>
      </c>
      <c r="U189" s="114">
        <f t="shared" si="97"/>
        <v>27.833333333333332</v>
      </c>
      <c r="V189" s="114">
        <f t="shared" si="98"/>
        <v>0</v>
      </c>
      <c r="W189" s="114">
        <f t="shared" si="99"/>
        <v>802.52777777777771</v>
      </c>
      <c r="X189" s="114"/>
      <c r="Y189" s="149">
        <f t="shared" si="100"/>
        <v>0</v>
      </c>
      <c r="Z189" s="149">
        <f t="shared" si="101"/>
        <v>0</v>
      </c>
      <c r="AA189" s="178">
        <f t="shared" si="102"/>
        <v>0</v>
      </c>
      <c r="AB189" s="113">
        <f t="shared" si="103"/>
        <v>0</v>
      </c>
      <c r="AC189" s="113">
        <f t="shared" si="82"/>
        <v>0</v>
      </c>
      <c r="AD189" s="114">
        <f t="shared" si="104"/>
        <v>27.833333333333332</v>
      </c>
      <c r="AE189" s="114">
        <f t="shared" si="105"/>
        <v>0</v>
      </c>
      <c r="AF189" s="114">
        <f t="shared" si="106"/>
        <v>802.52777777777771</v>
      </c>
      <c r="AG189" s="114"/>
      <c r="AH189" s="176">
        <f t="shared" si="107"/>
        <v>154479457.90800199</v>
      </c>
      <c r="AI189" s="176">
        <f t="shared" si="108"/>
        <v>754174.52776958933</v>
      </c>
      <c r="AJ189" s="178">
        <f t="shared" si="109"/>
        <v>1556651.2857061201</v>
      </c>
      <c r="AK189" s="113">
        <f t="shared" si="110"/>
        <v>2310825.8134757094</v>
      </c>
      <c r="AL189" s="113">
        <f t="shared" si="83"/>
        <v>1035784.7298950993</v>
      </c>
      <c r="AM189" s="114">
        <f t="shared" si="111"/>
        <v>27.833333333333332</v>
      </c>
      <c r="AN189" s="114">
        <f t="shared" si="112"/>
        <v>1.0324237240120786E-2</v>
      </c>
      <c r="AO189" s="114">
        <f t="shared" si="113"/>
        <v>802.52777777777771</v>
      </c>
    </row>
    <row r="190" spans="1:41" hidden="1" outlineLevel="1" x14ac:dyDescent="0.3">
      <c r="A190" s="146">
        <f t="shared" si="84"/>
        <v>168</v>
      </c>
      <c r="B190" s="147">
        <f t="shared" si="77"/>
        <v>117</v>
      </c>
      <c r="C190" s="147">
        <f t="shared" si="76"/>
        <v>243</v>
      </c>
      <c r="D190" s="149">
        <f t="shared" si="85"/>
        <v>152927663.92971125</v>
      </c>
      <c r="E190" s="149">
        <f t="shared" si="86"/>
        <v>1736281.4228307067</v>
      </c>
      <c r="F190" s="149">
        <f t="shared" si="78"/>
        <v>772397.28954000946</v>
      </c>
      <c r="G190" s="149">
        <f t="shared" si="79"/>
        <v>746650.71322200925</v>
      </c>
      <c r="H190" s="149">
        <f t="shared" si="87"/>
        <v>25746.57631800021</v>
      </c>
      <c r="I190" s="149">
        <f t="shared" si="88"/>
        <v>963884.13329069724</v>
      </c>
      <c r="J190" s="147">
        <f t="shared" si="89"/>
        <v>4.4999999999999998E-2</v>
      </c>
      <c r="K190" s="175">
        <f t="shared" si="80"/>
        <v>3.8296430163020645E-3</v>
      </c>
      <c r="L190" s="149">
        <f t="shared" si="90"/>
        <v>587909.8449999271</v>
      </c>
      <c r="M190" s="149">
        <f t="shared" si="91"/>
        <v>2298444.6915126336</v>
      </c>
      <c r="N190" s="149">
        <f t="shared" si="92"/>
        <v>1551793.9782906245</v>
      </c>
      <c r="P190" s="149">
        <f t="shared" si="93"/>
        <v>0</v>
      </c>
      <c r="Q190" s="149">
        <f t="shared" si="94"/>
        <v>0</v>
      </c>
      <c r="R190" s="178">
        <f t="shared" si="95"/>
        <v>0</v>
      </c>
      <c r="S190" s="113">
        <f t="shared" si="96"/>
        <v>0</v>
      </c>
      <c r="T190" s="113">
        <f t="shared" si="81"/>
        <v>0</v>
      </c>
      <c r="U190" s="114">
        <f t="shared" si="97"/>
        <v>28</v>
      </c>
      <c r="V190" s="114">
        <f t="shared" si="98"/>
        <v>0</v>
      </c>
      <c r="W190" s="114">
        <f t="shared" si="99"/>
        <v>812</v>
      </c>
      <c r="X190" s="114"/>
      <c r="Y190" s="149">
        <f t="shared" si="100"/>
        <v>0</v>
      </c>
      <c r="Z190" s="149">
        <f t="shared" si="101"/>
        <v>0</v>
      </c>
      <c r="AA190" s="178">
        <f t="shared" si="102"/>
        <v>0</v>
      </c>
      <c r="AB190" s="113">
        <f t="shared" si="103"/>
        <v>0</v>
      </c>
      <c r="AC190" s="113">
        <f t="shared" si="82"/>
        <v>0</v>
      </c>
      <c r="AD190" s="114">
        <f t="shared" si="104"/>
        <v>28</v>
      </c>
      <c r="AE190" s="114">
        <f t="shared" si="105"/>
        <v>0</v>
      </c>
      <c r="AF190" s="114">
        <f t="shared" si="106"/>
        <v>812</v>
      </c>
      <c r="AG190" s="114"/>
      <c r="AH190" s="176">
        <f t="shared" si="107"/>
        <v>152927663.92971137</v>
      </c>
      <c r="AI190" s="176">
        <f t="shared" si="108"/>
        <v>746650.7132220096</v>
      </c>
      <c r="AJ190" s="178">
        <f t="shared" si="109"/>
        <v>1551793.9782906245</v>
      </c>
      <c r="AK190" s="113">
        <f t="shared" si="110"/>
        <v>2298444.691512634</v>
      </c>
      <c r="AL190" s="113">
        <f t="shared" si="83"/>
        <v>1025296.6510871325</v>
      </c>
      <c r="AM190" s="114">
        <f t="shared" si="111"/>
        <v>28</v>
      </c>
      <c r="AN190" s="114">
        <f t="shared" si="112"/>
        <v>1.0219696778496585E-2</v>
      </c>
      <c r="AO190" s="114">
        <f t="shared" si="113"/>
        <v>812</v>
      </c>
    </row>
    <row r="191" spans="1:41" hidden="1" outlineLevel="1" x14ac:dyDescent="0.3">
      <c r="A191" s="146">
        <f t="shared" si="84"/>
        <v>169</v>
      </c>
      <c r="B191" s="147">
        <f t="shared" si="77"/>
        <v>116</v>
      </c>
      <c r="C191" s="147">
        <f t="shared" si="76"/>
        <v>244</v>
      </c>
      <c r="D191" s="149">
        <f t="shared" si="85"/>
        <v>151380707.38602009</v>
      </c>
      <c r="E191" s="149">
        <f t="shared" si="86"/>
        <v>1729632.0848054281</v>
      </c>
      <c r="F191" s="149">
        <f t="shared" si="78"/>
        <v>764638.31964855629</v>
      </c>
      <c r="G191" s="149">
        <f t="shared" si="79"/>
        <v>739150.37566027103</v>
      </c>
      <c r="H191" s="149">
        <f t="shared" si="87"/>
        <v>25487.94398828526</v>
      </c>
      <c r="I191" s="149">
        <f t="shared" si="88"/>
        <v>964993.76515687176</v>
      </c>
      <c r="J191" s="147">
        <f t="shared" si="89"/>
        <v>4.4999999999999998E-2</v>
      </c>
      <c r="K191" s="175">
        <f t="shared" si="80"/>
        <v>3.8296430163020645E-3</v>
      </c>
      <c r="L191" s="149">
        <f t="shared" si="90"/>
        <v>581962.77853429981</v>
      </c>
      <c r="M191" s="149">
        <f t="shared" si="91"/>
        <v>2286106.9193514427</v>
      </c>
      <c r="N191" s="149">
        <f t="shared" si="92"/>
        <v>1546956.5436911716</v>
      </c>
      <c r="P191" s="149">
        <f t="shared" si="93"/>
        <v>0</v>
      </c>
      <c r="Q191" s="149">
        <f t="shared" si="94"/>
        <v>0</v>
      </c>
      <c r="R191" s="178">
        <f t="shared" si="95"/>
        <v>0</v>
      </c>
      <c r="S191" s="113">
        <f t="shared" si="96"/>
        <v>0</v>
      </c>
      <c r="T191" s="113">
        <f t="shared" si="81"/>
        <v>0</v>
      </c>
      <c r="U191" s="114">
        <f t="shared" si="97"/>
        <v>28.166666666666668</v>
      </c>
      <c r="V191" s="114">
        <f t="shared" si="98"/>
        <v>0</v>
      </c>
      <c r="W191" s="114">
        <f t="shared" si="99"/>
        <v>821.52777777777783</v>
      </c>
      <c r="X191" s="114"/>
      <c r="Y191" s="149">
        <f t="shared" si="100"/>
        <v>0</v>
      </c>
      <c r="Z191" s="149">
        <f t="shared" si="101"/>
        <v>0</v>
      </c>
      <c r="AA191" s="178">
        <f t="shared" si="102"/>
        <v>0</v>
      </c>
      <c r="AB191" s="113">
        <f t="shared" si="103"/>
        <v>0</v>
      </c>
      <c r="AC191" s="113">
        <f t="shared" si="82"/>
        <v>0</v>
      </c>
      <c r="AD191" s="114">
        <f t="shared" si="104"/>
        <v>28.166666666666668</v>
      </c>
      <c r="AE191" s="114">
        <f t="shared" si="105"/>
        <v>0</v>
      </c>
      <c r="AF191" s="114">
        <f t="shared" si="106"/>
        <v>821.52777777777783</v>
      </c>
      <c r="AG191" s="114"/>
      <c r="AH191" s="176">
        <f t="shared" si="107"/>
        <v>151380707.38602021</v>
      </c>
      <c r="AI191" s="176">
        <f t="shared" si="108"/>
        <v>739150.37566027162</v>
      </c>
      <c r="AJ191" s="178">
        <f t="shared" si="109"/>
        <v>1546956.5436911716</v>
      </c>
      <c r="AK191" s="113">
        <f t="shared" si="110"/>
        <v>2286106.9193514432</v>
      </c>
      <c r="AL191" s="113">
        <f t="shared" si="83"/>
        <v>1014904.5669224632</v>
      </c>
      <c r="AM191" s="114">
        <f t="shared" si="111"/>
        <v>28.166666666666668</v>
      </c>
      <c r="AN191" s="114">
        <f t="shared" si="112"/>
        <v>1.0116113148386289E-2</v>
      </c>
      <c r="AO191" s="114">
        <f t="shared" si="113"/>
        <v>821.52777777777783</v>
      </c>
    </row>
    <row r="192" spans="1:41" hidden="1" outlineLevel="1" x14ac:dyDescent="0.3">
      <c r="A192" s="146">
        <f t="shared" si="84"/>
        <v>170</v>
      </c>
      <c r="B192" s="147">
        <f t="shared" si="77"/>
        <v>115</v>
      </c>
      <c r="C192" s="147">
        <f t="shared" si="76"/>
        <v>245</v>
      </c>
      <c r="D192" s="149">
        <f t="shared" si="85"/>
        <v>149838568.47875488</v>
      </c>
      <c r="E192" s="149">
        <f t="shared" si="86"/>
        <v>1723008.2113710809</v>
      </c>
      <c r="F192" s="149">
        <f t="shared" si="78"/>
        <v>756903.53693010053</v>
      </c>
      <c r="G192" s="149">
        <f t="shared" si="79"/>
        <v>731673.41903243051</v>
      </c>
      <c r="H192" s="149">
        <f t="shared" si="87"/>
        <v>25230.117897670018</v>
      </c>
      <c r="I192" s="149">
        <f t="shared" si="88"/>
        <v>966104.67444098042</v>
      </c>
      <c r="J192" s="147">
        <f t="shared" si="89"/>
        <v>4.4999999999999998E-2</v>
      </c>
      <c r="K192" s="175">
        <f t="shared" si="80"/>
        <v>3.8296430163020645E-3</v>
      </c>
      <c r="L192" s="149">
        <f t="shared" si="90"/>
        <v>576034.23282424849</v>
      </c>
      <c r="M192" s="149">
        <f t="shared" si="91"/>
        <v>2273812.3262976594</v>
      </c>
      <c r="N192" s="149">
        <f t="shared" si="92"/>
        <v>1542138.9072652289</v>
      </c>
      <c r="P192" s="149">
        <f t="shared" si="93"/>
        <v>0</v>
      </c>
      <c r="Q192" s="149">
        <f t="shared" si="94"/>
        <v>0</v>
      </c>
      <c r="R192" s="178">
        <f t="shared" si="95"/>
        <v>0</v>
      </c>
      <c r="S192" s="113">
        <f t="shared" si="96"/>
        <v>0</v>
      </c>
      <c r="T192" s="113">
        <f t="shared" si="81"/>
        <v>0</v>
      </c>
      <c r="U192" s="114">
        <f t="shared" si="97"/>
        <v>28.333333333333332</v>
      </c>
      <c r="V192" s="114">
        <f t="shared" si="98"/>
        <v>0</v>
      </c>
      <c r="W192" s="114">
        <f t="shared" si="99"/>
        <v>831.11111111111109</v>
      </c>
      <c r="X192" s="114"/>
      <c r="Y192" s="149">
        <f t="shared" si="100"/>
        <v>0</v>
      </c>
      <c r="Z192" s="149">
        <f t="shared" si="101"/>
        <v>0</v>
      </c>
      <c r="AA192" s="178">
        <f t="shared" si="102"/>
        <v>0</v>
      </c>
      <c r="AB192" s="113">
        <f t="shared" si="103"/>
        <v>0</v>
      </c>
      <c r="AC192" s="113">
        <f t="shared" si="82"/>
        <v>0</v>
      </c>
      <c r="AD192" s="114">
        <f t="shared" si="104"/>
        <v>28.333333333333332</v>
      </c>
      <c r="AE192" s="114">
        <f t="shared" si="105"/>
        <v>0</v>
      </c>
      <c r="AF192" s="114">
        <f t="shared" si="106"/>
        <v>831.11111111111109</v>
      </c>
      <c r="AG192" s="114"/>
      <c r="AH192" s="176">
        <f t="shared" si="107"/>
        <v>149838568.478755</v>
      </c>
      <c r="AI192" s="176">
        <f t="shared" si="108"/>
        <v>731673.41903243109</v>
      </c>
      <c r="AJ192" s="178">
        <f t="shared" si="109"/>
        <v>1542138.9072652289</v>
      </c>
      <c r="AK192" s="113">
        <f t="shared" si="110"/>
        <v>2273812.3262976599</v>
      </c>
      <c r="AL192" s="113">
        <f t="shared" si="83"/>
        <v>1004607.6304215114</v>
      </c>
      <c r="AM192" s="114">
        <f t="shared" si="111"/>
        <v>28.333333333333332</v>
      </c>
      <c r="AN192" s="114">
        <f t="shared" si="112"/>
        <v>1.0013477907477636E-2</v>
      </c>
      <c r="AO192" s="114">
        <f t="shared" si="113"/>
        <v>831.11111111111109</v>
      </c>
    </row>
    <row r="193" spans="1:41" hidden="1" outlineLevel="1" x14ac:dyDescent="0.3">
      <c r="A193" s="146">
        <f t="shared" si="84"/>
        <v>171</v>
      </c>
      <c r="B193" s="147">
        <f t="shared" si="77"/>
        <v>114</v>
      </c>
      <c r="C193" s="147">
        <f t="shared" si="76"/>
        <v>246</v>
      </c>
      <c r="D193" s="149">
        <f t="shared" si="85"/>
        <v>148301227.48409709</v>
      </c>
      <c r="E193" s="149">
        <f t="shared" si="86"/>
        <v>1716409.7050073727</v>
      </c>
      <c r="F193" s="149">
        <f t="shared" si="78"/>
        <v>749192.84239377442</v>
      </c>
      <c r="G193" s="149">
        <f t="shared" si="79"/>
        <v>724219.74764731526</v>
      </c>
      <c r="H193" s="149">
        <f t="shared" si="87"/>
        <v>24973.094746459159</v>
      </c>
      <c r="I193" s="149">
        <f t="shared" si="88"/>
        <v>967216.86261359823</v>
      </c>
      <c r="J193" s="147">
        <f t="shared" si="89"/>
        <v>4.4999999999999998E-2</v>
      </c>
      <c r="K193" s="175">
        <f t="shared" si="80"/>
        <v>3.8296430163020645E-3</v>
      </c>
      <c r="L193" s="149">
        <f t="shared" si="90"/>
        <v>570124.13204420451</v>
      </c>
      <c r="M193" s="149">
        <f t="shared" si="91"/>
        <v>2261560.7423051181</v>
      </c>
      <c r="N193" s="149">
        <f t="shared" si="92"/>
        <v>1537340.9946578029</v>
      </c>
      <c r="P193" s="149">
        <f t="shared" si="93"/>
        <v>0</v>
      </c>
      <c r="Q193" s="149">
        <f t="shared" si="94"/>
        <v>0</v>
      </c>
      <c r="R193" s="178">
        <f t="shared" si="95"/>
        <v>0</v>
      </c>
      <c r="S193" s="113">
        <f t="shared" si="96"/>
        <v>0</v>
      </c>
      <c r="T193" s="113">
        <f t="shared" si="81"/>
        <v>0</v>
      </c>
      <c r="U193" s="114">
        <f t="shared" si="97"/>
        <v>28.5</v>
      </c>
      <c r="V193" s="114">
        <f t="shared" si="98"/>
        <v>0</v>
      </c>
      <c r="W193" s="114">
        <f t="shared" si="99"/>
        <v>840.75</v>
      </c>
      <c r="X193" s="114"/>
      <c r="Y193" s="149">
        <f t="shared" si="100"/>
        <v>0</v>
      </c>
      <c r="Z193" s="149">
        <f t="shared" si="101"/>
        <v>0</v>
      </c>
      <c r="AA193" s="178">
        <f t="shared" si="102"/>
        <v>0</v>
      </c>
      <c r="AB193" s="113">
        <f t="shared" si="103"/>
        <v>0</v>
      </c>
      <c r="AC193" s="113">
        <f t="shared" si="82"/>
        <v>0</v>
      </c>
      <c r="AD193" s="114">
        <f t="shared" si="104"/>
        <v>28.5</v>
      </c>
      <c r="AE193" s="114">
        <f t="shared" si="105"/>
        <v>0</v>
      </c>
      <c r="AF193" s="114">
        <f t="shared" si="106"/>
        <v>840.75</v>
      </c>
      <c r="AG193" s="114"/>
      <c r="AH193" s="176">
        <f t="shared" si="107"/>
        <v>148301227.48409718</v>
      </c>
      <c r="AI193" s="176">
        <f t="shared" si="108"/>
        <v>724219.74764731585</v>
      </c>
      <c r="AJ193" s="178">
        <f t="shared" si="109"/>
        <v>1537340.9946578029</v>
      </c>
      <c r="AK193" s="113">
        <f t="shared" si="110"/>
        <v>2261560.7423051186</v>
      </c>
      <c r="AL193" s="113">
        <f t="shared" si="83"/>
        <v>994405.00196927343</v>
      </c>
      <c r="AM193" s="114">
        <f t="shared" si="111"/>
        <v>28.5</v>
      </c>
      <c r="AN193" s="114">
        <f t="shared" si="112"/>
        <v>9.9117826868651646E-3</v>
      </c>
      <c r="AO193" s="114">
        <f t="shared" si="113"/>
        <v>840.75</v>
      </c>
    </row>
    <row r="194" spans="1:41" hidden="1" outlineLevel="1" x14ac:dyDescent="0.3">
      <c r="A194" s="146">
        <f t="shared" si="84"/>
        <v>172</v>
      </c>
      <c r="B194" s="147">
        <f t="shared" si="77"/>
        <v>113</v>
      </c>
      <c r="C194" s="147">
        <f t="shared" si="76"/>
        <v>247</v>
      </c>
      <c r="D194" s="149">
        <f t="shared" si="85"/>
        <v>146768664.75229678</v>
      </c>
      <c r="E194" s="149">
        <f t="shared" si="86"/>
        <v>1709836.468567478</v>
      </c>
      <c r="F194" s="149">
        <f t="shared" si="78"/>
        <v>741506.13742048549</v>
      </c>
      <c r="G194" s="149">
        <f t="shared" si="79"/>
        <v>716789.26617313595</v>
      </c>
      <c r="H194" s="149">
        <f t="shared" si="87"/>
        <v>24716.87124734954</v>
      </c>
      <c r="I194" s="149">
        <f t="shared" si="88"/>
        <v>968330.33114699251</v>
      </c>
      <c r="J194" s="147">
        <f t="shared" si="89"/>
        <v>4.4999999999999998E-2</v>
      </c>
      <c r="K194" s="175">
        <f t="shared" si="80"/>
        <v>3.8296430163020645E-3</v>
      </c>
      <c r="L194" s="149">
        <f t="shared" si="90"/>
        <v>564232.40065334574</v>
      </c>
      <c r="M194" s="149">
        <f t="shared" si="91"/>
        <v>2249351.9979734742</v>
      </c>
      <c r="N194" s="149">
        <f t="shared" si="92"/>
        <v>1532562.7318003383</v>
      </c>
      <c r="P194" s="149">
        <f t="shared" si="93"/>
        <v>0</v>
      </c>
      <c r="Q194" s="149">
        <f t="shared" si="94"/>
        <v>0</v>
      </c>
      <c r="R194" s="178">
        <f t="shared" si="95"/>
        <v>0</v>
      </c>
      <c r="S194" s="113">
        <f t="shared" si="96"/>
        <v>0</v>
      </c>
      <c r="T194" s="113">
        <f t="shared" si="81"/>
        <v>0</v>
      </c>
      <c r="U194" s="114">
        <f t="shared" si="97"/>
        <v>28.666666666666668</v>
      </c>
      <c r="V194" s="114">
        <f t="shared" si="98"/>
        <v>0</v>
      </c>
      <c r="W194" s="114">
        <f t="shared" si="99"/>
        <v>850.44444444444446</v>
      </c>
      <c r="X194" s="114"/>
      <c r="Y194" s="149">
        <f t="shared" si="100"/>
        <v>0</v>
      </c>
      <c r="Z194" s="149">
        <f t="shared" si="101"/>
        <v>0</v>
      </c>
      <c r="AA194" s="178">
        <f t="shared" si="102"/>
        <v>0</v>
      </c>
      <c r="AB194" s="113">
        <f t="shared" si="103"/>
        <v>0</v>
      </c>
      <c r="AC194" s="113">
        <f t="shared" si="82"/>
        <v>0</v>
      </c>
      <c r="AD194" s="114">
        <f t="shared" si="104"/>
        <v>28.666666666666668</v>
      </c>
      <c r="AE194" s="114">
        <f t="shared" si="105"/>
        <v>0</v>
      </c>
      <c r="AF194" s="114">
        <f t="shared" si="106"/>
        <v>850.44444444444446</v>
      </c>
      <c r="AG194" s="114"/>
      <c r="AH194" s="176">
        <f t="shared" si="107"/>
        <v>146768664.75229684</v>
      </c>
      <c r="AI194" s="176">
        <f t="shared" si="108"/>
        <v>716789.26617313642</v>
      </c>
      <c r="AJ194" s="178">
        <f t="shared" si="109"/>
        <v>1532562.7318003383</v>
      </c>
      <c r="AK194" s="113">
        <f t="shared" si="110"/>
        <v>2249351.9979734747</v>
      </c>
      <c r="AL194" s="113">
        <f t="shared" si="83"/>
        <v>984295.84925167647</v>
      </c>
      <c r="AM194" s="114">
        <f t="shared" si="111"/>
        <v>28.666666666666668</v>
      </c>
      <c r="AN194" s="114">
        <f t="shared" si="112"/>
        <v>9.8110191904158088E-3</v>
      </c>
      <c r="AO194" s="114">
        <f t="shared" si="113"/>
        <v>850.44444444444446</v>
      </c>
    </row>
    <row r="195" spans="1:41" hidden="1" outlineLevel="1" x14ac:dyDescent="0.3">
      <c r="A195" s="146">
        <f t="shared" si="84"/>
        <v>173</v>
      </c>
      <c r="B195" s="147">
        <f t="shared" si="77"/>
        <v>112</v>
      </c>
      <c r="C195" s="147">
        <f t="shared" si="76"/>
        <v>248</v>
      </c>
      <c r="D195" s="149">
        <f t="shared" si="85"/>
        <v>145240860.70738715</v>
      </c>
      <c r="E195" s="149">
        <f t="shared" si="86"/>
        <v>1703288.4052766101</v>
      </c>
      <c r="F195" s="149">
        <f t="shared" si="78"/>
        <v>733843.32376148389</v>
      </c>
      <c r="G195" s="149">
        <f t="shared" si="79"/>
        <v>709381.87963610108</v>
      </c>
      <c r="H195" s="149">
        <f t="shared" si="87"/>
        <v>24461.444125382812</v>
      </c>
      <c r="I195" s="149">
        <f t="shared" si="88"/>
        <v>969445.08151512616</v>
      </c>
      <c r="J195" s="147">
        <f t="shared" si="89"/>
        <v>4.4999999999999998E-2</v>
      </c>
      <c r="K195" s="175">
        <f t="shared" si="80"/>
        <v>3.8296430163020645E-3</v>
      </c>
      <c r="L195" s="149">
        <f t="shared" si="90"/>
        <v>558358.9633944995</v>
      </c>
      <c r="M195" s="149">
        <f t="shared" si="91"/>
        <v>2237185.9245457267</v>
      </c>
      <c r="N195" s="149">
        <f t="shared" si="92"/>
        <v>1527804.0449096258</v>
      </c>
      <c r="P195" s="149">
        <f t="shared" si="93"/>
        <v>0</v>
      </c>
      <c r="Q195" s="149">
        <f t="shared" si="94"/>
        <v>0</v>
      </c>
      <c r="R195" s="178">
        <f t="shared" si="95"/>
        <v>0</v>
      </c>
      <c r="S195" s="113">
        <f t="shared" si="96"/>
        <v>0</v>
      </c>
      <c r="T195" s="113">
        <f t="shared" si="81"/>
        <v>0</v>
      </c>
      <c r="U195" s="114">
        <f t="shared" si="97"/>
        <v>28.833333333333332</v>
      </c>
      <c r="V195" s="114">
        <f t="shared" si="98"/>
        <v>0</v>
      </c>
      <c r="W195" s="114">
        <f t="shared" si="99"/>
        <v>860.19444444444434</v>
      </c>
      <c r="X195" s="114"/>
      <c r="Y195" s="149">
        <f t="shared" si="100"/>
        <v>0</v>
      </c>
      <c r="Z195" s="149">
        <f t="shared" si="101"/>
        <v>0</v>
      </c>
      <c r="AA195" s="178">
        <f t="shared" si="102"/>
        <v>0</v>
      </c>
      <c r="AB195" s="113">
        <f t="shared" si="103"/>
        <v>0</v>
      </c>
      <c r="AC195" s="113">
        <f t="shared" si="82"/>
        <v>0</v>
      </c>
      <c r="AD195" s="114">
        <f t="shared" si="104"/>
        <v>28.833333333333332</v>
      </c>
      <c r="AE195" s="114">
        <f t="shared" si="105"/>
        <v>0</v>
      </c>
      <c r="AF195" s="114">
        <f t="shared" si="106"/>
        <v>860.19444444444434</v>
      </c>
      <c r="AG195" s="114"/>
      <c r="AH195" s="176">
        <f t="shared" si="107"/>
        <v>145240860.70738721</v>
      </c>
      <c r="AI195" s="176">
        <f t="shared" si="108"/>
        <v>709381.87963610142</v>
      </c>
      <c r="AJ195" s="178">
        <f t="shared" si="109"/>
        <v>1527804.0449096258</v>
      </c>
      <c r="AK195" s="113">
        <f t="shared" si="110"/>
        <v>2237185.9245457272</v>
      </c>
      <c r="AL195" s="113">
        <f t="shared" si="83"/>
        <v>974279.3471924722</v>
      </c>
      <c r="AM195" s="114">
        <f t="shared" si="111"/>
        <v>28.833333333333332</v>
      </c>
      <c r="AN195" s="114">
        <f t="shared" si="112"/>
        <v>9.7111791941398868E-3</v>
      </c>
      <c r="AO195" s="114">
        <f t="shared" si="113"/>
        <v>860.19444444444434</v>
      </c>
    </row>
    <row r="196" spans="1:41" hidden="1" outlineLevel="1" x14ac:dyDescent="0.3">
      <c r="A196" s="146">
        <f t="shared" si="84"/>
        <v>174</v>
      </c>
      <c r="B196" s="147">
        <f t="shared" si="77"/>
        <v>111</v>
      </c>
      <c r="C196" s="147">
        <f t="shared" si="76"/>
        <v>249</v>
      </c>
      <c r="D196" s="149">
        <f t="shared" si="85"/>
        <v>143717795.84690043</v>
      </c>
      <c r="E196" s="149">
        <f t="shared" si="86"/>
        <v>1696765.4187305942</v>
      </c>
      <c r="F196" s="149">
        <f t="shared" si="78"/>
        <v>726204.30353693571</v>
      </c>
      <c r="G196" s="149">
        <f t="shared" si="79"/>
        <v>701997.4934190379</v>
      </c>
      <c r="H196" s="149">
        <f t="shared" si="87"/>
        <v>24206.81011789781</v>
      </c>
      <c r="I196" s="149">
        <f t="shared" si="88"/>
        <v>970561.11519365851</v>
      </c>
      <c r="J196" s="147">
        <f t="shared" si="89"/>
        <v>4.4999999999999998E-2</v>
      </c>
      <c r="K196" s="175">
        <f t="shared" si="80"/>
        <v>3.8296430163020645E-3</v>
      </c>
      <c r="L196" s="149">
        <f t="shared" si="90"/>
        <v>552503.74529305031</v>
      </c>
      <c r="M196" s="149">
        <f t="shared" si="91"/>
        <v>2225062.3539057467</v>
      </c>
      <c r="N196" s="149">
        <f t="shared" si="92"/>
        <v>1523064.8604867088</v>
      </c>
      <c r="P196" s="149">
        <f t="shared" si="93"/>
        <v>0</v>
      </c>
      <c r="Q196" s="149">
        <f t="shared" si="94"/>
        <v>0</v>
      </c>
      <c r="R196" s="178">
        <f t="shared" si="95"/>
        <v>0</v>
      </c>
      <c r="S196" s="113">
        <f t="shared" si="96"/>
        <v>0</v>
      </c>
      <c r="T196" s="113">
        <f t="shared" si="81"/>
        <v>0</v>
      </c>
      <c r="U196" s="114">
        <f t="shared" si="97"/>
        <v>29</v>
      </c>
      <c r="V196" s="114">
        <f t="shared" si="98"/>
        <v>0</v>
      </c>
      <c r="W196" s="114">
        <f t="shared" si="99"/>
        <v>870</v>
      </c>
      <c r="X196" s="114"/>
      <c r="Y196" s="149">
        <f t="shared" si="100"/>
        <v>0</v>
      </c>
      <c r="Z196" s="149">
        <f t="shared" si="101"/>
        <v>0</v>
      </c>
      <c r="AA196" s="178">
        <f t="shared" si="102"/>
        <v>0</v>
      </c>
      <c r="AB196" s="113">
        <f t="shared" si="103"/>
        <v>0</v>
      </c>
      <c r="AC196" s="113">
        <f t="shared" si="82"/>
        <v>0</v>
      </c>
      <c r="AD196" s="114">
        <f t="shared" si="104"/>
        <v>29</v>
      </c>
      <c r="AE196" s="114">
        <f t="shared" si="105"/>
        <v>0</v>
      </c>
      <c r="AF196" s="114">
        <f t="shared" si="106"/>
        <v>870</v>
      </c>
      <c r="AG196" s="114"/>
      <c r="AH196" s="176">
        <f t="shared" si="107"/>
        <v>143717795.84690049</v>
      </c>
      <c r="AI196" s="176">
        <f t="shared" si="108"/>
        <v>701997.49341903825</v>
      </c>
      <c r="AJ196" s="178">
        <f t="shared" si="109"/>
        <v>1523064.8604867088</v>
      </c>
      <c r="AK196" s="113">
        <f t="shared" si="110"/>
        <v>2225062.3539057472</v>
      </c>
      <c r="AL196" s="113">
        <f t="shared" si="83"/>
        <v>964354.67789068376</v>
      </c>
      <c r="AM196" s="114">
        <f t="shared" si="111"/>
        <v>29</v>
      </c>
      <c r="AN196" s="114">
        <f t="shared" si="112"/>
        <v>9.6122545455676056E-3</v>
      </c>
      <c r="AO196" s="114">
        <f t="shared" si="113"/>
        <v>870</v>
      </c>
    </row>
    <row r="197" spans="1:41" hidden="1" outlineLevel="1" x14ac:dyDescent="0.3">
      <c r="A197" s="146">
        <f t="shared" si="84"/>
        <v>175</v>
      </c>
      <c r="B197" s="147">
        <f t="shared" si="77"/>
        <v>110</v>
      </c>
      <c r="C197" s="147">
        <f t="shared" si="76"/>
        <v>250</v>
      </c>
      <c r="D197" s="149">
        <f t="shared" si="85"/>
        <v>142199450.74158463</v>
      </c>
      <c r="E197" s="149">
        <f t="shared" si="86"/>
        <v>1690267.4128944497</v>
      </c>
      <c r="F197" s="149">
        <f t="shared" si="78"/>
        <v>718588.97923450219</v>
      </c>
      <c r="G197" s="149">
        <f t="shared" si="79"/>
        <v>694636.01326001878</v>
      </c>
      <c r="H197" s="149">
        <f t="shared" si="87"/>
        <v>23952.965974483406</v>
      </c>
      <c r="I197" s="149">
        <f t="shared" si="88"/>
        <v>971678.43365994748</v>
      </c>
      <c r="J197" s="147">
        <f t="shared" si="89"/>
        <v>4.4999999999999998E-2</v>
      </c>
      <c r="K197" s="175">
        <f t="shared" si="80"/>
        <v>3.8296430163020645E-3</v>
      </c>
      <c r="L197" s="149">
        <f t="shared" si="90"/>
        <v>546666.67165585095</v>
      </c>
      <c r="M197" s="149">
        <f t="shared" si="91"/>
        <v>2212981.118575817</v>
      </c>
      <c r="N197" s="149">
        <f t="shared" si="92"/>
        <v>1518345.1053157984</v>
      </c>
      <c r="P197" s="149">
        <f t="shared" si="93"/>
        <v>0</v>
      </c>
      <c r="Q197" s="149">
        <f t="shared" si="94"/>
        <v>0</v>
      </c>
      <c r="R197" s="178">
        <f t="shared" si="95"/>
        <v>0</v>
      </c>
      <c r="S197" s="113">
        <f t="shared" si="96"/>
        <v>0</v>
      </c>
      <c r="T197" s="113">
        <f t="shared" si="81"/>
        <v>0</v>
      </c>
      <c r="U197" s="114">
        <f t="shared" si="97"/>
        <v>29.166666666666668</v>
      </c>
      <c r="V197" s="114">
        <f t="shared" si="98"/>
        <v>0</v>
      </c>
      <c r="W197" s="114">
        <f t="shared" si="99"/>
        <v>879.8611111111112</v>
      </c>
      <c r="X197" s="114"/>
      <c r="Y197" s="149">
        <f t="shared" si="100"/>
        <v>0</v>
      </c>
      <c r="Z197" s="149">
        <f t="shared" si="101"/>
        <v>0</v>
      </c>
      <c r="AA197" s="178">
        <f t="shared" si="102"/>
        <v>0</v>
      </c>
      <c r="AB197" s="113">
        <f t="shared" si="103"/>
        <v>0</v>
      </c>
      <c r="AC197" s="113">
        <f t="shared" si="82"/>
        <v>0</v>
      </c>
      <c r="AD197" s="114">
        <f t="shared" si="104"/>
        <v>29.166666666666668</v>
      </c>
      <c r="AE197" s="114">
        <f t="shared" si="105"/>
        <v>0</v>
      </c>
      <c r="AF197" s="114">
        <f t="shared" si="106"/>
        <v>879.8611111111112</v>
      </c>
      <c r="AG197" s="114"/>
      <c r="AH197" s="176">
        <f t="shared" si="107"/>
        <v>142199450.74158469</v>
      </c>
      <c r="AI197" s="176">
        <f t="shared" si="108"/>
        <v>694636.01326001913</v>
      </c>
      <c r="AJ197" s="178">
        <f t="shared" si="109"/>
        <v>1518345.1053157984</v>
      </c>
      <c r="AK197" s="113">
        <f t="shared" si="110"/>
        <v>2212981.1185758174</v>
      </c>
      <c r="AL197" s="113">
        <f t="shared" si="83"/>
        <v>954521.0305585867</v>
      </c>
      <c r="AM197" s="114">
        <f t="shared" si="111"/>
        <v>29.166666666666668</v>
      </c>
      <c r="AN197" s="114">
        <f t="shared" si="112"/>
        <v>9.5142371631308786E-3</v>
      </c>
      <c r="AO197" s="114">
        <f t="shared" si="113"/>
        <v>879.8611111111112</v>
      </c>
    </row>
    <row r="198" spans="1:41" hidden="1" outlineLevel="1" x14ac:dyDescent="0.3">
      <c r="A198" s="146">
        <f t="shared" si="84"/>
        <v>176</v>
      </c>
      <c r="B198" s="147">
        <f t="shared" si="77"/>
        <v>109</v>
      </c>
      <c r="C198" s="147">
        <f t="shared" si="76"/>
        <v>251</v>
      </c>
      <c r="D198" s="149">
        <f t="shared" si="85"/>
        <v>140685806.03512144</v>
      </c>
      <c r="E198" s="149">
        <f t="shared" si="86"/>
        <v>1683794.2921009755</v>
      </c>
      <c r="F198" s="149">
        <f t="shared" si="78"/>
        <v>710997.25370792311</v>
      </c>
      <c r="G198" s="149">
        <f t="shared" si="79"/>
        <v>687297.34525099245</v>
      </c>
      <c r="H198" s="149">
        <f t="shared" si="87"/>
        <v>23699.908456930658</v>
      </c>
      <c r="I198" s="149">
        <f t="shared" si="88"/>
        <v>972797.03839305241</v>
      </c>
      <c r="J198" s="147">
        <f t="shared" si="89"/>
        <v>4.4999999999999998E-2</v>
      </c>
      <c r="K198" s="175">
        <f t="shared" si="80"/>
        <v>3.8296430163020645E-3</v>
      </c>
      <c r="L198" s="149">
        <f t="shared" si="90"/>
        <v>540847.66807013773</v>
      </c>
      <c r="M198" s="149">
        <f t="shared" si="91"/>
        <v>2200942.0517141828</v>
      </c>
      <c r="N198" s="149">
        <f t="shared" si="92"/>
        <v>1513644.7064631903</v>
      </c>
      <c r="P198" s="149">
        <f t="shared" si="93"/>
        <v>0</v>
      </c>
      <c r="Q198" s="149">
        <f t="shared" si="94"/>
        <v>0</v>
      </c>
      <c r="R198" s="178">
        <f t="shared" si="95"/>
        <v>0</v>
      </c>
      <c r="S198" s="113">
        <f t="shared" si="96"/>
        <v>0</v>
      </c>
      <c r="T198" s="113">
        <f t="shared" si="81"/>
        <v>0</v>
      </c>
      <c r="U198" s="114">
        <f t="shared" si="97"/>
        <v>29.333333333333332</v>
      </c>
      <c r="V198" s="114">
        <f t="shared" si="98"/>
        <v>0</v>
      </c>
      <c r="W198" s="114">
        <f t="shared" si="99"/>
        <v>889.77777777777771</v>
      </c>
      <c r="X198" s="114"/>
      <c r="Y198" s="149">
        <f t="shared" si="100"/>
        <v>0</v>
      </c>
      <c r="Z198" s="149">
        <f t="shared" si="101"/>
        <v>0</v>
      </c>
      <c r="AA198" s="178">
        <f t="shared" si="102"/>
        <v>0</v>
      </c>
      <c r="AB198" s="113">
        <f t="shared" si="103"/>
        <v>0</v>
      </c>
      <c r="AC198" s="113">
        <f t="shared" si="82"/>
        <v>0</v>
      </c>
      <c r="AD198" s="114">
        <f t="shared" si="104"/>
        <v>29.333333333333332</v>
      </c>
      <c r="AE198" s="114">
        <f t="shared" si="105"/>
        <v>0</v>
      </c>
      <c r="AF198" s="114">
        <f t="shared" si="106"/>
        <v>889.77777777777771</v>
      </c>
      <c r="AG198" s="114"/>
      <c r="AH198" s="176">
        <f t="shared" si="107"/>
        <v>140685806.0351215</v>
      </c>
      <c r="AI198" s="176">
        <f t="shared" si="108"/>
        <v>687297.34525099269</v>
      </c>
      <c r="AJ198" s="178">
        <f t="shared" si="109"/>
        <v>1513644.7064631903</v>
      </c>
      <c r="AK198" s="113">
        <f t="shared" si="110"/>
        <v>2200942.0517141828</v>
      </c>
      <c r="AL198" s="113">
        <f t="shared" si="83"/>
        <v>944777.60146022472</v>
      </c>
      <c r="AM198" s="114">
        <f t="shared" si="111"/>
        <v>29.333333333333332</v>
      </c>
      <c r="AN198" s="114">
        <f t="shared" si="112"/>
        <v>9.4171190355504756E-3</v>
      </c>
      <c r="AO198" s="114">
        <f t="shared" si="113"/>
        <v>889.77777777777771</v>
      </c>
    </row>
    <row r="199" spans="1:41" hidden="1" outlineLevel="1" x14ac:dyDescent="0.3">
      <c r="A199" s="146">
        <f t="shared" si="84"/>
        <v>177</v>
      </c>
      <c r="B199" s="147">
        <f t="shared" si="77"/>
        <v>108</v>
      </c>
      <c r="C199" s="147">
        <f t="shared" si="76"/>
        <v>252</v>
      </c>
      <c r="D199" s="149">
        <f t="shared" si="85"/>
        <v>139176842.44384527</v>
      </c>
      <c r="E199" s="149">
        <f t="shared" si="86"/>
        <v>1677345.9610493418</v>
      </c>
      <c r="F199" s="149">
        <f t="shared" si="78"/>
        <v>703429.03017560719</v>
      </c>
      <c r="G199" s="149">
        <f t="shared" si="79"/>
        <v>679981.39583642036</v>
      </c>
      <c r="H199" s="149">
        <f t="shared" si="87"/>
        <v>23447.634339186829</v>
      </c>
      <c r="I199" s="149">
        <f t="shared" si="88"/>
        <v>973916.93087373464</v>
      </c>
      <c r="J199" s="147">
        <f t="shared" si="89"/>
        <v>4.4999999999999998E-2</v>
      </c>
      <c r="K199" s="175">
        <f t="shared" si="80"/>
        <v>3.8296430163020645E-3</v>
      </c>
      <c r="L199" s="149">
        <f t="shared" si="90"/>
        <v>535046.66040245083</v>
      </c>
      <c r="M199" s="149">
        <f t="shared" si="91"/>
        <v>2188944.9871126059</v>
      </c>
      <c r="N199" s="149">
        <f t="shared" si="92"/>
        <v>1508963.5912761856</v>
      </c>
      <c r="P199" s="149">
        <f t="shared" si="93"/>
        <v>0</v>
      </c>
      <c r="Q199" s="149">
        <f t="shared" si="94"/>
        <v>0</v>
      </c>
      <c r="R199" s="178">
        <f t="shared" si="95"/>
        <v>0</v>
      </c>
      <c r="S199" s="113">
        <f t="shared" si="96"/>
        <v>0</v>
      </c>
      <c r="T199" s="113">
        <f t="shared" si="81"/>
        <v>0</v>
      </c>
      <c r="U199" s="114">
        <f t="shared" si="97"/>
        <v>29.5</v>
      </c>
      <c r="V199" s="114">
        <f t="shared" si="98"/>
        <v>0</v>
      </c>
      <c r="W199" s="114">
        <f t="shared" si="99"/>
        <v>899.75</v>
      </c>
      <c r="X199" s="114"/>
      <c r="Y199" s="149">
        <f t="shared" si="100"/>
        <v>0</v>
      </c>
      <c r="Z199" s="149">
        <f t="shared" si="101"/>
        <v>0</v>
      </c>
      <c r="AA199" s="178">
        <f t="shared" si="102"/>
        <v>0</v>
      </c>
      <c r="AB199" s="113">
        <f t="shared" si="103"/>
        <v>0</v>
      </c>
      <c r="AC199" s="113">
        <f t="shared" si="82"/>
        <v>0</v>
      </c>
      <c r="AD199" s="114">
        <f t="shared" si="104"/>
        <v>29.5</v>
      </c>
      <c r="AE199" s="114">
        <f t="shared" si="105"/>
        <v>0</v>
      </c>
      <c r="AF199" s="114">
        <f t="shared" si="106"/>
        <v>899.75</v>
      </c>
      <c r="AG199" s="114"/>
      <c r="AH199" s="176">
        <f t="shared" si="107"/>
        <v>139176842.4438453</v>
      </c>
      <c r="AI199" s="176">
        <f t="shared" si="108"/>
        <v>679981.39583642059</v>
      </c>
      <c r="AJ199" s="178">
        <f t="shared" si="109"/>
        <v>1508963.5912761856</v>
      </c>
      <c r="AK199" s="113">
        <f t="shared" si="110"/>
        <v>2188944.9871126059</v>
      </c>
      <c r="AL199" s="113">
        <f t="shared" si="83"/>
        <v>935123.59385045746</v>
      </c>
      <c r="AM199" s="114">
        <f t="shared" si="111"/>
        <v>29.5</v>
      </c>
      <c r="AN199" s="114">
        <f t="shared" si="112"/>
        <v>9.3208922212284842E-3</v>
      </c>
      <c r="AO199" s="114">
        <f t="shared" si="113"/>
        <v>899.75</v>
      </c>
    </row>
    <row r="200" spans="1:41" hidden="1" outlineLevel="1" x14ac:dyDescent="0.3">
      <c r="A200" s="146">
        <f t="shared" si="84"/>
        <v>178</v>
      </c>
      <c r="B200" s="147">
        <f t="shared" si="77"/>
        <v>107</v>
      </c>
      <c r="C200" s="147">
        <f t="shared" si="76"/>
        <v>253</v>
      </c>
      <c r="D200" s="149">
        <f t="shared" si="85"/>
        <v>137672540.75646323</v>
      </c>
      <c r="E200" s="149">
        <f t="shared" si="86"/>
        <v>1670922.3248036867</v>
      </c>
      <c r="F200" s="149">
        <f t="shared" si="78"/>
        <v>695884.21221922641</v>
      </c>
      <c r="G200" s="149">
        <f t="shared" si="79"/>
        <v>672688.07181191887</v>
      </c>
      <c r="H200" s="149">
        <f t="shared" si="87"/>
        <v>23196.140407307539</v>
      </c>
      <c r="I200" s="149">
        <f t="shared" si="88"/>
        <v>975038.11258446029</v>
      </c>
      <c r="J200" s="147">
        <f t="shared" si="89"/>
        <v>4.4999999999999998E-2</v>
      </c>
      <c r="K200" s="175">
        <f t="shared" si="80"/>
        <v>3.8296430163020645E-3</v>
      </c>
      <c r="L200" s="149">
        <f t="shared" si="90"/>
        <v>529263.57479755732</v>
      </c>
      <c r="M200" s="149">
        <f t="shared" si="91"/>
        <v>2176989.7591939364</v>
      </c>
      <c r="N200" s="149">
        <f t="shared" si="92"/>
        <v>1504301.6873820177</v>
      </c>
      <c r="P200" s="149">
        <f t="shared" si="93"/>
        <v>0</v>
      </c>
      <c r="Q200" s="149">
        <f t="shared" si="94"/>
        <v>0</v>
      </c>
      <c r="R200" s="178">
        <f t="shared" si="95"/>
        <v>0</v>
      </c>
      <c r="S200" s="113">
        <f t="shared" si="96"/>
        <v>0</v>
      </c>
      <c r="T200" s="113">
        <f t="shared" si="81"/>
        <v>0</v>
      </c>
      <c r="U200" s="114">
        <f t="shared" si="97"/>
        <v>29.666666666666668</v>
      </c>
      <c r="V200" s="114">
        <f t="shared" si="98"/>
        <v>0</v>
      </c>
      <c r="W200" s="114">
        <f t="shared" si="99"/>
        <v>909.77777777777783</v>
      </c>
      <c r="X200" s="114"/>
      <c r="Y200" s="149">
        <f t="shared" si="100"/>
        <v>0</v>
      </c>
      <c r="Z200" s="149">
        <f t="shared" si="101"/>
        <v>0</v>
      </c>
      <c r="AA200" s="178">
        <f t="shared" si="102"/>
        <v>0</v>
      </c>
      <c r="AB200" s="113">
        <f t="shared" si="103"/>
        <v>0</v>
      </c>
      <c r="AC200" s="113">
        <f t="shared" si="82"/>
        <v>0</v>
      </c>
      <c r="AD200" s="114">
        <f t="shared" si="104"/>
        <v>29.666666666666668</v>
      </c>
      <c r="AE200" s="114">
        <f t="shared" si="105"/>
        <v>0</v>
      </c>
      <c r="AF200" s="114">
        <f t="shared" si="106"/>
        <v>909.77777777777783</v>
      </c>
      <c r="AG200" s="114"/>
      <c r="AH200" s="176">
        <f t="shared" si="107"/>
        <v>137672540.75646329</v>
      </c>
      <c r="AI200" s="176">
        <f t="shared" si="108"/>
        <v>672688.07181191898</v>
      </c>
      <c r="AJ200" s="178">
        <f t="shared" si="109"/>
        <v>1504301.6873820177</v>
      </c>
      <c r="AK200" s="113">
        <f t="shared" si="110"/>
        <v>2176989.7591939368</v>
      </c>
      <c r="AL200" s="113">
        <f t="shared" si="83"/>
        <v>925558.21791453334</v>
      </c>
      <c r="AM200" s="114">
        <f t="shared" si="111"/>
        <v>29.666666666666668</v>
      </c>
      <c r="AN200" s="114">
        <f t="shared" si="112"/>
        <v>9.2255488476459986E-3</v>
      </c>
      <c r="AO200" s="114">
        <f t="shared" si="113"/>
        <v>909.77777777777783</v>
      </c>
    </row>
    <row r="201" spans="1:41" hidden="1" outlineLevel="1" x14ac:dyDescent="0.3">
      <c r="A201" s="146">
        <f t="shared" si="84"/>
        <v>179</v>
      </c>
      <c r="B201" s="147">
        <f t="shared" si="77"/>
        <v>106</v>
      </c>
      <c r="C201" s="147">
        <f t="shared" si="76"/>
        <v>254</v>
      </c>
      <c r="D201" s="149">
        <f t="shared" si="85"/>
        <v>136172881.83377644</v>
      </c>
      <c r="E201" s="149">
        <f t="shared" si="86"/>
        <v>1664523.2887917191</v>
      </c>
      <c r="F201" s="149">
        <f t="shared" si="78"/>
        <v>688362.70378231618</v>
      </c>
      <c r="G201" s="149">
        <f t="shared" si="79"/>
        <v>665417.28032290563</v>
      </c>
      <c r="H201" s="149">
        <f t="shared" si="87"/>
        <v>22945.423459410551</v>
      </c>
      <c r="I201" s="149">
        <f t="shared" si="88"/>
        <v>976160.58500940294</v>
      </c>
      <c r="J201" s="147">
        <f t="shared" si="89"/>
        <v>4.4999999999999998E-2</v>
      </c>
      <c r="K201" s="175">
        <f t="shared" si="80"/>
        <v>3.8296430163020645E-3</v>
      </c>
      <c r="L201" s="149">
        <f t="shared" si="90"/>
        <v>523498.33767738019</v>
      </c>
      <c r="M201" s="149">
        <f t="shared" si="91"/>
        <v>2165076.2030096888</v>
      </c>
      <c r="N201" s="149">
        <f t="shared" si="92"/>
        <v>1499658.9226867831</v>
      </c>
      <c r="P201" s="149">
        <f t="shared" si="93"/>
        <v>0</v>
      </c>
      <c r="Q201" s="149">
        <f t="shared" si="94"/>
        <v>0</v>
      </c>
      <c r="R201" s="178">
        <f t="shared" si="95"/>
        <v>0</v>
      </c>
      <c r="S201" s="113">
        <f t="shared" si="96"/>
        <v>0</v>
      </c>
      <c r="T201" s="113">
        <f t="shared" si="81"/>
        <v>0</v>
      </c>
      <c r="U201" s="114">
        <f t="shared" si="97"/>
        <v>29.833333333333332</v>
      </c>
      <c r="V201" s="114">
        <f t="shared" si="98"/>
        <v>0</v>
      </c>
      <c r="W201" s="114">
        <f t="shared" si="99"/>
        <v>919.86111111111109</v>
      </c>
      <c r="X201" s="114"/>
      <c r="Y201" s="149">
        <f t="shared" si="100"/>
        <v>0</v>
      </c>
      <c r="Z201" s="149">
        <f t="shared" si="101"/>
        <v>0</v>
      </c>
      <c r="AA201" s="178">
        <f t="shared" si="102"/>
        <v>0</v>
      </c>
      <c r="AB201" s="113">
        <f t="shared" si="103"/>
        <v>0</v>
      </c>
      <c r="AC201" s="113">
        <f t="shared" si="82"/>
        <v>0</v>
      </c>
      <c r="AD201" s="114">
        <f t="shared" si="104"/>
        <v>29.833333333333332</v>
      </c>
      <c r="AE201" s="114">
        <f t="shared" si="105"/>
        <v>0</v>
      </c>
      <c r="AF201" s="114">
        <f t="shared" si="106"/>
        <v>919.86111111111109</v>
      </c>
      <c r="AG201" s="114"/>
      <c r="AH201" s="176">
        <f t="shared" si="107"/>
        <v>136172881.8337765</v>
      </c>
      <c r="AI201" s="176">
        <f t="shared" si="108"/>
        <v>665417.28032290598</v>
      </c>
      <c r="AJ201" s="178">
        <f t="shared" si="109"/>
        <v>1499658.9226867831</v>
      </c>
      <c r="AK201" s="113">
        <f t="shared" si="110"/>
        <v>2165076.2030096892</v>
      </c>
      <c r="AL201" s="113">
        <f t="shared" si="83"/>
        <v>916080.69070818217</v>
      </c>
      <c r="AM201" s="114">
        <f t="shared" si="111"/>
        <v>29.833333333333332</v>
      </c>
      <c r="AN201" s="114">
        <f t="shared" si="112"/>
        <v>9.1310811107659824E-3</v>
      </c>
      <c r="AO201" s="114">
        <f t="shared" si="113"/>
        <v>919.86111111111109</v>
      </c>
    </row>
    <row r="202" spans="1:41" hidden="1" outlineLevel="1" x14ac:dyDescent="0.3">
      <c r="A202" s="146">
        <f t="shared" si="84"/>
        <v>180</v>
      </c>
      <c r="B202" s="147">
        <f t="shared" si="77"/>
        <v>105</v>
      </c>
      <c r="C202" s="147">
        <f t="shared" si="76"/>
        <v>255</v>
      </c>
      <c r="D202" s="149">
        <f t="shared" si="85"/>
        <v>134677846.60840207</v>
      </c>
      <c r="E202" s="149">
        <f t="shared" si="86"/>
        <v>1658148.7588033257</v>
      </c>
      <c r="F202" s="149">
        <f t="shared" si="78"/>
        <v>680864.40916888218</v>
      </c>
      <c r="G202" s="149">
        <f t="shared" si="79"/>
        <v>658168.92886325286</v>
      </c>
      <c r="H202" s="149">
        <f t="shared" si="87"/>
        <v>22695.480305629317</v>
      </c>
      <c r="I202" s="149">
        <f t="shared" si="88"/>
        <v>977284.34963444353</v>
      </c>
      <c r="J202" s="147">
        <f t="shared" si="89"/>
        <v>4.4999999999999998E-2</v>
      </c>
      <c r="K202" s="175">
        <f t="shared" si="80"/>
        <v>3.8296430163020645E-3</v>
      </c>
      <c r="L202" s="149">
        <f t="shared" si="90"/>
        <v>517750.87573992938</v>
      </c>
      <c r="M202" s="149">
        <f t="shared" si="91"/>
        <v>2153204.1542376257</v>
      </c>
      <c r="N202" s="149">
        <f t="shared" si="92"/>
        <v>1495035.2253743729</v>
      </c>
      <c r="P202" s="149">
        <f t="shared" si="93"/>
        <v>0</v>
      </c>
      <c r="Q202" s="149">
        <f t="shared" si="94"/>
        <v>0</v>
      </c>
      <c r="R202" s="178">
        <f t="shared" si="95"/>
        <v>0</v>
      </c>
      <c r="S202" s="113">
        <f t="shared" si="96"/>
        <v>0</v>
      </c>
      <c r="T202" s="113">
        <f t="shared" si="81"/>
        <v>0</v>
      </c>
      <c r="U202" s="114">
        <f t="shared" si="97"/>
        <v>30</v>
      </c>
      <c r="V202" s="114">
        <f t="shared" si="98"/>
        <v>0</v>
      </c>
      <c r="W202" s="114">
        <f t="shared" si="99"/>
        <v>930</v>
      </c>
      <c r="X202" s="114"/>
      <c r="Y202" s="149">
        <f t="shared" si="100"/>
        <v>0</v>
      </c>
      <c r="Z202" s="149">
        <f t="shared" si="101"/>
        <v>0</v>
      </c>
      <c r="AA202" s="178">
        <f t="shared" si="102"/>
        <v>0</v>
      </c>
      <c r="AB202" s="113">
        <f t="shared" si="103"/>
        <v>0</v>
      </c>
      <c r="AC202" s="113">
        <f t="shared" si="82"/>
        <v>0</v>
      </c>
      <c r="AD202" s="114">
        <f t="shared" si="104"/>
        <v>30</v>
      </c>
      <c r="AE202" s="114">
        <f t="shared" si="105"/>
        <v>0</v>
      </c>
      <c r="AF202" s="114">
        <f t="shared" si="106"/>
        <v>930</v>
      </c>
      <c r="AG202" s="114"/>
      <c r="AH202" s="176">
        <f t="shared" si="107"/>
        <v>134677846.60840213</v>
      </c>
      <c r="AI202" s="176">
        <f t="shared" si="108"/>
        <v>658168.9288632531</v>
      </c>
      <c r="AJ202" s="178">
        <f t="shared" si="109"/>
        <v>1495035.2253743729</v>
      </c>
      <c r="AK202" s="113">
        <f t="shared" si="110"/>
        <v>2153204.1542376261</v>
      </c>
      <c r="AL202" s="113">
        <f t="shared" si="83"/>
        <v>906690.236098225</v>
      </c>
      <c r="AM202" s="114">
        <f t="shared" si="111"/>
        <v>30</v>
      </c>
      <c r="AN202" s="114">
        <f t="shared" si="112"/>
        <v>9.037481274441303E-3</v>
      </c>
      <c r="AO202" s="114">
        <f t="shared" si="113"/>
        <v>930</v>
      </c>
    </row>
    <row r="203" spans="1:41" hidden="1" outlineLevel="1" x14ac:dyDescent="0.3">
      <c r="A203" s="146">
        <f t="shared" si="84"/>
        <v>181</v>
      </c>
      <c r="B203" s="147">
        <f t="shared" si="77"/>
        <v>104</v>
      </c>
      <c r="C203" s="147">
        <f t="shared" si="76"/>
        <v>256</v>
      </c>
      <c r="D203" s="149">
        <f t="shared" si="85"/>
        <v>133187416.08449666</v>
      </c>
      <c r="E203" s="149">
        <f t="shared" si="86"/>
        <v>1651798.6409891846</v>
      </c>
      <c r="F203" s="149">
        <f t="shared" si="78"/>
        <v>673389.23304201034</v>
      </c>
      <c r="G203" s="149">
        <f t="shared" si="79"/>
        <v>650942.92527394334</v>
      </c>
      <c r="H203" s="149">
        <f t="shared" si="87"/>
        <v>22446.307768066996</v>
      </c>
      <c r="I203" s="149">
        <f t="shared" si="88"/>
        <v>978409.40794717427</v>
      </c>
      <c r="J203" s="147">
        <f t="shared" si="89"/>
        <v>4.4999999999999998E-2</v>
      </c>
      <c r="K203" s="175">
        <f t="shared" si="80"/>
        <v>3.8296430163020645E-3</v>
      </c>
      <c r="L203" s="149">
        <f t="shared" si="90"/>
        <v>512021.1159582386</v>
      </c>
      <c r="M203" s="149">
        <f t="shared" si="91"/>
        <v>2141373.449179356</v>
      </c>
      <c r="N203" s="149">
        <f t="shared" si="92"/>
        <v>1490430.5239054128</v>
      </c>
      <c r="P203" s="149">
        <f t="shared" si="93"/>
        <v>0</v>
      </c>
      <c r="Q203" s="149">
        <f t="shared" si="94"/>
        <v>0</v>
      </c>
      <c r="R203" s="178">
        <f t="shared" si="95"/>
        <v>0</v>
      </c>
      <c r="S203" s="113">
        <f t="shared" si="96"/>
        <v>0</v>
      </c>
      <c r="T203" s="113">
        <f t="shared" si="81"/>
        <v>0</v>
      </c>
      <c r="U203" s="114">
        <f t="shared" si="97"/>
        <v>30.166666666666668</v>
      </c>
      <c r="V203" s="114">
        <f t="shared" si="98"/>
        <v>0</v>
      </c>
      <c r="W203" s="114">
        <f t="shared" si="99"/>
        <v>940.19444444444457</v>
      </c>
      <c r="X203" s="114"/>
      <c r="Y203" s="149">
        <f t="shared" si="100"/>
        <v>0</v>
      </c>
      <c r="Z203" s="149">
        <f t="shared" si="101"/>
        <v>0</v>
      </c>
      <c r="AA203" s="178">
        <f t="shared" si="102"/>
        <v>0</v>
      </c>
      <c r="AB203" s="113">
        <f t="shared" si="103"/>
        <v>0</v>
      </c>
      <c r="AC203" s="113">
        <f t="shared" si="82"/>
        <v>0</v>
      </c>
      <c r="AD203" s="114">
        <f t="shared" si="104"/>
        <v>30.166666666666668</v>
      </c>
      <c r="AE203" s="114">
        <f t="shared" si="105"/>
        <v>0</v>
      </c>
      <c r="AF203" s="114">
        <f t="shared" si="106"/>
        <v>940.19444444444457</v>
      </c>
      <c r="AG203" s="114"/>
      <c r="AH203" s="176">
        <f t="shared" si="107"/>
        <v>133187416.08449672</v>
      </c>
      <c r="AI203" s="176">
        <f t="shared" si="108"/>
        <v>650942.92527394369</v>
      </c>
      <c r="AJ203" s="178">
        <f t="shared" si="109"/>
        <v>1490430.5239054128</v>
      </c>
      <c r="AK203" s="113">
        <f t="shared" si="110"/>
        <v>2141373.4491793565</v>
      </c>
      <c r="AL203" s="113">
        <f t="shared" si="83"/>
        <v>897386.08470369584</v>
      </c>
      <c r="AM203" s="114">
        <f t="shared" si="111"/>
        <v>30.166666666666668</v>
      </c>
      <c r="AN203" s="114">
        <f t="shared" si="112"/>
        <v>8.9447416698278538E-3</v>
      </c>
      <c r="AO203" s="114">
        <f t="shared" si="113"/>
        <v>940.19444444444457</v>
      </c>
    </row>
    <row r="204" spans="1:41" hidden="1" outlineLevel="1" x14ac:dyDescent="0.3">
      <c r="A204" s="146">
        <f t="shared" si="84"/>
        <v>182</v>
      </c>
      <c r="B204" s="147">
        <f t="shared" si="77"/>
        <v>103</v>
      </c>
      <c r="C204" s="147">
        <f t="shared" si="76"/>
        <v>257</v>
      </c>
      <c r="D204" s="149">
        <f t="shared" si="85"/>
        <v>131701571.33748046</v>
      </c>
      <c r="E204" s="149">
        <f t="shared" si="86"/>
        <v>1645472.841859383</v>
      </c>
      <c r="F204" s="149">
        <f t="shared" si="78"/>
        <v>665937.08042248327</v>
      </c>
      <c r="G204" s="149">
        <f t="shared" si="79"/>
        <v>643739.17774173385</v>
      </c>
      <c r="H204" s="149">
        <f t="shared" si="87"/>
        <v>22197.902680749423</v>
      </c>
      <c r="I204" s="149">
        <f t="shared" si="88"/>
        <v>979535.76143689977</v>
      </c>
      <c r="J204" s="147">
        <f t="shared" si="89"/>
        <v>4.4999999999999998E-2</v>
      </c>
      <c r="K204" s="175">
        <f t="shared" si="80"/>
        <v>3.8296430163020645E-3</v>
      </c>
      <c r="L204" s="149">
        <f t="shared" si="90"/>
        <v>506308.98557930498</v>
      </c>
      <c r="M204" s="149">
        <f t="shared" si="91"/>
        <v>2129583.9247579384</v>
      </c>
      <c r="N204" s="149">
        <f t="shared" si="92"/>
        <v>1485844.7470162048</v>
      </c>
      <c r="P204" s="149">
        <f t="shared" si="93"/>
        <v>0</v>
      </c>
      <c r="Q204" s="149">
        <f t="shared" si="94"/>
        <v>0</v>
      </c>
      <c r="R204" s="178">
        <f t="shared" si="95"/>
        <v>0</v>
      </c>
      <c r="S204" s="113">
        <f t="shared" si="96"/>
        <v>0</v>
      </c>
      <c r="T204" s="113">
        <f t="shared" si="81"/>
        <v>0</v>
      </c>
      <c r="U204" s="114">
        <f t="shared" si="97"/>
        <v>30.333333333333332</v>
      </c>
      <c r="V204" s="114">
        <f t="shared" si="98"/>
        <v>0</v>
      </c>
      <c r="W204" s="114">
        <f t="shared" si="99"/>
        <v>950.44444444444434</v>
      </c>
      <c r="X204" s="114"/>
      <c r="Y204" s="149">
        <f t="shared" si="100"/>
        <v>0</v>
      </c>
      <c r="Z204" s="149">
        <f t="shared" si="101"/>
        <v>0</v>
      </c>
      <c r="AA204" s="178">
        <f t="shared" si="102"/>
        <v>0</v>
      </c>
      <c r="AB204" s="113">
        <f t="shared" si="103"/>
        <v>0</v>
      </c>
      <c r="AC204" s="113">
        <f t="shared" si="82"/>
        <v>0</v>
      </c>
      <c r="AD204" s="114">
        <f t="shared" si="104"/>
        <v>30.333333333333332</v>
      </c>
      <c r="AE204" s="114">
        <f t="shared" si="105"/>
        <v>0</v>
      </c>
      <c r="AF204" s="114">
        <f t="shared" si="106"/>
        <v>950.44444444444434</v>
      </c>
      <c r="AG204" s="114"/>
      <c r="AH204" s="176">
        <f t="shared" si="107"/>
        <v>131701571.33748052</v>
      </c>
      <c r="AI204" s="176">
        <f t="shared" si="108"/>
        <v>643739.17774173419</v>
      </c>
      <c r="AJ204" s="178">
        <f t="shared" si="109"/>
        <v>1485844.7470162048</v>
      </c>
      <c r="AK204" s="113">
        <f t="shared" si="110"/>
        <v>2129583.9247579388</v>
      </c>
      <c r="AL204" s="113">
        <f t="shared" si="83"/>
        <v>888167.47383747192</v>
      </c>
      <c r="AM204" s="114">
        <f t="shared" si="111"/>
        <v>30.333333333333332</v>
      </c>
      <c r="AN204" s="114">
        <f t="shared" si="112"/>
        <v>8.8528546948027538E-3</v>
      </c>
      <c r="AO204" s="114">
        <f t="shared" si="113"/>
        <v>950.44444444444434</v>
      </c>
    </row>
    <row r="205" spans="1:41" hidden="1" outlineLevel="1" x14ac:dyDescent="0.3">
      <c r="A205" s="146">
        <f t="shared" si="84"/>
        <v>183</v>
      </c>
      <c r="B205" s="147">
        <f t="shared" si="77"/>
        <v>102</v>
      </c>
      <c r="C205" s="147">
        <f t="shared" si="76"/>
        <v>258</v>
      </c>
      <c r="D205" s="149">
        <f t="shared" si="85"/>
        <v>130220293.51376277</v>
      </c>
      <c r="E205" s="149">
        <f t="shared" si="86"/>
        <v>1639171.2682820417</v>
      </c>
      <c r="F205" s="149">
        <f t="shared" si="78"/>
        <v>658507.85668740224</v>
      </c>
      <c r="G205" s="149">
        <f t="shared" si="79"/>
        <v>636557.59479782218</v>
      </c>
      <c r="H205" s="149">
        <f t="shared" si="87"/>
        <v>21950.261889580055</v>
      </c>
      <c r="I205" s="149">
        <f t="shared" si="88"/>
        <v>980663.41159463942</v>
      </c>
      <c r="J205" s="147">
        <f t="shared" si="89"/>
        <v>4.4999999999999998E-2</v>
      </c>
      <c r="K205" s="175">
        <f t="shared" si="80"/>
        <v>3.8296430163020645E-3</v>
      </c>
      <c r="L205" s="149">
        <f t="shared" si="90"/>
        <v>500614.41212303378</v>
      </c>
      <c r="M205" s="149">
        <f t="shared" si="91"/>
        <v>2117835.4185154955</v>
      </c>
      <c r="N205" s="149">
        <f t="shared" si="92"/>
        <v>1481277.8237176733</v>
      </c>
      <c r="P205" s="149">
        <f t="shared" si="93"/>
        <v>0</v>
      </c>
      <c r="Q205" s="149">
        <f t="shared" si="94"/>
        <v>0</v>
      </c>
      <c r="R205" s="178">
        <f t="shared" si="95"/>
        <v>0</v>
      </c>
      <c r="S205" s="113">
        <f t="shared" si="96"/>
        <v>0</v>
      </c>
      <c r="T205" s="113">
        <f t="shared" si="81"/>
        <v>0</v>
      </c>
      <c r="U205" s="114">
        <f t="shared" si="97"/>
        <v>30.5</v>
      </c>
      <c r="V205" s="114">
        <f t="shared" si="98"/>
        <v>0</v>
      </c>
      <c r="W205" s="114">
        <f t="shared" si="99"/>
        <v>960.75</v>
      </c>
      <c r="X205" s="114"/>
      <c r="Y205" s="149">
        <f t="shared" si="100"/>
        <v>0</v>
      </c>
      <c r="Z205" s="149">
        <f t="shared" si="101"/>
        <v>0</v>
      </c>
      <c r="AA205" s="178">
        <f t="shared" si="102"/>
        <v>0</v>
      </c>
      <c r="AB205" s="113">
        <f t="shared" si="103"/>
        <v>0</v>
      </c>
      <c r="AC205" s="113">
        <f t="shared" si="82"/>
        <v>0</v>
      </c>
      <c r="AD205" s="114">
        <f t="shared" si="104"/>
        <v>30.5</v>
      </c>
      <c r="AE205" s="114">
        <f t="shared" si="105"/>
        <v>0</v>
      </c>
      <c r="AF205" s="114">
        <f t="shared" si="106"/>
        <v>960.75</v>
      </c>
      <c r="AG205" s="114"/>
      <c r="AH205" s="176">
        <f t="shared" si="107"/>
        <v>130220293.51376285</v>
      </c>
      <c r="AI205" s="176">
        <f t="shared" si="108"/>
        <v>636557.59479782253</v>
      </c>
      <c r="AJ205" s="178">
        <f t="shared" si="109"/>
        <v>1481277.8237176733</v>
      </c>
      <c r="AK205" s="113">
        <f t="shared" si="110"/>
        <v>2117835.418515496</v>
      </c>
      <c r="AL205" s="113">
        <f t="shared" si="83"/>
        <v>879033.64744840609</v>
      </c>
      <c r="AM205" s="114">
        <f t="shared" si="111"/>
        <v>30.5</v>
      </c>
      <c r="AN205" s="114">
        <f t="shared" si="112"/>
        <v>8.7618128133875473E-3</v>
      </c>
      <c r="AO205" s="114">
        <f t="shared" si="113"/>
        <v>960.75</v>
      </c>
    </row>
    <row r="206" spans="1:41" hidden="1" outlineLevel="1" x14ac:dyDescent="0.3">
      <c r="A206" s="146">
        <f t="shared" si="84"/>
        <v>184</v>
      </c>
      <c r="B206" s="147">
        <f t="shared" si="77"/>
        <v>101</v>
      </c>
      <c r="C206" s="147">
        <f t="shared" si="76"/>
        <v>259</v>
      </c>
      <c r="D206" s="149">
        <f t="shared" si="85"/>
        <v>128743563.83046846</v>
      </c>
      <c r="E206" s="149">
        <f t="shared" si="86"/>
        <v>1632893.8274819423</v>
      </c>
      <c r="F206" s="149">
        <f t="shared" si="78"/>
        <v>651101.46756881382</v>
      </c>
      <c r="G206" s="149">
        <f t="shared" si="79"/>
        <v>629398.08531652007</v>
      </c>
      <c r="H206" s="149">
        <f t="shared" si="87"/>
        <v>21703.382252293755</v>
      </c>
      <c r="I206" s="149">
        <f t="shared" si="88"/>
        <v>981792.35991312843</v>
      </c>
      <c r="J206" s="147">
        <f t="shared" si="89"/>
        <v>4.4999999999999998E-2</v>
      </c>
      <c r="K206" s="175">
        <f t="shared" si="80"/>
        <v>3.8296430163020645E-3</v>
      </c>
      <c r="L206" s="149">
        <f t="shared" si="90"/>
        <v>494937.32338118658</v>
      </c>
      <c r="M206" s="149">
        <f t="shared" si="91"/>
        <v>2106127.7686108351</v>
      </c>
      <c r="N206" s="149">
        <f t="shared" si="92"/>
        <v>1476729.6832943149</v>
      </c>
      <c r="P206" s="149">
        <f t="shared" si="93"/>
        <v>0</v>
      </c>
      <c r="Q206" s="149">
        <f t="shared" si="94"/>
        <v>0</v>
      </c>
      <c r="R206" s="178">
        <f t="shared" si="95"/>
        <v>0</v>
      </c>
      <c r="S206" s="113">
        <f t="shared" si="96"/>
        <v>0</v>
      </c>
      <c r="T206" s="113">
        <f t="shared" si="81"/>
        <v>0</v>
      </c>
      <c r="U206" s="114">
        <f t="shared" si="97"/>
        <v>30.666666666666668</v>
      </c>
      <c r="V206" s="114">
        <f t="shared" si="98"/>
        <v>0</v>
      </c>
      <c r="W206" s="114">
        <f t="shared" si="99"/>
        <v>971.1111111111112</v>
      </c>
      <c r="X206" s="114"/>
      <c r="Y206" s="149">
        <f t="shared" si="100"/>
        <v>0</v>
      </c>
      <c r="Z206" s="149">
        <f t="shared" si="101"/>
        <v>0</v>
      </c>
      <c r="AA206" s="178">
        <f t="shared" si="102"/>
        <v>0</v>
      </c>
      <c r="AB206" s="113">
        <f t="shared" si="103"/>
        <v>0</v>
      </c>
      <c r="AC206" s="113">
        <f t="shared" si="82"/>
        <v>0</v>
      </c>
      <c r="AD206" s="114">
        <f t="shared" si="104"/>
        <v>30.666666666666668</v>
      </c>
      <c r="AE206" s="114">
        <f t="shared" si="105"/>
        <v>0</v>
      </c>
      <c r="AF206" s="114">
        <f t="shared" si="106"/>
        <v>971.1111111111112</v>
      </c>
      <c r="AG206" s="114"/>
      <c r="AH206" s="176">
        <f t="shared" si="107"/>
        <v>128743563.83046854</v>
      </c>
      <c r="AI206" s="176">
        <f t="shared" si="108"/>
        <v>629398.08531652042</v>
      </c>
      <c r="AJ206" s="178">
        <f t="shared" si="109"/>
        <v>1476729.6832943149</v>
      </c>
      <c r="AK206" s="113">
        <f t="shared" si="110"/>
        <v>2106127.7686108351</v>
      </c>
      <c r="AL206" s="113">
        <f t="shared" si="83"/>
        <v>869983.85606395674</v>
      </c>
      <c r="AM206" s="114">
        <f t="shared" si="111"/>
        <v>30.666666666666668</v>
      </c>
      <c r="AN206" s="114">
        <f t="shared" si="112"/>
        <v>8.6716085551763657E-3</v>
      </c>
      <c r="AO206" s="114">
        <f t="shared" si="113"/>
        <v>971.1111111111112</v>
      </c>
    </row>
    <row r="207" spans="1:41" hidden="1" outlineLevel="1" x14ac:dyDescent="0.3">
      <c r="A207" s="146">
        <f t="shared" si="84"/>
        <v>185</v>
      </c>
      <c r="B207" s="147">
        <f t="shared" si="77"/>
        <v>100</v>
      </c>
      <c r="C207" s="147">
        <f t="shared" si="76"/>
        <v>260</v>
      </c>
      <c r="D207" s="149">
        <f t="shared" si="85"/>
        <v>127271363.5751653</v>
      </c>
      <c r="E207" s="149">
        <f t="shared" si="86"/>
        <v>1626640.4270391632</v>
      </c>
      <c r="F207" s="149">
        <f t="shared" si="78"/>
        <v>643717.81915234227</v>
      </c>
      <c r="G207" s="149">
        <f t="shared" si="79"/>
        <v>622260.55851393088</v>
      </c>
      <c r="H207" s="149">
        <f t="shared" si="87"/>
        <v>21457.26063841139</v>
      </c>
      <c r="I207" s="149">
        <f t="shared" si="88"/>
        <v>982922.60788682092</v>
      </c>
      <c r="J207" s="147">
        <f t="shared" si="89"/>
        <v>4.4999999999999998E-2</v>
      </c>
      <c r="K207" s="175">
        <f t="shared" si="80"/>
        <v>3.8296430163020645E-3</v>
      </c>
      <c r="L207" s="149">
        <f t="shared" si="90"/>
        <v>489277.64741633344</v>
      </c>
      <c r="M207" s="149">
        <f t="shared" si="91"/>
        <v>2094460.8138170852</v>
      </c>
      <c r="N207" s="149">
        <f t="shared" si="92"/>
        <v>1472200.2553031542</v>
      </c>
      <c r="P207" s="149">
        <f t="shared" si="93"/>
        <v>0</v>
      </c>
      <c r="Q207" s="149">
        <f t="shared" si="94"/>
        <v>0</v>
      </c>
      <c r="R207" s="178">
        <f t="shared" si="95"/>
        <v>0</v>
      </c>
      <c r="S207" s="113">
        <f t="shared" si="96"/>
        <v>0</v>
      </c>
      <c r="T207" s="113">
        <f t="shared" si="81"/>
        <v>0</v>
      </c>
      <c r="U207" s="114">
        <f t="shared" si="97"/>
        <v>30.833333333333332</v>
      </c>
      <c r="V207" s="114">
        <f t="shared" si="98"/>
        <v>0</v>
      </c>
      <c r="W207" s="114">
        <f t="shared" si="99"/>
        <v>981.52777777777771</v>
      </c>
      <c r="X207" s="114"/>
      <c r="Y207" s="149">
        <f t="shared" si="100"/>
        <v>0</v>
      </c>
      <c r="Z207" s="149">
        <f t="shared" si="101"/>
        <v>0</v>
      </c>
      <c r="AA207" s="178">
        <f t="shared" si="102"/>
        <v>0</v>
      </c>
      <c r="AB207" s="113">
        <f t="shared" si="103"/>
        <v>0</v>
      </c>
      <c r="AC207" s="113">
        <f t="shared" si="82"/>
        <v>0</v>
      </c>
      <c r="AD207" s="114">
        <f t="shared" si="104"/>
        <v>30.833333333333332</v>
      </c>
      <c r="AE207" s="114">
        <f t="shared" si="105"/>
        <v>0</v>
      </c>
      <c r="AF207" s="114">
        <f t="shared" si="106"/>
        <v>981.52777777777771</v>
      </c>
      <c r="AG207" s="114"/>
      <c r="AH207" s="176">
        <f t="shared" si="107"/>
        <v>127271363.57516538</v>
      </c>
      <c r="AI207" s="176">
        <f t="shared" si="108"/>
        <v>622260.55851393123</v>
      </c>
      <c r="AJ207" s="178">
        <f t="shared" si="109"/>
        <v>1472200.2553031542</v>
      </c>
      <c r="AK207" s="113">
        <f t="shared" si="110"/>
        <v>2094460.8138170855</v>
      </c>
      <c r="AL207" s="113">
        <f t="shared" si="83"/>
        <v>861017.3567333176</v>
      </c>
      <c r="AM207" s="114">
        <f t="shared" si="111"/>
        <v>30.833333333333332</v>
      </c>
      <c r="AN207" s="114">
        <f t="shared" si="112"/>
        <v>8.5822345147690722E-3</v>
      </c>
      <c r="AO207" s="114">
        <f t="shared" si="113"/>
        <v>981.52777777777771</v>
      </c>
    </row>
    <row r="208" spans="1:41" hidden="1" outlineLevel="1" x14ac:dyDescent="0.3">
      <c r="A208" s="146">
        <f t="shared" si="84"/>
        <v>186</v>
      </c>
      <c r="B208" s="147">
        <f t="shared" si="77"/>
        <v>99</v>
      </c>
      <c r="C208" s="147">
        <f t="shared" si="76"/>
        <v>261</v>
      </c>
      <c r="D208" s="149">
        <f t="shared" si="85"/>
        <v>125803674.10559259</v>
      </c>
      <c r="E208" s="149">
        <f t="shared" si="86"/>
        <v>1620410.974887718</v>
      </c>
      <c r="F208" s="149">
        <f t="shared" si="78"/>
        <v>636356.8178758265</v>
      </c>
      <c r="G208" s="149">
        <f t="shared" si="79"/>
        <v>615144.92394663231</v>
      </c>
      <c r="H208" s="149">
        <f t="shared" si="87"/>
        <v>21211.893929194193</v>
      </c>
      <c r="I208" s="149">
        <f t="shared" si="88"/>
        <v>984054.15701189148</v>
      </c>
      <c r="J208" s="147">
        <f t="shared" si="89"/>
        <v>4.4999999999999998E-2</v>
      </c>
      <c r="K208" s="175">
        <f t="shared" si="80"/>
        <v>3.8296430163020645E-3</v>
      </c>
      <c r="L208" s="149">
        <f t="shared" si="90"/>
        <v>483635.31256080914</v>
      </c>
      <c r="M208" s="149">
        <f t="shared" si="91"/>
        <v>2082834.3935193329</v>
      </c>
      <c r="N208" s="149">
        <f t="shared" si="92"/>
        <v>1467689.4695727006</v>
      </c>
      <c r="P208" s="149">
        <f t="shared" si="93"/>
        <v>0</v>
      </c>
      <c r="Q208" s="149">
        <f t="shared" si="94"/>
        <v>0</v>
      </c>
      <c r="R208" s="178">
        <f t="shared" si="95"/>
        <v>0</v>
      </c>
      <c r="S208" s="113">
        <f t="shared" si="96"/>
        <v>0</v>
      </c>
      <c r="T208" s="113">
        <f t="shared" si="81"/>
        <v>0</v>
      </c>
      <c r="U208" s="114">
        <f t="shared" si="97"/>
        <v>31</v>
      </c>
      <c r="V208" s="114">
        <f t="shared" si="98"/>
        <v>0</v>
      </c>
      <c r="W208" s="114">
        <f t="shared" si="99"/>
        <v>992</v>
      </c>
      <c r="X208" s="114"/>
      <c r="Y208" s="149">
        <f t="shared" si="100"/>
        <v>0</v>
      </c>
      <c r="Z208" s="149">
        <f t="shared" si="101"/>
        <v>0</v>
      </c>
      <c r="AA208" s="178">
        <f t="shared" si="102"/>
        <v>0</v>
      </c>
      <c r="AB208" s="113">
        <f t="shared" si="103"/>
        <v>0</v>
      </c>
      <c r="AC208" s="113">
        <f t="shared" si="82"/>
        <v>0</v>
      </c>
      <c r="AD208" s="114">
        <f t="shared" si="104"/>
        <v>31</v>
      </c>
      <c r="AE208" s="114">
        <f t="shared" si="105"/>
        <v>0</v>
      </c>
      <c r="AF208" s="114">
        <f t="shared" si="106"/>
        <v>992</v>
      </c>
      <c r="AG208" s="114"/>
      <c r="AH208" s="176">
        <f t="shared" si="107"/>
        <v>125803674.10559267</v>
      </c>
      <c r="AI208" s="176">
        <f t="shared" si="108"/>
        <v>615144.92394663265</v>
      </c>
      <c r="AJ208" s="178">
        <f t="shared" si="109"/>
        <v>1467689.4695727006</v>
      </c>
      <c r="AK208" s="113">
        <f t="shared" si="110"/>
        <v>2082834.3935193331</v>
      </c>
      <c r="AL208" s="113">
        <f t="shared" si="83"/>
        <v>852133.41297103127</v>
      </c>
      <c r="AM208" s="114">
        <f t="shared" si="111"/>
        <v>31</v>
      </c>
      <c r="AN208" s="114">
        <f t="shared" si="112"/>
        <v>8.4936833512092233E-3</v>
      </c>
      <c r="AO208" s="114">
        <f t="shared" si="113"/>
        <v>992</v>
      </c>
    </row>
    <row r="209" spans="1:41" hidden="1" outlineLevel="1" x14ac:dyDescent="0.3">
      <c r="A209" s="146">
        <f t="shared" si="84"/>
        <v>187</v>
      </c>
      <c r="B209" s="147">
        <f t="shared" si="77"/>
        <v>98</v>
      </c>
      <c r="C209" s="147">
        <f t="shared" si="76"/>
        <v>262</v>
      </c>
      <c r="D209" s="149">
        <f t="shared" si="85"/>
        <v>124340476.84939069</v>
      </c>
      <c r="E209" s="149">
        <f t="shared" si="86"/>
        <v>1614205.3793142</v>
      </c>
      <c r="F209" s="149">
        <f t="shared" si="78"/>
        <v>629018.37052796304</v>
      </c>
      <c r="G209" s="149">
        <f t="shared" si="79"/>
        <v>608051.0915103642</v>
      </c>
      <c r="H209" s="149">
        <f t="shared" si="87"/>
        <v>20967.279017598834</v>
      </c>
      <c r="I209" s="149">
        <f t="shared" si="88"/>
        <v>985187.00878623698</v>
      </c>
      <c r="J209" s="147">
        <f t="shared" si="89"/>
        <v>4.4999999999999998E-2</v>
      </c>
      <c r="K209" s="175">
        <f t="shared" si="80"/>
        <v>3.8296430163020645E-3</v>
      </c>
      <c r="L209" s="149">
        <f t="shared" si="90"/>
        <v>478010.24741567386</v>
      </c>
      <c r="M209" s="149">
        <f t="shared" si="91"/>
        <v>2071248.3477122751</v>
      </c>
      <c r="N209" s="149">
        <f t="shared" si="92"/>
        <v>1463197.2562019108</v>
      </c>
      <c r="P209" s="149">
        <f t="shared" si="93"/>
        <v>0</v>
      </c>
      <c r="Q209" s="149">
        <f t="shared" si="94"/>
        <v>0</v>
      </c>
      <c r="R209" s="178">
        <f t="shared" si="95"/>
        <v>0</v>
      </c>
      <c r="S209" s="113">
        <f t="shared" si="96"/>
        <v>0</v>
      </c>
      <c r="T209" s="113">
        <f t="shared" si="81"/>
        <v>0</v>
      </c>
      <c r="U209" s="114">
        <f t="shared" si="97"/>
        <v>31.166666666666668</v>
      </c>
      <c r="V209" s="114">
        <f t="shared" si="98"/>
        <v>0</v>
      </c>
      <c r="W209" s="114">
        <f t="shared" si="99"/>
        <v>1002.5277777777779</v>
      </c>
      <c r="X209" s="114"/>
      <c r="Y209" s="149">
        <f t="shared" si="100"/>
        <v>0</v>
      </c>
      <c r="Z209" s="149">
        <f t="shared" si="101"/>
        <v>0</v>
      </c>
      <c r="AA209" s="178">
        <f t="shared" si="102"/>
        <v>0</v>
      </c>
      <c r="AB209" s="113">
        <f t="shared" si="103"/>
        <v>0</v>
      </c>
      <c r="AC209" s="113">
        <f t="shared" si="82"/>
        <v>0</v>
      </c>
      <c r="AD209" s="114">
        <f t="shared" si="104"/>
        <v>31.166666666666668</v>
      </c>
      <c r="AE209" s="114">
        <f t="shared" si="105"/>
        <v>0</v>
      </c>
      <c r="AF209" s="114">
        <f t="shared" si="106"/>
        <v>1002.5277777777779</v>
      </c>
      <c r="AG209" s="114"/>
      <c r="AH209" s="176">
        <f t="shared" si="107"/>
        <v>124340476.84939076</v>
      </c>
      <c r="AI209" s="176">
        <f t="shared" si="108"/>
        <v>608051.09151036455</v>
      </c>
      <c r="AJ209" s="178">
        <f t="shared" si="109"/>
        <v>1463197.2562019108</v>
      </c>
      <c r="AK209" s="113">
        <f t="shared" si="110"/>
        <v>2071248.3477122753</v>
      </c>
      <c r="AL209" s="113">
        <f t="shared" si="83"/>
        <v>843331.29470109218</v>
      </c>
      <c r="AM209" s="114">
        <f t="shared" si="111"/>
        <v>31.166666666666668</v>
      </c>
      <c r="AN209" s="114">
        <f t="shared" si="112"/>
        <v>8.405947787426914E-3</v>
      </c>
      <c r="AO209" s="114">
        <f t="shared" si="113"/>
        <v>1002.5277777777779</v>
      </c>
    </row>
    <row r="210" spans="1:41" hidden="1" outlineLevel="1" x14ac:dyDescent="0.3">
      <c r="A210" s="146">
        <f t="shared" si="84"/>
        <v>188</v>
      </c>
      <c r="B210" s="147">
        <f t="shared" si="77"/>
        <v>97</v>
      </c>
      <c r="C210" s="147">
        <f t="shared" si="76"/>
        <v>263</v>
      </c>
      <c r="D210" s="149">
        <f t="shared" si="85"/>
        <v>122881753.30383153</v>
      </c>
      <c r="E210" s="149">
        <f t="shared" si="86"/>
        <v>1608023.5489564321</v>
      </c>
      <c r="F210" s="149">
        <f t="shared" si="78"/>
        <v>621702.38424695341</v>
      </c>
      <c r="G210" s="149">
        <f t="shared" si="79"/>
        <v>600978.97143872164</v>
      </c>
      <c r="H210" s="149">
        <f t="shared" si="87"/>
        <v>20723.412808231777</v>
      </c>
      <c r="I210" s="149">
        <f t="shared" si="88"/>
        <v>986321.16470947873</v>
      </c>
      <c r="J210" s="147">
        <f t="shared" si="89"/>
        <v>4.4999999999999998E-2</v>
      </c>
      <c r="K210" s="175">
        <f t="shared" si="80"/>
        <v>3.8296430163020645E-3</v>
      </c>
      <c r="L210" s="149">
        <f t="shared" si="90"/>
        <v>472402.38084967702</v>
      </c>
      <c r="M210" s="149">
        <f t="shared" si="91"/>
        <v>2059702.5169978775</v>
      </c>
      <c r="N210" s="149">
        <f t="shared" si="92"/>
        <v>1458723.5455591558</v>
      </c>
      <c r="P210" s="149">
        <f t="shared" si="93"/>
        <v>0</v>
      </c>
      <c r="Q210" s="149">
        <f t="shared" si="94"/>
        <v>0</v>
      </c>
      <c r="R210" s="178">
        <f t="shared" si="95"/>
        <v>0</v>
      </c>
      <c r="S210" s="113">
        <f t="shared" si="96"/>
        <v>0</v>
      </c>
      <c r="T210" s="113">
        <f t="shared" si="81"/>
        <v>0</v>
      </c>
      <c r="U210" s="114">
        <f t="shared" si="97"/>
        <v>31.333333333333332</v>
      </c>
      <c r="V210" s="114">
        <f t="shared" si="98"/>
        <v>0</v>
      </c>
      <c r="W210" s="114">
        <f t="shared" si="99"/>
        <v>1013.111111111111</v>
      </c>
      <c r="X210" s="114"/>
      <c r="Y210" s="149">
        <f t="shared" si="100"/>
        <v>0</v>
      </c>
      <c r="Z210" s="149">
        <f t="shared" si="101"/>
        <v>0</v>
      </c>
      <c r="AA210" s="178">
        <f t="shared" si="102"/>
        <v>0</v>
      </c>
      <c r="AB210" s="113">
        <f t="shared" si="103"/>
        <v>0</v>
      </c>
      <c r="AC210" s="113">
        <f t="shared" si="82"/>
        <v>0</v>
      </c>
      <c r="AD210" s="114">
        <f t="shared" si="104"/>
        <v>31.333333333333332</v>
      </c>
      <c r="AE210" s="114">
        <f t="shared" si="105"/>
        <v>0</v>
      </c>
      <c r="AF210" s="114">
        <f t="shared" si="106"/>
        <v>1013.111111111111</v>
      </c>
      <c r="AG210" s="114"/>
      <c r="AH210" s="176">
        <f t="shared" si="107"/>
        <v>122881753.30383161</v>
      </c>
      <c r="AI210" s="176">
        <f t="shared" si="108"/>
        <v>600978.97143872199</v>
      </c>
      <c r="AJ210" s="178">
        <f t="shared" si="109"/>
        <v>1458723.5455591558</v>
      </c>
      <c r="AK210" s="113">
        <f t="shared" si="110"/>
        <v>2059702.5169978777</v>
      </c>
      <c r="AL210" s="113">
        <f t="shared" si="83"/>
        <v>834610.27820153395</v>
      </c>
      <c r="AM210" s="114">
        <f t="shared" si="111"/>
        <v>31.333333333333332</v>
      </c>
      <c r="AN210" s="114">
        <f t="shared" si="112"/>
        <v>8.3190206096864523E-3</v>
      </c>
      <c r="AO210" s="114">
        <f t="shared" si="113"/>
        <v>1013.111111111111</v>
      </c>
    </row>
    <row r="211" spans="1:41" hidden="1" outlineLevel="1" x14ac:dyDescent="0.3">
      <c r="A211" s="146">
        <f t="shared" si="84"/>
        <v>189</v>
      </c>
      <c r="B211" s="147">
        <f t="shared" si="77"/>
        <v>96</v>
      </c>
      <c r="C211" s="147">
        <f t="shared" si="76"/>
        <v>264</v>
      </c>
      <c r="D211" s="149">
        <f t="shared" si="85"/>
        <v>121427485.03555034</v>
      </c>
      <c r="E211" s="149">
        <f t="shared" si="86"/>
        <v>1601865.3928021218</v>
      </c>
      <c r="F211" s="149">
        <f t="shared" si="78"/>
        <v>614408.76651915768</v>
      </c>
      <c r="G211" s="149">
        <f t="shared" si="79"/>
        <v>593928.4743018524</v>
      </c>
      <c r="H211" s="149">
        <f t="shared" si="87"/>
        <v>20480.292217305279</v>
      </c>
      <c r="I211" s="149">
        <f t="shared" si="88"/>
        <v>987456.62628296413</v>
      </c>
      <c r="J211" s="147">
        <f t="shared" si="89"/>
        <v>4.4999999999999998E-2</v>
      </c>
      <c r="K211" s="175">
        <f t="shared" si="80"/>
        <v>3.8296430163020645E-3</v>
      </c>
      <c r="L211" s="149">
        <f t="shared" si="90"/>
        <v>466811.64199822582</v>
      </c>
      <c r="M211" s="149">
        <f t="shared" si="91"/>
        <v>2048196.7425830425</v>
      </c>
      <c r="N211" s="149">
        <f t="shared" si="92"/>
        <v>1454268.26828119</v>
      </c>
      <c r="P211" s="149">
        <f t="shared" si="93"/>
        <v>0</v>
      </c>
      <c r="Q211" s="149">
        <f t="shared" si="94"/>
        <v>0</v>
      </c>
      <c r="R211" s="178">
        <f t="shared" si="95"/>
        <v>0</v>
      </c>
      <c r="S211" s="113">
        <f t="shared" si="96"/>
        <v>0</v>
      </c>
      <c r="T211" s="113">
        <f t="shared" si="81"/>
        <v>0</v>
      </c>
      <c r="U211" s="114">
        <f t="shared" si="97"/>
        <v>31.5</v>
      </c>
      <c r="V211" s="114">
        <f t="shared" si="98"/>
        <v>0</v>
      </c>
      <c r="W211" s="114">
        <f t="shared" si="99"/>
        <v>1023.75</v>
      </c>
      <c r="X211" s="114"/>
      <c r="Y211" s="149">
        <f t="shared" si="100"/>
        <v>0</v>
      </c>
      <c r="Z211" s="149">
        <f t="shared" si="101"/>
        <v>0</v>
      </c>
      <c r="AA211" s="178">
        <f t="shared" si="102"/>
        <v>0</v>
      </c>
      <c r="AB211" s="113">
        <f t="shared" si="103"/>
        <v>0</v>
      </c>
      <c r="AC211" s="113">
        <f t="shared" si="82"/>
        <v>0</v>
      </c>
      <c r="AD211" s="114">
        <f t="shared" si="104"/>
        <v>31.5</v>
      </c>
      <c r="AE211" s="114">
        <f t="shared" si="105"/>
        <v>0</v>
      </c>
      <c r="AF211" s="114">
        <f t="shared" si="106"/>
        <v>1023.75</v>
      </c>
      <c r="AG211" s="114"/>
      <c r="AH211" s="176">
        <f t="shared" si="107"/>
        <v>121427485.03555042</v>
      </c>
      <c r="AI211" s="176">
        <f t="shared" si="108"/>
        <v>593928.47430185275</v>
      </c>
      <c r="AJ211" s="178">
        <f t="shared" si="109"/>
        <v>1454268.26828119</v>
      </c>
      <c r="AK211" s="113">
        <f t="shared" si="110"/>
        <v>2048196.7425830427</v>
      </c>
      <c r="AL211" s="113">
        <f t="shared" si="83"/>
        <v>825969.64604948834</v>
      </c>
      <c r="AM211" s="114">
        <f t="shared" si="111"/>
        <v>31.5</v>
      </c>
      <c r="AN211" s="114">
        <f t="shared" si="112"/>
        <v>8.2328946670387274E-3</v>
      </c>
      <c r="AO211" s="114">
        <f t="shared" si="113"/>
        <v>1023.75</v>
      </c>
    </row>
    <row r="212" spans="1:41" hidden="1" outlineLevel="1" x14ac:dyDescent="0.3">
      <c r="A212" s="146">
        <f t="shared" si="84"/>
        <v>190</v>
      </c>
      <c r="B212" s="147">
        <f t="shared" si="77"/>
        <v>95</v>
      </c>
      <c r="C212" s="147">
        <f t="shared" si="76"/>
        <v>265</v>
      </c>
      <c r="D212" s="149">
        <f t="shared" si="85"/>
        <v>119977653.68027821</v>
      </c>
      <c r="E212" s="149">
        <f t="shared" si="86"/>
        <v>1595730.8201875212</v>
      </c>
      <c r="F212" s="149">
        <f t="shared" si="78"/>
        <v>607137.42517775169</v>
      </c>
      <c r="G212" s="149">
        <f t="shared" si="79"/>
        <v>586899.51100516005</v>
      </c>
      <c r="H212" s="149">
        <f t="shared" si="87"/>
        <v>20237.914172591642</v>
      </c>
      <c r="I212" s="149">
        <f t="shared" si="88"/>
        <v>988593.39500976948</v>
      </c>
      <c r="J212" s="147">
        <f t="shared" si="89"/>
        <v>4.4999999999999998E-2</v>
      </c>
      <c r="K212" s="175">
        <f t="shared" si="80"/>
        <v>3.8296430163020645E-3</v>
      </c>
      <c r="L212" s="149">
        <f t="shared" si="90"/>
        <v>461237.96026235732</v>
      </c>
      <c r="M212" s="149">
        <f t="shared" si="91"/>
        <v>2036730.8662772868</v>
      </c>
      <c r="N212" s="149">
        <f t="shared" si="92"/>
        <v>1449831.3552721268</v>
      </c>
      <c r="P212" s="149">
        <f t="shared" si="93"/>
        <v>0</v>
      </c>
      <c r="Q212" s="149">
        <f t="shared" si="94"/>
        <v>0</v>
      </c>
      <c r="R212" s="178">
        <f t="shared" si="95"/>
        <v>0</v>
      </c>
      <c r="S212" s="113">
        <f t="shared" si="96"/>
        <v>0</v>
      </c>
      <c r="T212" s="113">
        <f t="shared" si="81"/>
        <v>0</v>
      </c>
      <c r="U212" s="114">
        <f t="shared" si="97"/>
        <v>31.666666666666668</v>
      </c>
      <c r="V212" s="114">
        <f t="shared" si="98"/>
        <v>0</v>
      </c>
      <c r="W212" s="114">
        <f t="shared" si="99"/>
        <v>1034.4444444444446</v>
      </c>
      <c r="X212" s="114"/>
      <c r="Y212" s="149">
        <f t="shared" si="100"/>
        <v>0</v>
      </c>
      <c r="Z212" s="149">
        <f t="shared" si="101"/>
        <v>0</v>
      </c>
      <c r="AA212" s="178">
        <f t="shared" si="102"/>
        <v>0</v>
      </c>
      <c r="AB212" s="113">
        <f t="shared" si="103"/>
        <v>0</v>
      </c>
      <c r="AC212" s="113">
        <f t="shared" si="82"/>
        <v>0</v>
      </c>
      <c r="AD212" s="114">
        <f t="shared" si="104"/>
        <v>31.666666666666668</v>
      </c>
      <c r="AE212" s="114">
        <f t="shared" si="105"/>
        <v>0</v>
      </c>
      <c r="AF212" s="114">
        <f t="shared" si="106"/>
        <v>1034.4444444444446</v>
      </c>
      <c r="AG212" s="114"/>
      <c r="AH212" s="176">
        <f t="shared" si="107"/>
        <v>119977653.68027829</v>
      </c>
      <c r="AI212" s="176">
        <f t="shared" si="108"/>
        <v>586899.5110051604</v>
      </c>
      <c r="AJ212" s="178">
        <f t="shared" si="109"/>
        <v>1449831.3552721268</v>
      </c>
      <c r="AK212" s="113">
        <f t="shared" si="110"/>
        <v>2036730.8662772872</v>
      </c>
      <c r="AL212" s="113">
        <f t="shared" si="83"/>
        <v>817408.68706672336</v>
      </c>
      <c r="AM212" s="114">
        <f t="shared" si="111"/>
        <v>31.666666666666668</v>
      </c>
      <c r="AN212" s="114">
        <f t="shared" si="112"/>
        <v>8.1475628707783597E-3</v>
      </c>
      <c r="AO212" s="114">
        <f t="shared" si="113"/>
        <v>1034.4444444444446</v>
      </c>
    </row>
    <row r="213" spans="1:41" hidden="1" outlineLevel="1" x14ac:dyDescent="0.3">
      <c r="A213" s="146">
        <f t="shared" si="84"/>
        <v>191</v>
      </c>
      <c r="B213" s="147">
        <f t="shared" si="77"/>
        <v>94</v>
      </c>
      <c r="C213" s="147">
        <f t="shared" si="76"/>
        <v>266</v>
      </c>
      <c r="D213" s="149">
        <f t="shared" si="85"/>
        <v>118532240.9425758</v>
      </c>
      <c r="E213" s="149">
        <f t="shared" si="86"/>
        <v>1589619.740796092</v>
      </c>
      <c r="F213" s="149">
        <f t="shared" si="78"/>
        <v>599888.26840139111</v>
      </c>
      <c r="G213" s="149">
        <f t="shared" si="79"/>
        <v>579891.99278801144</v>
      </c>
      <c r="H213" s="149">
        <f t="shared" si="87"/>
        <v>19996.275613379665</v>
      </c>
      <c r="I213" s="149">
        <f t="shared" si="88"/>
        <v>989731.47239470086</v>
      </c>
      <c r="J213" s="147">
        <f t="shared" si="89"/>
        <v>4.4999999999999998E-2</v>
      </c>
      <c r="K213" s="175">
        <f t="shared" si="80"/>
        <v>3.8296430163020645E-3</v>
      </c>
      <c r="L213" s="149">
        <f t="shared" si="90"/>
        <v>455681.26530771441</v>
      </c>
      <c r="M213" s="149">
        <f t="shared" si="91"/>
        <v>2025304.7304904268</v>
      </c>
      <c r="N213" s="149">
        <f t="shared" si="92"/>
        <v>1445412.7377024153</v>
      </c>
      <c r="P213" s="149">
        <f t="shared" si="93"/>
        <v>0</v>
      </c>
      <c r="Q213" s="149">
        <f t="shared" si="94"/>
        <v>0</v>
      </c>
      <c r="R213" s="178">
        <f t="shared" si="95"/>
        <v>0</v>
      </c>
      <c r="S213" s="113">
        <f t="shared" si="96"/>
        <v>0</v>
      </c>
      <c r="T213" s="113">
        <f t="shared" si="81"/>
        <v>0</v>
      </c>
      <c r="U213" s="114">
        <f t="shared" si="97"/>
        <v>31.833333333333332</v>
      </c>
      <c r="V213" s="114">
        <f t="shared" si="98"/>
        <v>0</v>
      </c>
      <c r="W213" s="114">
        <f t="shared" si="99"/>
        <v>1045.1944444444443</v>
      </c>
      <c r="X213" s="114"/>
      <c r="Y213" s="149">
        <f t="shared" si="100"/>
        <v>0</v>
      </c>
      <c r="Z213" s="149">
        <f t="shared" si="101"/>
        <v>0</v>
      </c>
      <c r="AA213" s="178">
        <f t="shared" si="102"/>
        <v>0</v>
      </c>
      <c r="AB213" s="113">
        <f t="shared" si="103"/>
        <v>0</v>
      </c>
      <c r="AC213" s="113">
        <f t="shared" si="82"/>
        <v>0</v>
      </c>
      <c r="AD213" s="114">
        <f t="shared" si="104"/>
        <v>31.833333333333332</v>
      </c>
      <c r="AE213" s="114">
        <f t="shared" si="105"/>
        <v>0</v>
      </c>
      <c r="AF213" s="114">
        <f t="shared" si="106"/>
        <v>1045.1944444444443</v>
      </c>
      <c r="AG213" s="114"/>
      <c r="AH213" s="176">
        <f t="shared" si="107"/>
        <v>118532240.94257587</v>
      </c>
      <c r="AI213" s="176">
        <f t="shared" si="108"/>
        <v>579891.99278801179</v>
      </c>
      <c r="AJ213" s="178">
        <f t="shared" si="109"/>
        <v>1445412.7377024153</v>
      </c>
      <c r="AK213" s="113">
        <f t="shared" si="110"/>
        <v>2025304.730490427</v>
      </c>
      <c r="AL213" s="113">
        <f t="shared" si="83"/>
        <v>808926.69626564975</v>
      </c>
      <c r="AM213" s="114">
        <f t="shared" si="111"/>
        <v>31.833333333333332</v>
      </c>
      <c r="AN213" s="114">
        <f t="shared" si="112"/>
        <v>8.0630181939055166E-3</v>
      </c>
      <c r="AO213" s="114">
        <f t="shared" si="113"/>
        <v>1045.1944444444443</v>
      </c>
    </row>
    <row r="214" spans="1:41" hidden="1" outlineLevel="1" x14ac:dyDescent="0.3">
      <c r="A214" s="146">
        <f t="shared" si="84"/>
        <v>192</v>
      </c>
      <c r="B214" s="147">
        <f t="shared" si="77"/>
        <v>93</v>
      </c>
      <c r="C214" s="147">
        <f t="shared" ref="C214:C277" si="114">IF($A214&gt;$B$4,"",$B$11*$B$13-B214)</f>
        <v>267</v>
      </c>
      <c r="D214" s="149">
        <f t="shared" si="85"/>
        <v>117091228.59556797</v>
      </c>
      <c r="E214" s="149">
        <f t="shared" si="86"/>
        <v>1583532.0646571764</v>
      </c>
      <c r="F214" s="149">
        <f t="shared" si="78"/>
        <v>592661.20471287903</v>
      </c>
      <c r="G214" s="149">
        <f t="shared" si="79"/>
        <v>572905.83122244966</v>
      </c>
      <c r="H214" s="149">
        <f t="shared" si="87"/>
        <v>19755.373490429367</v>
      </c>
      <c r="I214" s="149">
        <f t="shared" si="88"/>
        <v>990870.85994429735</v>
      </c>
      <c r="J214" s="147">
        <f t="shared" si="89"/>
        <v>4.4999999999999998E-2</v>
      </c>
      <c r="K214" s="175">
        <f t="shared" si="80"/>
        <v>3.8296430163020645E-3</v>
      </c>
      <c r="L214" s="149">
        <f t="shared" si="90"/>
        <v>450141.48706352612</v>
      </c>
      <c r="M214" s="149">
        <f t="shared" si="91"/>
        <v>2013918.1782302731</v>
      </c>
      <c r="N214" s="149">
        <f t="shared" si="92"/>
        <v>1441012.3470078234</v>
      </c>
      <c r="P214" s="149">
        <f t="shared" si="93"/>
        <v>0</v>
      </c>
      <c r="Q214" s="149">
        <f t="shared" si="94"/>
        <v>0</v>
      </c>
      <c r="R214" s="178">
        <f t="shared" si="95"/>
        <v>0</v>
      </c>
      <c r="S214" s="113">
        <f t="shared" si="96"/>
        <v>0</v>
      </c>
      <c r="T214" s="113">
        <f t="shared" si="81"/>
        <v>0</v>
      </c>
      <c r="U214" s="114">
        <f t="shared" si="97"/>
        <v>32</v>
      </c>
      <c r="V214" s="114">
        <f t="shared" si="98"/>
        <v>0</v>
      </c>
      <c r="W214" s="114">
        <f t="shared" si="99"/>
        <v>1056</v>
      </c>
      <c r="X214" s="114"/>
      <c r="Y214" s="149">
        <f t="shared" si="100"/>
        <v>0</v>
      </c>
      <c r="Z214" s="149">
        <f t="shared" si="101"/>
        <v>0</v>
      </c>
      <c r="AA214" s="178">
        <f t="shared" si="102"/>
        <v>0</v>
      </c>
      <c r="AB214" s="113">
        <f t="shared" si="103"/>
        <v>0</v>
      </c>
      <c r="AC214" s="113">
        <f t="shared" si="82"/>
        <v>0</v>
      </c>
      <c r="AD214" s="114">
        <f t="shared" si="104"/>
        <v>32</v>
      </c>
      <c r="AE214" s="114">
        <f t="shared" si="105"/>
        <v>0</v>
      </c>
      <c r="AF214" s="114">
        <f t="shared" si="106"/>
        <v>1056</v>
      </c>
      <c r="AG214" s="114"/>
      <c r="AH214" s="176">
        <f t="shared" si="107"/>
        <v>117091228.59556805</v>
      </c>
      <c r="AI214" s="176">
        <f t="shared" si="108"/>
        <v>572905.83122245013</v>
      </c>
      <c r="AJ214" s="178">
        <f t="shared" si="109"/>
        <v>1441012.3470078234</v>
      </c>
      <c r="AK214" s="113">
        <f t="shared" si="110"/>
        <v>2013918.1782302735</v>
      </c>
      <c r="AL214" s="113">
        <f t="shared" si="83"/>
        <v>800522.97479579051</v>
      </c>
      <c r="AM214" s="114">
        <f t="shared" si="111"/>
        <v>32</v>
      </c>
      <c r="AN214" s="114">
        <f t="shared" si="112"/>
        <v>7.9792536705923477E-3</v>
      </c>
      <c r="AO214" s="114">
        <f t="shared" si="113"/>
        <v>1056</v>
      </c>
    </row>
    <row r="215" spans="1:41" hidden="1" outlineLevel="1" x14ac:dyDescent="0.3">
      <c r="A215" s="146">
        <f t="shared" si="84"/>
        <v>193</v>
      </c>
      <c r="B215" s="147">
        <f t="shared" ref="B215:B278" si="115">IF(A215&gt;$B$4,"",B$4-A215)</f>
        <v>92</v>
      </c>
      <c r="C215" s="147">
        <f t="shared" si="114"/>
        <v>268</v>
      </c>
      <c r="D215" s="149">
        <f t="shared" si="85"/>
        <v>115654598.48067954</v>
      </c>
      <c r="E215" s="149">
        <f t="shared" si="86"/>
        <v>1577467.7021446717</v>
      </c>
      <c r="F215" s="149">
        <f t="shared" ref="F215:F278" si="116">IF(A215&gt;$B$4,"",D214*$B$15)</f>
        <v>585456.14297783992</v>
      </c>
      <c r="G215" s="149">
        <f t="shared" ref="G215:G278" si="117">IF(A215&gt;$B$4,"",D214*$B$16)</f>
        <v>565940.93821191194</v>
      </c>
      <c r="H215" s="149">
        <f t="shared" si="87"/>
        <v>19515.204765927978</v>
      </c>
      <c r="I215" s="149">
        <f t="shared" si="88"/>
        <v>992011.55916683178</v>
      </c>
      <c r="J215" s="147">
        <f t="shared" si="89"/>
        <v>4.4999999999999998E-2</v>
      </c>
      <c r="K215" s="175">
        <f t="shared" ref="K215:K278" si="118">IF(A215&gt;$B$4,"",1-(1-J215)^(1/$B$11))</f>
        <v>3.8296430163020645E-3</v>
      </c>
      <c r="L215" s="149">
        <f t="shared" si="90"/>
        <v>444618.55572159128</v>
      </c>
      <c r="M215" s="149">
        <f t="shared" si="91"/>
        <v>2002571.0531003349</v>
      </c>
      <c r="N215" s="149">
        <f t="shared" si="92"/>
        <v>1436630.1148884231</v>
      </c>
      <c r="P215" s="149">
        <f t="shared" si="93"/>
        <v>0</v>
      </c>
      <c r="Q215" s="149">
        <f t="shared" si="94"/>
        <v>0</v>
      </c>
      <c r="R215" s="178">
        <f t="shared" si="95"/>
        <v>0</v>
      </c>
      <c r="S215" s="113">
        <f t="shared" si="96"/>
        <v>0</v>
      </c>
      <c r="T215" s="113">
        <f t="shared" ref="T215:T278" si="119">IF(A215&gt;$B$4,"",S215/(1+$B$14)^(A215/$B$11*$B$8))</f>
        <v>0</v>
      </c>
      <c r="U215" s="114">
        <f t="shared" si="97"/>
        <v>32.166666666666664</v>
      </c>
      <c r="V215" s="114">
        <f t="shared" si="98"/>
        <v>0</v>
      </c>
      <c r="W215" s="114">
        <f t="shared" si="99"/>
        <v>1066.8611111111109</v>
      </c>
      <c r="X215" s="114"/>
      <c r="Y215" s="149">
        <f t="shared" si="100"/>
        <v>0</v>
      </c>
      <c r="Z215" s="149">
        <f t="shared" si="101"/>
        <v>0</v>
      </c>
      <c r="AA215" s="178">
        <f t="shared" si="102"/>
        <v>0</v>
      </c>
      <c r="AB215" s="113">
        <f t="shared" si="103"/>
        <v>0</v>
      </c>
      <c r="AC215" s="113">
        <f t="shared" ref="AC215:AC278" si="120">IF(A215&gt;$B$4,"",AB215/(1+$B$14)^(A215/$B$11*$B$8))</f>
        <v>0</v>
      </c>
      <c r="AD215" s="114">
        <f t="shared" si="104"/>
        <v>32.166666666666664</v>
      </c>
      <c r="AE215" s="114">
        <f t="shared" si="105"/>
        <v>0</v>
      </c>
      <c r="AF215" s="114">
        <f t="shared" si="106"/>
        <v>1066.8611111111109</v>
      </c>
      <c r="AG215" s="114"/>
      <c r="AH215" s="176">
        <f t="shared" si="107"/>
        <v>115654598.48067962</v>
      </c>
      <c r="AI215" s="176">
        <f t="shared" si="108"/>
        <v>565940.93821191229</v>
      </c>
      <c r="AJ215" s="178">
        <f t="shared" si="109"/>
        <v>1436630.1148884231</v>
      </c>
      <c r="AK215" s="113">
        <f t="shared" si="110"/>
        <v>2002571.0531003354</v>
      </c>
      <c r="AL215" s="113">
        <f t="shared" ref="AL215:AL278" si="121">IF(A215&gt;$B$4,"",AK215/(1+$B$14)^(A215/$B$11*$B$8))</f>
        <v>792196.82989071473</v>
      </c>
      <c r="AM215" s="114">
        <f t="shared" si="111"/>
        <v>32.166666666666664</v>
      </c>
      <c r="AN215" s="114">
        <f t="shared" si="112"/>
        <v>7.8962623956540402E-3</v>
      </c>
      <c r="AO215" s="114">
        <f t="shared" si="113"/>
        <v>1066.8611111111109</v>
      </c>
    </row>
    <row r="216" spans="1:41" hidden="1" outlineLevel="1" x14ac:dyDescent="0.3">
      <c r="A216" s="146">
        <f t="shared" ref="A216:A279" si="122">A215+1</f>
        <v>194</v>
      </c>
      <c r="B216" s="147">
        <f t="shared" si="115"/>
        <v>91</v>
      </c>
      <c r="C216" s="147">
        <f t="shared" si="114"/>
        <v>269</v>
      </c>
      <c r="D216" s="149">
        <f t="shared" ref="D216:D279" si="123">IF(A216&gt;$B$4,"",D215-I216-L216)</f>
        <v>114222332.50737196</v>
      </c>
      <c r="E216" s="149">
        <f t="shared" ref="E216:E279" si="124">IF(A216&gt;$B$4,"",MIN(E215*(1-K215),D215*(1+$B$15)))</f>
        <v>1571426.5639757114</v>
      </c>
      <c r="F216" s="149">
        <f t="shared" si="116"/>
        <v>578272.99240339769</v>
      </c>
      <c r="G216" s="149">
        <f t="shared" si="117"/>
        <v>558997.22598995117</v>
      </c>
      <c r="H216" s="149">
        <f t="shared" ref="H216:H279" si="125">IF(A216&gt;$B$4,"",F216-G216)</f>
        <v>19275.766413446516</v>
      </c>
      <c r="I216" s="149">
        <f t="shared" ref="I216:I279" si="126">IF(A216&gt;$B$4,"",E216-F216)</f>
        <v>993153.57157231367</v>
      </c>
      <c r="J216" s="147">
        <f t="shared" ref="J216:J279" si="127">IF(A216&gt;$B$4,"",$B$9/100*MIN(C216/30,1)*0.06)</f>
        <v>4.4999999999999998E-2</v>
      </c>
      <c r="K216" s="175">
        <f t="shared" si="118"/>
        <v>3.8296430163020645E-3</v>
      </c>
      <c r="L216" s="149">
        <f t="shared" ref="L216:L279" si="128">IF(A216&gt;$B$4,"",(D215-I216)*K216)</f>
        <v>439112.40173526638</v>
      </c>
      <c r="M216" s="149">
        <f t="shared" ref="M216:M279" si="129">IF(A216&gt;$B$4,"",G216+I216+L216)</f>
        <v>1991263.1992975313</v>
      </c>
      <c r="N216" s="149">
        <f t="shared" ref="N216:N279" si="130">IF($A216&gt;$B$4,"",I216+L216)</f>
        <v>1432265.97330758</v>
      </c>
      <c r="P216" s="149">
        <f t="shared" ref="P216:P279" si="131">IF($A216&gt;$B$4,"",MAX(0,P215-R216))</f>
        <v>0</v>
      </c>
      <c r="Q216" s="149">
        <f t="shared" ref="Q216:Q279" si="132">IF($A216&gt;$B$4,"",IF(P215&gt;0,$H$6*P215,0))</f>
        <v>0</v>
      </c>
      <c r="R216" s="178">
        <f t="shared" ref="R216:R279" si="133">IF($A216&gt;$B$4,"",MIN(P215,$N216+AI216))</f>
        <v>0</v>
      </c>
      <c r="S216" s="113">
        <f t="shared" ref="S216:S279" si="134">IF($A216&gt;$B$4,"",Q216+R216)</f>
        <v>0</v>
      </c>
      <c r="T216" s="113">
        <f t="shared" si="119"/>
        <v>0</v>
      </c>
      <c r="U216" s="114">
        <f t="shared" ref="U216:U279" si="135">IF($A216&gt;$B$4,"",A216/6)</f>
        <v>32.333333333333336</v>
      </c>
      <c r="V216" s="114">
        <f t="shared" ref="V216:V279" si="136">IF($A216&gt;$B$4,"",T216/$T$21)</f>
        <v>0</v>
      </c>
      <c r="W216" s="114">
        <f t="shared" ref="W216:W279" si="137">IF($A216&gt;$B$4,"",U216*(U216+1))</f>
        <v>1077.7777777777778</v>
      </c>
      <c r="X216" s="114"/>
      <c r="Y216" s="149">
        <f t="shared" ref="Y216:Y279" si="138">IF($A216&gt;$B$4,"",MAX(0,Y215-AA216))</f>
        <v>0</v>
      </c>
      <c r="Z216" s="149">
        <f t="shared" ref="Z216:Z279" si="139">IF($A216&gt;$B$4,"",IF(Y215&gt;0,$H$7*Y215,0))</f>
        <v>0</v>
      </c>
      <c r="AA216" s="178">
        <f t="shared" ref="AA216:AA279" si="140">IF($A216&gt;$B$4,"",IF(P216&gt;0,0,MIN(Y215,$N216-R216+AI216)))</f>
        <v>0</v>
      </c>
      <c r="AB216" s="113">
        <f t="shared" ref="AB216:AB279" si="141">IF($A216&gt;$B$4,"",Z216+AA216)</f>
        <v>0</v>
      </c>
      <c r="AC216" s="113">
        <f t="shared" si="120"/>
        <v>0</v>
      </c>
      <c r="AD216" s="114">
        <f t="shared" ref="AD216:AD279" si="142">IF($A216&gt;$B$4,"",A216/6)</f>
        <v>32.333333333333336</v>
      </c>
      <c r="AE216" s="114">
        <f t="shared" ref="AE216:AE279" si="143">IF($A216&gt;$B$4,"",AC216/$AC$21)</f>
        <v>0</v>
      </c>
      <c r="AF216" s="114">
        <f t="shared" ref="AF216:AF279" si="144">IF($A216&gt;$B$4,"",AD216*(AD216+1))</f>
        <v>1077.7777777777778</v>
      </c>
      <c r="AG216" s="114"/>
      <c r="AH216" s="176">
        <f t="shared" ref="AH216:AH279" si="145">IF($A216&gt;$B$4,"",MAX(0,AH215-AJ216))</f>
        <v>114222332.50737204</v>
      </c>
      <c r="AI216" s="176">
        <f t="shared" ref="AI216:AI279" si="146">IF($A216&gt;$B$4,"",IF(AH215&gt;0,$H$8*AH215,0))</f>
        <v>558997.22598995152</v>
      </c>
      <c r="AJ216" s="178">
        <f t="shared" ref="AJ216:AJ279" si="147">IF($A216&gt;$B$4,"",IF(Y216&gt;0,-AI216,MIN(AH215,$N216-AA216)))</f>
        <v>1432265.97330758</v>
      </c>
      <c r="AK216" s="113">
        <f t="shared" ref="AK216:AK279" si="148">IF($A216&gt;$B$4,"",AI216+AJ216)</f>
        <v>1991263.1992975315</v>
      </c>
      <c r="AL216" s="113">
        <f t="shared" si="121"/>
        <v>783947.57481542812</v>
      </c>
      <c r="AM216" s="114">
        <f t="shared" ref="AM216:AM279" si="149">IF($A216&gt;$B$4,"",A216/6)</f>
        <v>32.333333333333336</v>
      </c>
      <c r="AN216" s="114">
        <f t="shared" ref="AN216:AN279" si="150">IF($A216&gt;$B$4,"",AL216/$AL$21)</f>
        <v>7.8140375240244343E-3</v>
      </c>
      <c r="AO216" s="114">
        <f t="shared" ref="AO216:AO279" si="151">IF($A216&gt;$B$4,"",AM216*(AM216+1))</f>
        <v>1077.7777777777778</v>
      </c>
    </row>
    <row r="217" spans="1:41" hidden="1" outlineLevel="1" x14ac:dyDescent="0.3">
      <c r="A217" s="146">
        <f t="shared" si="122"/>
        <v>195</v>
      </c>
      <c r="B217" s="147">
        <f t="shared" si="115"/>
        <v>90</v>
      </c>
      <c r="C217" s="147">
        <f t="shared" si="114"/>
        <v>270</v>
      </c>
      <c r="D217" s="149">
        <f t="shared" si="123"/>
        <v>112794412.65288101</v>
      </c>
      <c r="E217" s="149">
        <f t="shared" si="124"/>
        <v>1565408.5612093501</v>
      </c>
      <c r="F217" s="149">
        <f t="shared" si="116"/>
        <v>571111.66253685986</v>
      </c>
      <c r="G217" s="149">
        <f t="shared" si="117"/>
        <v>552074.60711896454</v>
      </c>
      <c r="H217" s="149">
        <f t="shared" si="125"/>
        <v>19037.055417895317</v>
      </c>
      <c r="I217" s="149">
        <f t="shared" si="126"/>
        <v>994296.89867249026</v>
      </c>
      <c r="J217" s="147">
        <f t="shared" si="127"/>
        <v>4.4999999999999998E-2</v>
      </c>
      <c r="K217" s="175">
        <f t="shared" si="118"/>
        <v>3.8296430163020645E-3</v>
      </c>
      <c r="L217" s="149">
        <f t="shared" si="128"/>
        <v>433622.95581845741</v>
      </c>
      <c r="M217" s="149">
        <f t="shared" si="129"/>
        <v>1979994.4616099121</v>
      </c>
      <c r="N217" s="149">
        <f t="shared" si="130"/>
        <v>1427919.8544909477</v>
      </c>
      <c r="P217" s="149">
        <f t="shared" si="131"/>
        <v>0</v>
      </c>
      <c r="Q217" s="149">
        <f t="shared" si="132"/>
        <v>0</v>
      </c>
      <c r="R217" s="178">
        <f t="shared" si="133"/>
        <v>0</v>
      </c>
      <c r="S217" s="113">
        <f t="shared" si="134"/>
        <v>0</v>
      </c>
      <c r="T217" s="113">
        <f t="shared" si="119"/>
        <v>0</v>
      </c>
      <c r="U217" s="114">
        <f t="shared" si="135"/>
        <v>32.5</v>
      </c>
      <c r="V217" s="114">
        <f t="shared" si="136"/>
        <v>0</v>
      </c>
      <c r="W217" s="114">
        <f t="shared" si="137"/>
        <v>1088.75</v>
      </c>
      <c r="X217" s="114"/>
      <c r="Y217" s="149">
        <f t="shared" si="138"/>
        <v>0</v>
      </c>
      <c r="Z217" s="149">
        <f t="shared" si="139"/>
        <v>0</v>
      </c>
      <c r="AA217" s="178">
        <f t="shared" si="140"/>
        <v>0</v>
      </c>
      <c r="AB217" s="113">
        <f t="shared" si="141"/>
        <v>0</v>
      </c>
      <c r="AC217" s="113">
        <f t="shared" si="120"/>
        <v>0</v>
      </c>
      <c r="AD217" s="114">
        <f t="shared" si="142"/>
        <v>32.5</v>
      </c>
      <c r="AE217" s="114">
        <f t="shared" si="143"/>
        <v>0</v>
      </c>
      <c r="AF217" s="114">
        <f t="shared" si="144"/>
        <v>1088.75</v>
      </c>
      <c r="AG217" s="114"/>
      <c r="AH217" s="176">
        <f t="shared" si="145"/>
        <v>112794412.65288109</v>
      </c>
      <c r="AI217" s="176">
        <f t="shared" si="146"/>
        <v>552074.60711896489</v>
      </c>
      <c r="AJ217" s="178">
        <f t="shared" si="147"/>
        <v>1427919.8544909477</v>
      </c>
      <c r="AK217" s="113">
        <f t="shared" si="148"/>
        <v>1979994.4616099126</v>
      </c>
      <c r="AL217" s="113">
        <f t="shared" si="121"/>
        <v>775774.52881421673</v>
      </c>
      <c r="AM217" s="114">
        <f t="shared" si="149"/>
        <v>32.5</v>
      </c>
      <c r="AN217" s="114">
        <f t="shared" si="150"/>
        <v>7.7325722702361573E-3</v>
      </c>
      <c r="AO217" s="114">
        <f t="shared" si="151"/>
        <v>1088.75</v>
      </c>
    </row>
    <row r="218" spans="1:41" hidden="1" outlineLevel="1" x14ac:dyDescent="0.3">
      <c r="A218" s="146">
        <f t="shared" si="122"/>
        <v>196</v>
      </c>
      <c r="B218" s="147">
        <f t="shared" si="115"/>
        <v>89</v>
      </c>
      <c r="C218" s="147">
        <f t="shared" si="114"/>
        <v>271</v>
      </c>
      <c r="D218" s="149">
        <f t="shared" si="123"/>
        <v>111370820.96195555</v>
      </c>
      <c r="E218" s="149">
        <f t="shared" si="124"/>
        <v>1559413.6052452552</v>
      </c>
      <c r="F218" s="149">
        <f t="shared" si="116"/>
        <v>563972.06326440512</v>
      </c>
      <c r="G218" s="149">
        <f t="shared" si="117"/>
        <v>545172.99448892486</v>
      </c>
      <c r="H218" s="149">
        <f t="shared" si="125"/>
        <v>18799.068775480264</v>
      </c>
      <c r="I218" s="149">
        <f t="shared" si="126"/>
        <v>995441.54198085004</v>
      </c>
      <c r="J218" s="147">
        <f t="shared" si="127"/>
        <v>4.4999999999999998E-2</v>
      </c>
      <c r="K218" s="175">
        <f t="shared" si="118"/>
        <v>3.8296430163020645E-3</v>
      </c>
      <c r="L218" s="149">
        <f t="shared" si="128"/>
        <v>428150.1489446151</v>
      </c>
      <c r="M218" s="149">
        <f t="shared" si="129"/>
        <v>1968764.6854143899</v>
      </c>
      <c r="N218" s="149">
        <f t="shared" si="130"/>
        <v>1423591.6909254652</v>
      </c>
      <c r="P218" s="149">
        <f t="shared" si="131"/>
        <v>0</v>
      </c>
      <c r="Q218" s="149">
        <f t="shared" si="132"/>
        <v>0</v>
      </c>
      <c r="R218" s="178">
        <f t="shared" si="133"/>
        <v>0</v>
      </c>
      <c r="S218" s="113">
        <f t="shared" si="134"/>
        <v>0</v>
      </c>
      <c r="T218" s="113">
        <f t="shared" si="119"/>
        <v>0</v>
      </c>
      <c r="U218" s="114">
        <f t="shared" si="135"/>
        <v>32.666666666666664</v>
      </c>
      <c r="V218" s="114">
        <f t="shared" si="136"/>
        <v>0</v>
      </c>
      <c r="W218" s="114">
        <f t="shared" si="137"/>
        <v>1099.7777777777776</v>
      </c>
      <c r="X218" s="114"/>
      <c r="Y218" s="149">
        <f t="shared" si="138"/>
        <v>0</v>
      </c>
      <c r="Z218" s="149">
        <f t="shared" si="139"/>
        <v>0</v>
      </c>
      <c r="AA218" s="178">
        <f t="shared" si="140"/>
        <v>0</v>
      </c>
      <c r="AB218" s="113">
        <f t="shared" si="141"/>
        <v>0</v>
      </c>
      <c r="AC218" s="113">
        <f t="shared" si="120"/>
        <v>0</v>
      </c>
      <c r="AD218" s="114">
        <f t="shared" si="142"/>
        <v>32.666666666666664</v>
      </c>
      <c r="AE218" s="114">
        <f t="shared" si="143"/>
        <v>0</v>
      </c>
      <c r="AF218" s="114">
        <f t="shared" si="144"/>
        <v>1099.7777777777776</v>
      </c>
      <c r="AG218" s="114"/>
      <c r="AH218" s="176">
        <f t="shared" si="145"/>
        <v>111370820.96195562</v>
      </c>
      <c r="AI218" s="176">
        <f t="shared" si="146"/>
        <v>545172.99448892532</v>
      </c>
      <c r="AJ218" s="178">
        <f t="shared" si="147"/>
        <v>1423591.6909254652</v>
      </c>
      <c r="AK218" s="113">
        <f t="shared" si="148"/>
        <v>1968764.6854143906</v>
      </c>
      <c r="AL218" s="113">
        <f t="shared" si="121"/>
        <v>767677.01705894142</v>
      </c>
      <c r="AM218" s="114">
        <f t="shared" si="149"/>
        <v>32.666666666666664</v>
      </c>
      <c r="AN218" s="114">
        <f t="shared" si="150"/>
        <v>7.6518599079052349E-3</v>
      </c>
      <c r="AO218" s="114">
        <f t="shared" si="151"/>
        <v>1099.7777777777776</v>
      </c>
    </row>
    <row r="219" spans="1:41" hidden="1" outlineLevel="1" x14ac:dyDescent="0.3">
      <c r="A219" s="146">
        <f t="shared" si="122"/>
        <v>197</v>
      </c>
      <c r="B219" s="147">
        <f t="shared" si="115"/>
        <v>88</v>
      </c>
      <c r="C219" s="147">
        <f t="shared" si="114"/>
        <v>272</v>
      </c>
      <c r="D219" s="149">
        <f t="shared" si="123"/>
        <v>109951539.54659718</v>
      </c>
      <c r="E219" s="149">
        <f t="shared" si="124"/>
        <v>1553441.6078224012</v>
      </c>
      <c r="F219" s="149">
        <f t="shared" si="116"/>
        <v>556854.10480977769</v>
      </c>
      <c r="G219" s="149">
        <f t="shared" si="117"/>
        <v>538292.30131611845</v>
      </c>
      <c r="H219" s="149">
        <f t="shared" si="125"/>
        <v>18561.803493659245</v>
      </c>
      <c r="I219" s="149">
        <f t="shared" si="126"/>
        <v>996587.50301262352</v>
      </c>
      <c r="J219" s="147">
        <f t="shared" si="127"/>
        <v>4.4999999999999998E-2</v>
      </c>
      <c r="K219" s="175">
        <f t="shared" si="118"/>
        <v>3.8296430163020645E-3</v>
      </c>
      <c r="L219" s="149">
        <f t="shared" si="128"/>
        <v>422693.91234573442</v>
      </c>
      <c r="M219" s="149">
        <f t="shared" si="129"/>
        <v>1957573.7166744764</v>
      </c>
      <c r="N219" s="149">
        <f t="shared" si="130"/>
        <v>1419281.4153583581</v>
      </c>
      <c r="P219" s="149">
        <f t="shared" si="131"/>
        <v>0</v>
      </c>
      <c r="Q219" s="149">
        <f t="shared" si="132"/>
        <v>0</v>
      </c>
      <c r="R219" s="178">
        <f t="shared" si="133"/>
        <v>0</v>
      </c>
      <c r="S219" s="113">
        <f t="shared" si="134"/>
        <v>0</v>
      </c>
      <c r="T219" s="113">
        <f t="shared" si="119"/>
        <v>0</v>
      </c>
      <c r="U219" s="114">
        <f t="shared" si="135"/>
        <v>32.833333333333336</v>
      </c>
      <c r="V219" s="114">
        <f t="shared" si="136"/>
        <v>0</v>
      </c>
      <c r="W219" s="114">
        <f t="shared" si="137"/>
        <v>1110.8611111111113</v>
      </c>
      <c r="X219" s="114"/>
      <c r="Y219" s="149">
        <f t="shared" si="138"/>
        <v>0</v>
      </c>
      <c r="Z219" s="149">
        <f t="shared" si="139"/>
        <v>0</v>
      </c>
      <c r="AA219" s="178">
        <f t="shared" si="140"/>
        <v>0</v>
      </c>
      <c r="AB219" s="113">
        <f t="shared" si="141"/>
        <v>0</v>
      </c>
      <c r="AC219" s="113">
        <f t="shared" si="120"/>
        <v>0</v>
      </c>
      <c r="AD219" s="114">
        <f t="shared" si="142"/>
        <v>32.833333333333336</v>
      </c>
      <c r="AE219" s="114">
        <f t="shared" si="143"/>
        <v>0</v>
      </c>
      <c r="AF219" s="114">
        <f t="shared" si="144"/>
        <v>1110.8611111111113</v>
      </c>
      <c r="AG219" s="114"/>
      <c r="AH219" s="176">
        <f t="shared" si="145"/>
        <v>109951539.54659726</v>
      </c>
      <c r="AI219" s="176">
        <f t="shared" si="146"/>
        <v>538292.30131611892</v>
      </c>
      <c r="AJ219" s="178">
        <f t="shared" si="147"/>
        <v>1419281.4153583581</v>
      </c>
      <c r="AK219" s="113">
        <f t="shared" si="148"/>
        <v>1957573.7166744769</v>
      </c>
      <c r="AL219" s="113">
        <f t="shared" si="121"/>
        <v>759654.37059777614</v>
      </c>
      <c r="AM219" s="114">
        <f t="shared" si="149"/>
        <v>32.833333333333336</v>
      </c>
      <c r="AN219" s="114">
        <f t="shared" si="150"/>
        <v>7.5718937692201491E-3</v>
      </c>
      <c r="AO219" s="114">
        <f t="shared" si="151"/>
        <v>1110.8611111111113</v>
      </c>
    </row>
    <row r="220" spans="1:41" hidden="1" outlineLevel="1" x14ac:dyDescent="0.3">
      <c r="A220" s="146">
        <f t="shared" si="122"/>
        <v>198</v>
      </c>
      <c r="B220" s="147">
        <f t="shared" si="115"/>
        <v>87</v>
      </c>
      <c r="C220" s="147">
        <f t="shared" si="114"/>
        <v>273</v>
      </c>
      <c r="D220" s="149">
        <f t="shared" si="123"/>
        <v>108536550.58580104</v>
      </c>
      <c r="E220" s="149">
        <f t="shared" si="124"/>
        <v>1547492.4810177712</v>
      </c>
      <c r="F220" s="149">
        <f t="shared" si="116"/>
        <v>549757.69773298595</v>
      </c>
      <c r="G220" s="149">
        <f t="shared" si="117"/>
        <v>531432.4411418864</v>
      </c>
      <c r="H220" s="149">
        <f t="shared" si="125"/>
        <v>18325.256591099547</v>
      </c>
      <c r="I220" s="149">
        <f t="shared" si="126"/>
        <v>997734.78328478523</v>
      </c>
      <c r="J220" s="147">
        <f t="shared" si="127"/>
        <v>4.4999999999999998E-2</v>
      </c>
      <c r="K220" s="175">
        <f t="shared" si="118"/>
        <v>3.8296430163020645E-3</v>
      </c>
      <c r="L220" s="149">
        <f t="shared" si="128"/>
        <v>417254.17751135794</v>
      </c>
      <c r="M220" s="149">
        <f t="shared" si="129"/>
        <v>1946421.4019380296</v>
      </c>
      <c r="N220" s="149">
        <f t="shared" si="130"/>
        <v>1414988.9607961432</v>
      </c>
      <c r="P220" s="149">
        <f t="shared" si="131"/>
        <v>0</v>
      </c>
      <c r="Q220" s="149">
        <f t="shared" si="132"/>
        <v>0</v>
      </c>
      <c r="R220" s="178">
        <f t="shared" si="133"/>
        <v>0</v>
      </c>
      <c r="S220" s="113">
        <f t="shared" si="134"/>
        <v>0</v>
      </c>
      <c r="T220" s="113">
        <f t="shared" si="119"/>
        <v>0</v>
      </c>
      <c r="U220" s="114">
        <f t="shared" si="135"/>
        <v>33</v>
      </c>
      <c r="V220" s="114">
        <f t="shared" si="136"/>
        <v>0</v>
      </c>
      <c r="W220" s="114">
        <f t="shared" si="137"/>
        <v>1122</v>
      </c>
      <c r="X220" s="114"/>
      <c r="Y220" s="149">
        <f t="shared" si="138"/>
        <v>0</v>
      </c>
      <c r="Z220" s="149">
        <f t="shared" si="139"/>
        <v>0</v>
      </c>
      <c r="AA220" s="178">
        <f t="shared" si="140"/>
        <v>0</v>
      </c>
      <c r="AB220" s="113">
        <f t="shared" si="141"/>
        <v>0</v>
      </c>
      <c r="AC220" s="113">
        <f t="shared" si="120"/>
        <v>0</v>
      </c>
      <c r="AD220" s="114">
        <f t="shared" si="142"/>
        <v>33</v>
      </c>
      <c r="AE220" s="114">
        <f t="shared" si="143"/>
        <v>0</v>
      </c>
      <c r="AF220" s="114">
        <f t="shared" si="144"/>
        <v>1122</v>
      </c>
      <c r="AG220" s="114"/>
      <c r="AH220" s="176">
        <f t="shared" si="145"/>
        <v>108536550.58580111</v>
      </c>
      <c r="AI220" s="176">
        <f t="shared" si="146"/>
        <v>531432.44114188675</v>
      </c>
      <c r="AJ220" s="178">
        <f t="shared" si="147"/>
        <v>1414988.9607961432</v>
      </c>
      <c r="AK220" s="113">
        <f t="shared" si="148"/>
        <v>1946421.40193803</v>
      </c>
      <c r="AL220" s="113">
        <f t="shared" si="121"/>
        <v>751705.9263043917</v>
      </c>
      <c r="AM220" s="114">
        <f t="shared" si="149"/>
        <v>33</v>
      </c>
      <c r="AN220" s="114">
        <f t="shared" si="150"/>
        <v>7.4926672444353163E-3</v>
      </c>
      <c r="AO220" s="114">
        <f t="shared" si="151"/>
        <v>1122</v>
      </c>
    </row>
    <row r="221" spans="1:41" hidden="1" outlineLevel="1" x14ac:dyDescent="0.3">
      <c r="A221" s="146">
        <f t="shared" si="122"/>
        <v>199</v>
      </c>
      <c r="B221" s="147">
        <f t="shared" si="115"/>
        <v>86</v>
      </c>
      <c r="C221" s="147">
        <f t="shared" si="114"/>
        <v>274</v>
      </c>
      <c r="D221" s="149">
        <f t="shared" si="123"/>
        <v>107125836.3252974</v>
      </c>
      <c r="E221" s="149">
        <f t="shared" si="124"/>
        <v>1541566.1372450616</v>
      </c>
      <c r="F221" s="149">
        <f t="shared" si="116"/>
        <v>542682.75292900519</v>
      </c>
      <c r="G221" s="149">
        <f t="shared" si="117"/>
        <v>524593.32783137169</v>
      </c>
      <c r="H221" s="149">
        <f t="shared" si="125"/>
        <v>18089.425097633502</v>
      </c>
      <c r="I221" s="149">
        <f t="shared" si="126"/>
        <v>998883.38431605638</v>
      </c>
      <c r="J221" s="147">
        <f t="shared" si="127"/>
        <v>4.4999999999999998E-2</v>
      </c>
      <c r="K221" s="175">
        <f t="shared" si="118"/>
        <v>3.8296430163020645E-3</v>
      </c>
      <c r="L221" s="149">
        <f t="shared" si="128"/>
        <v>411830.8761875825</v>
      </c>
      <c r="M221" s="149">
        <f t="shared" si="129"/>
        <v>1935307.5883350107</v>
      </c>
      <c r="N221" s="149">
        <f t="shared" si="130"/>
        <v>1410714.260503639</v>
      </c>
      <c r="P221" s="149">
        <f t="shared" si="131"/>
        <v>0</v>
      </c>
      <c r="Q221" s="149">
        <f t="shared" si="132"/>
        <v>0</v>
      </c>
      <c r="R221" s="178">
        <f t="shared" si="133"/>
        <v>0</v>
      </c>
      <c r="S221" s="113">
        <f t="shared" si="134"/>
        <v>0</v>
      </c>
      <c r="T221" s="113">
        <f t="shared" si="119"/>
        <v>0</v>
      </c>
      <c r="U221" s="114">
        <f t="shared" si="135"/>
        <v>33.166666666666664</v>
      </c>
      <c r="V221" s="114">
        <f t="shared" si="136"/>
        <v>0</v>
      </c>
      <c r="W221" s="114">
        <f t="shared" si="137"/>
        <v>1133.1944444444443</v>
      </c>
      <c r="X221" s="114"/>
      <c r="Y221" s="149">
        <f t="shared" si="138"/>
        <v>0</v>
      </c>
      <c r="Z221" s="149">
        <f t="shared" si="139"/>
        <v>0</v>
      </c>
      <c r="AA221" s="178">
        <f t="shared" si="140"/>
        <v>0</v>
      </c>
      <c r="AB221" s="113">
        <f t="shared" si="141"/>
        <v>0</v>
      </c>
      <c r="AC221" s="113">
        <f t="shared" si="120"/>
        <v>0</v>
      </c>
      <c r="AD221" s="114">
        <f t="shared" si="142"/>
        <v>33.166666666666664</v>
      </c>
      <c r="AE221" s="114">
        <f t="shared" si="143"/>
        <v>0</v>
      </c>
      <c r="AF221" s="114">
        <f t="shared" si="144"/>
        <v>1133.1944444444443</v>
      </c>
      <c r="AG221" s="114"/>
      <c r="AH221" s="176">
        <f t="shared" si="145"/>
        <v>107125836.32529747</v>
      </c>
      <c r="AI221" s="176">
        <f t="shared" si="146"/>
        <v>524593.32783137204</v>
      </c>
      <c r="AJ221" s="178">
        <f t="shared" si="147"/>
        <v>1410714.260503639</v>
      </c>
      <c r="AK221" s="113">
        <f t="shared" si="148"/>
        <v>1935307.5883350112</v>
      </c>
      <c r="AL221" s="113">
        <f t="shared" si="121"/>
        <v>743831.02682757424</v>
      </c>
      <c r="AM221" s="114">
        <f t="shared" si="149"/>
        <v>33.166666666666664</v>
      </c>
      <c r="AN221" s="114">
        <f t="shared" si="150"/>
        <v>7.4141737813689127E-3</v>
      </c>
      <c r="AO221" s="114">
        <f t="shared" si="151"/>
        <v>1133.1944444444443</v>
      </c>
    </row>
    <row r="222" spans="1:41" hidden="1" outlineLevel="1" x14ac:dyDescent="0.3">
      <c r="A222" s="146">
        <f t="shared" si="122"/>
        <v>200</v>
      </c>
      <c r="B222" s="147">
        <f t="shared" si="115"/>
        <v>85</v>
      </c>
      <c r="C222" s="147">
        <f t="shared" si="114"/>
        <v>275</v>
      </c>
      <c r="D222" s="149">
        <f t="shared" si="123"/>
        <v>105719379.07729442</v>
      </c>
      <c r="E222" s="149">
        <f t="shared" si="124"/>
        <v>1535662.4892533934</v>
      </c>
      <c r="F222" s="149">
        <f t="shared" si="116"/>
        <v>535629.18162648706</v>
      </c>
      <c r="G222" s="149">
        <f t="shared" si="117"/>
        <v>517774.87557227077</v>
      </c>
      <c r="H222" s="149">
        <f t="shared" si="125"/>
        <v>17854.306054216286</v>
      </c>
      <c r="I222" s="149">
        <f t="shared" si="126"/>
        <v>1000033.3076269063</v>
      </c>
      <c r="J222" s="147">
        <f t="shared" si="127"/>
        <v>4.4999999999999998E-2</v>
      </c>
      <c r="K222" s="175">
        <f t="shared" si="118"/>
        <v>3.8296430163020645E-3</v>
      </c>
      <c r="L222" s="149">
        <f t="shared" si="128"/>
        <v>406423.94037607039</v>
      </c>
      <c r="M222" s="149">
        <f t="shared" si="129"/>
        <v>1924232.1235752474</v>
      </c>
      <c r="N222" s="149">
        <f t="shared" si="130"/>
        <v>1406457.2480029766</v>
      </c>
      <c r="P222" s="149">
        <f t="shared" si="131"/>
        <v>0</v>
      </c>
      <c r="Q222" s="149">
        <f t="shared" si="132"/>
        <v>0</v>
      </c>
      <c r="R222" s="178">
        <f t="shared" si="133"/>
        <v>0</v>
      </c>
      <c r="S222" s="113">
        <f t="shared" si="134"/>
        <v>0</v>
      </c>
      <c r="T222" s="113">
        <f t="shared" si="119"/>
        <v>0</v>
      </c>
      <c r="U222" s="114">
        <f t="shared" si="135"/>
        <v>33.333333333333336</v>
      </c>
      <c r="V222" s="114">
        <f t="shared" si="136"/>
        <v>0</v>
      </c>
      <c r="W222" s="114">
        <f t="shared" si="137"/>
        <v>1144.4444444444446</v>
      </c>
      <c r="X222" s="114"/>
      <c r="Y222" s="149">
        <f t="shared" si="138"/>
        <v>0</v>
      </c>
      <c r="Z222" s="149">
        <f t="shared" si="139"/>
        <v>0</v>
      </c>
      <c r="AA222" s="178">
        <f t="shared" si="140"/>
        <v>0</v>
      </c>
      <c r="AB222" s="113">
        <f t="shared" si="141"/>
        <v>0</v>
      </c>
      <c r="AC222" s="113">
        <f t="shared" si="120"/>
        <v>0</v>
      </c>
      <c r="AD222" s="114">
        <f t="shared" si="142"/>
        <v>33.333333333333336</v>
      </c>
      <c r="AE222" s="114">
        <f t="shared" si="143"/>
        <v>0</v>
      </c>
      <c r="AF222" s="114">
        <f t="shared" si="144"/>
        <v>1144.4444444444446</v>
      </c>
      <c r="AG222" s="114"/>
      <c r="AH222" s="176">
        <f t="shared" si="145"/>
        <v>105719379.0772945</v>
      </c>
      <c r="AI222" s="176">
        <f t="shared" si="146"/>
        <v>517774.87557227118</v>
      </c>
      <c r="AJ222" s="178">
        <f t="shared" si="147"/>
        <v>1406457.2480029766</v>
      </c>
      <c r="AK222" s="113">
        <f t="shared" si="148"/>
        <v>1924232.1235752478</v>
      </c>
      <c r="AL222" s="113">
        <f t="shared" si="121"/>
        <v>736029.02054127899</v>
      </c>
      <c r="AM222" s="114">
        <f t="shared" si="149"/>
        <v>33.333333333333336</v>
      </c>
      <c r="AN222" s="114">
        <f t="shared" si="150"/>
        <v>7.336406884905027E-3</v>
      </c>
      <c r="AO222" s="114">
        <f t="shared" si="151"/>
        <v>1144.4444444444446</v>
      </c>
    </row>
    <row r="223" spans="1:41" hidden="1" outlineLevel="1" x14ac:dyDescent="0.3">
      <c r="A223" s="146">
        <f t="shared" si="122"/>
        <v>201</v>
      </c>
      <c r="B223" s="147">
        <f t="shared" si="115"/>
        <v>84</v>
      </c>
      <c r="C223" s="147">
        <f t="shared" si="114"/>
        <v>276</v>
      </c>
      <c r="D223" s="149">
        <f t="shared" si="123"/>
        <v>104317161.22022182</v>
      </c>
      <c r="E223" s="149">
        <f t="shared" si="124"/>
        <v>1529781.450126027</v>
      </c>
      <c r="F223" s="149">
        <f t="shared" si="116"/>
        <v>528596.89538647211</v>
      </c>
      <c r="G223" s="149">
        <f t="shared" si="117"/>
        <v>510976.99887358974</v>
      </c>
      <c r="H223" s="149">
        <f t="shared" si="125"/>
        <v>17619.896512882377</v>
      </c>
      <c r="I223" s="149">
        <f t="shared" si="126"/>
        <v>1001184.5547395549</v>
      </c>
      <c r="J223" s="147">
        <f t="shared" si="127"/>
        <v>4.4999999999999998E-2</v>
      </c>
      <c r="K223" s="175">
        <f t="shared" si="118"/>
        <v>3.8296430163020645E-3</v>
      </c>
      <c r="L223" s="149">
        <f t="shared" si="128"/>
        <v>401033.30233306339</v>
      </c>
      <c r="M223" s="149">
        <f t="shared" si="129"/>
        <v>1913194.8559462081</v>
      </c>
      <c r="N223" s="149">
        <f t="shared" si="130"/>
        <v>1402217.8570726183</v>
      </c>
      <c r="P223" s="149">
        <f t="shared" si="131"/>
        <v>0</v>
      </c>
      <c r="Q223" s="149">
        <f t="shared" si="132"/>
        <v>0</v>
      </c>
      <c r="R223" s="178">
        <f t="shared" si="133"/>
        <v>0</v>
      </c>
      <c r="S223" s="113">
        <f t="shared" si="134"/>
        <v>0</v>
      </c>
      <c r="T223" s="113">
        <f t="shared" si="119"/>
        <v>0</v>
      </c>
      <c r="U223" s="114">
        <f t="shared" si="135"/>
        <v>33.5</v>
      </c>
      <c r="V223" s="114">
        <f t="shared" si="136"/>
        <v>0</v>
      </c>
      <c r="W223" s="114">
        <f t="shared" si="137"/>
        <v>1155.75</v>
      </c>
      <c r="X223" s="114"/>
      <c r="Y223" s="149">
        <f t="shared" si="138"/>
        <v>0</v>
      </c>
      <c r="Z223" s="149">
        <f t="shared" si="139"/>
        <v>0</v>
      </c>
      <c r="AA223" s="178">
        <f t="shared" si="140"/>
        <v>0</v>
      </c>
      <c r="AB223" s="113">
        <f t="shared" si="141"/>
        <v>0</v>
      </c>
      <c r="AC223" s="113">
        <f t="shared" si="120"/>
        <v>0</v>
      </c>
      <c r="AD223" s="114">
        <f t="shared" si="142"/>
        <v>33.5</v>
      </c>
      <c r="AE223" s="114">
        <f t="shared" si="143"/>
        <v>0</v>
      </c>
      <c r="AF223" s="114">
        <f t="shared" si="144"/>
        <v>1155.75</v>
      </c>
      <c r="AG223" s="114"/>
      <c r="AH223" s="176">
        <f t="shared" si="145"/>
        <v>104317161.22022188</v>
      </c>
      <c r="AI223" s="176">
        <f t="shared" si="146"/>
        <v>510976.99887359008</v>
      </c>
      <c r="AJ223" s="178">
        <f t="shared" si="147"/>
        <v>1402217.8570726183</v>
      </c>
      <c r="AK223" s="113">
        <f t="shared" si="148"/>
        <v>1913194.8559462084</v>
      </c>
      <c r="AL223" s="113">
        <f t="shared" si="121"/>
        <v>728299.26149511745</v>
      </c>
      <c r="AM223" s="114">
        <f t="shared" si="149"/>
        <v>33.5</v>
      </c>
      <c r="AN223" s="114">
        <f t="shared" si="150"/>
        <v>7.259360116500144E-3</v>
      </c>
      <c r="AO223" s="114">
        <f t="shared" si="151"/>
        <v>1155.75</v>
      </c>
    </row>
    <row r="224" spans="1:41" hidden="1" outlineLevel="1" x14ac:dyDescent="0.3">
      <c r="A224" s="146">
        <f t="shared" si="122"/>
        <v>202</v>
      </c>
      <c r="B224" s="147">
        <f t="shared" si="115"/>
        <v>83</v>
      </c>
      <c r="C224" s="147">
        <f t="shared" si="114"/>
        <v>277</v>
      </c>
      <c r="D224" s="149">
        <f t="shared" si="123"/>
        <v>102919165.19847545</v>
      </c>
      <c r="E224" s="149">
        <f t="shared" si="124"/>
        <v>1523922.9332790833</v>
      </c>
      <c r="F224" s="149">
        <f t="shared" si="116"/>
        <v>521585.80610110908</v>
      </c>
      <c r="G224" s="149">
        <f t="shared" si="117"/>
        <v>504199.61256440548</v>
      </c>
      <c r="H224" s="149">
        <f t="shared" si="125"/>
        <v>17386.193536703591</v>
      </c>
      <c r="I224" s="149">
        <f t="shared" si="126"/>
        <v>1002337.1271779742</v>
      </c>
      <c r="J224" s="147">
        <f t="shared" si="127"/>
        <v>4.4999999999999998E-2</v>
      </c>
      <c r="K224" s="175">
        <f t="shared" si="118"/>
        <v>3.8296430163020645E-3</v>
      </c>
      <c r="L224" s="149">
        <f t="shared" si="128"/>
        <v>395658.89456840162</v>
      </c>
      <c r="M224" s="149">
        <f t="shared" si="129"/>
        <v>1902195.6343107813</v>
      </c>
      <c r="N224" s="149">
        <f t="shared" si="130"/>
        <v>1397996.0217463758</v>
      </c>
      <c r="P224" s="149">
        <f t="shared" si="131"/>
        <v>0</v>
      </c>
      <c r="Q224" s="149">
        <f t="shared" si="132"/>
        <v>0</v>
      </c>
      <c r="R224" s="178">
        <f t="shared" si="133"/>
        <v>0</v>
      </c>
      <c r="S224" s="113">
        <f t="shared" si="134"/>
        <v>0</v>
      </c>
      <c r="T224" s="113">
        <f t="shared" si="119"/>
        <v>0</v>
      </c>
      <c r="U224" s="114">
        <f t="shared" si="135"/>
        <v>33.666666666666664</v>
      </c>
      <c r="V224" s="114">
        <f t="shared" si="136"/>
        <v>0</v>
      </c>
      <c r="W224" s="114">
        <f t="shared" si="137"/>
        <v>1167.1111111111109</v>
      </c>
      <c r="X224" s="114"/>
      <c r="Y224" s="149">
        <f t="shared" si="138"/>
        <v>0</v>
      </c>
      <c r="Z224" s="149">
        <f t="shared" si="139"/>
        <v>0</v>
      </c>
      <c r="AA224" s="178">
        <f t="shared" si="140"/>
        <v>0</v>
      </c>
      <c r="AB224" s="113">
        <f t="shared" si="141"/>
        <v>0</v>
      </c>
      <c r="AC224" s="113">
        <f t="shared" si="120"/>
        <v>0</v>
      </c>
      <c r="AD224" s="114">
        <f t="shared" si="142"/>
        <v>33.666666666666664</v>
      </c>
      <c r="AE224" s="114">
        <f t="shared" si="143"/>
        <v>0</v>
      </c>
      <c r="AF224" s="114">
        <f t="shared" si="144"/>
        <v>1167.1111111111109</v>
      </c>
      <c r="AG224" s="114"/>
      <c r="AH224" s="176">
        <f t="shared" si="145"/>
        <v>102919165.19847549</v>
      </c>
      <c r="AI224" s="176">
        <f t="shared" si="146"/>
        <v>504199.61256440578</v>
      </c>
      <c r="AJ224" s="178">
        <f t="shared" si="147"/>
        <v>1397996.0217463758</v>
      </c>
      <c r="AK224" s="113">
        <f t="shared" si="148"/>
        <v>1902195.6343107815</v>
      </c>
      <c r="AL224" s="113">
        <f t="shared" si="121"/>
        <v>720641.10936526756</v>
      </c>
      <c r="AM224" s="114">
        <f t="shared" si="149"/>
        <v>33.666666666666664</v>
      </c>
      <c r="AN224" s="114">
        <f t="shared" si="150"/>
        <v>7.1830270936938381E-3</v>
      </c>
      <c r="AO224" s="114">
        <f t="shared" si="151"/>
        <v>1167.1111111111109</v>
      </c>
    </row>
    <row r="225" spans="1:41" hidden="1" outlineLevel="1" x14ac:dyDescent="0.3">
      <c r="A225" s="146">
        <f t="shared" si="122"/>
        <v>203</v>
      </c>
      <c r="B225" s="147">
        <f t="shared" si="115"/>
        <v>82</v>
      </c>
      <c r="C225" s="147">
        <f t="shared" si="114"/>
        <v>278</v>
      </c>
      <c r="D225" s="149">
        <f t="shared" si="123"/>
        <v>101525373.52216302</v>
      </c>
      <c r="E225" s="149">
        <f t="shared" si="124"/>
        <v>1518086.8524602687</v>
      </c>
      <c r="F225" s="149">
        <f t="shared" si="116"/>
        <v>514595.82599237724</v>
      </c>
      <c r="G225" s="149">
        <f t="shared" si="117"/>
        <v>497442.63179263135</v>
      </c>
      <c r="H225" s="149">
        <f t="shared" si="125"/>
        <v>17153.194199745893</v>
      </c>
      <c r="I225" s="149">
        <f t="shared" si="126"/>
        <v>1003491.0264678914</v>
      </c>
      <c r="J225" s="147">
        <f t="shared" si="127"/>
        <v>4.4999999999999998E-2</v>
      </c>
      <c r="K225" s="175">
        <f t="shared" si="118"/>
        <v>3.8296430163020645E-3</v>
      </c>
      <c r="L225" s="149">
        <f t="shared" si="128"/>
        <v>390300.64984454546</v>
      </c>
      <c r="M225" s="149">
        <f t="shared" si="129"/>
        <v>1891234.3081050683</v>
      </c>
      <c r="N225" s="149">
        <f t="shared" si="130"/>
        <v>1393791.6763124368</v>
      </c>
      <c r="P225" s="149">
        <f t="shared" si="131"/>
        <v>0</v>
      </c>
      <c r="Q225" s="149">
        <f t="shared" si="132"/>
        <v>0</v>
      </c>
      <c r="R225" s="178">
        <f t="shared" si="133"/>
        <v>0</v>
      </c>
      <c r="S225" s="113">
        <f t="shared" si="134"/>
        <v>0</v>
      </c>
      <c r="T225" s="113">
        <f t="shared" si="119"/>
        <v>0</v>
      </c>
      <c r="U225" s="114">
        <f t="shared" si="135"/>
        <v>33.833333333333336</v>
      </c>
      <c r="V225" s="114">
        <f t="shared" si="136"/>
        <v>0</v>
      </c>
      <c r="W225" s="114">
        <f t="shared" si="137"/>
        <v>1178.5277777777778</v>
      </c>
      <c r="X225" s="114"/>
      <c r="Y225" s="149">
        <f t="shared" si="138"/>
        <v>0</v>
      </c>
      <c r="Z225" s="149">
        <f t="shared" si="139"/>
        <v>0</v>
      </c>
      <c r="AA225" s="178">
        <f t="shared" si="140"/>
        <v>0</v>
      </c>
      <c r="AB225" s="113">
        <f t="shared" si="141"/>
        <v>0</v>
      </c>
      <c r="AC225" s="113">
        <f t="shared" si="120"/>
        <v>0</v>
      </c>
      <c r="AD225" s="114">
        <f t="shared" si="142"/>
        <v>33.833333333333336</v>
      </c>
      <c r="AE225" s="114">
        <f t="shared" si="143"/>
        <v>0</v>
      </c>
      <c r="AF225" s="114">
        <f t="shared" si="144"/>
        <v>1178.5277777777778</v>
      </c>
      <c r="AG225" s="114"/>
      <c r="AH225" s="176">
        <f t="shared" si="145"/>
        <v>101525373.52216306</v>
      </c>
      <c r="AI225" s="176">
        <f t="shared" si="146"/>
        <v>497442.63179263158</v>
      </c>
      <c r="AJ225" s="178">
        <f t="shared" si="147"/>
        <v>1393791.6763124368</v>
      </c>
      <c r="AK225" s="113">
        <f t="shared" si="148"/>
        <v>1891234.3081050683</v>
      </c>
      <c r="AL225" s="113">
        <f t="shared" si="121"/>
        <v>713053.92940580938</v>
      </c>
      <c r="AM225" s="114">
        <f t="shared" si="149"/>
        <v>33.833333333333336</v>
      </c>
      <c r="AN225" s="114">
        <f t="shared" si="150"/>
        <v>7.1074014896237046E-3</v>
      </c>
      <c r="AO225" s="114">
        <f t="shared" si="151"/>
        <v>1178.5277777777778</v>
      </c>
    </row>
    <row r="226" spans="1:41" hidden="1" outlineLevel="1" x14ac:dyDescent="0.3">
      <c r="A226" s="146">
        <f t="shared" si="122"/>
        <v>204</v>
      </c>
      <c r="B226" s="147">
        <f t="shared" si="115"/>
        <v>81</v>
      </c>
      <c r="C226" s="147">
        <f t="shared" si="114"/>
        <v>279</v>
      </c>
      <c r="D226" s="149">
        <f t="shared" si="123"/>
        <v>100135768.76685064</v>
      </c>
      <c r="E226" s="149">
        <f t="shared" si="124"/>
        <v>1512273.1217476041</v>
      </c>
      <c r="F226" s="149">
        <f t="shared" si="116"/>
        <v>507626.8676108151</v>
      </c>
      <c r="G226" s="149">
        <f t="shared" si="117"/>
        <v>490705.97202378797</v>
      </c>
      <c r="H226" s="149">
        <f t="shared" si="125"/>
        <v>16920.895587027131</v>
      </c>
      <c r="I226" s="149">
        <f t="shared" si="126"/>
        <v>1004646.254136789</v>
      </c>
      <c r="J226" s="147">
        <f t="shared" si="127"/>
        <v>4.4999999999999998E-2</v>
      </c>
      <c r="K226" s="175">
        <f t="shared" si="118"/>
        <v>3.8296430163020645E-3</v>
      </c>
      <c r="L226" s="149">
        <f t="shared" si="128"/>
        <v>384958.50117560115</v>
      </c>
      <c r="M226" s="149">
        <f t="shared" si="129"/>
        <v>1880310.7273361781</v>
      </c>
      <c r="N226" s="149">
        <f t="shared" si="130"/>
        <v>1389604.7553123902</v>
      </c>
      <c r="P226" s="149">
        <f t="shared" si="131"/>
        <v>0</v>
      </c>
      <c r="Q226" s="149">
        <f t="shared" si="132"/>
        <v>0</v>
      </c>
      <c r="R226" s="178">
        <f t="shared" si="133"/>
        <v>0</v>
      </c>
      <c r="S226" s="113">
        <f t="shared" si="134"/>
        <v>0</v>
      </c>
      <c r="T226" s="113">
        <f t="shared" si="119"/>
        <v>0</v>
      </c>
      <c r="U226" s="114">
        <f t="shared" si="135"/>
        <v>34</v>
      </c>
      <c r="V226" s="114">
        <f t="shared" si="136"/>
        <v>0</v>
      </c>
      <c r="W226" s="114">
        <f t="shared" si="137"/>
        <v>1190</v>
      </c>
      <c r="X226" s="114"/>
      <c r="Y226" s="149">
        <f t="shared" si="138"/>
        <v>0</v>
      </c>
      <c r="Z226" s="149">
        <f t="shared" si="139"/>
        <v>0</v>
      </c>
      <c r="AA226" s="178">
        <f t="shared" si="140"/>
        <v>0</v>
      </c>
      <c r="AB226" s="113">
        <f t="shared" si="141"/>
        <v>0</v>
      </c>
      <c r="AC226" s="113">
        <f t="shared" si="120"/>
        <v>0</v>
      </c>
      <c r="AD226" s="114">
        <f t="shared" si="142"/>
        <v>34</v>
      </c>
      <c r="AE226" s="114">
        <f t="shared" si="143"/>
        <v>0</v>
      </c>
      <c r="AF226" s="114">
        <f t="shared" si="144"/>
        <v>1190</v>
      </c>
      <c r="AG226" s="114"/>
      <c r="AH226" s="176">
        <f t="shared" si="145"/>
        <v>100135768.76685068</v>
      </c>
      <c r="AI226" s="176">
        <f t="shared" si="146"/>
        <v>490705.97202378814</v>
      </c>
      <c r="AJ226" s="178">
        <f t="shared" si="147"/>
        <v>1389604.7553123902</v>
      </c>
      <c r="AK226" s="113">
        <f t="shared" si="148"/>
        <v>1880310.7273361783</v>
      </c>
      <c r="AL226" s="113">
        <f t="shared" si="121"/>
        <v>705537.09240048123</v>
      </c>
      <c r="AM226" s="114">
        <f t="shared" si="149"/>
        <v>34</v>
      </c>
      <c r="AN226" s="114">
        <f t="shared" si="150"/>
        <v>7.0324770325444945E-3</v>
      </c>
      <c r="AO226" s="114">
        <f t="shared" si="151"/>
        <v>1190</v>
      </c>
    </row>
    <row r="227" spans="1:41" hidden="1" outlineLevel="1" x14ac:dyDescent="0.3">
      <c r="A227" s="146">
        <f t="shared" si="122"/>
        <v>205</v>
      </c>
      <c r="B227" s="147">
        <f t="shared" si="115"/>
        <v>80</v>
      </c>
      <c r="C227" s="147">
        <f t="shared" si="114"/>
        <v>280</v>
      </c>
      <c r="D227" s="149">
        <f t="shared" si="123"/>
        <v>98750333.573310375</v>
      </c>
      <c r="E227" s="149">
        <f t="shared" si="124"/>
        <v>1506481.6555481621</v>
      </c>
      <c r="F227" s="149">
        <f t="shared" si="116"/>
        <v>500678.8438342532</v>
      </c>
      <c r="G227" s="149">
        <f t="shared" si="117"/>
        <v>483989.54903977807</v>
      </c>
      <c r="H227" s="149">
        <f t="shared" si="125"/>
        <v>16689.294794475136</v>
      </c>
      <c r="I227" s="149">
        <f t="shared" si="126"/>
        <v>1005802.8117139088</v>
      </c>
      <c r="J227" s="147">
        <f t="shared" si="127"/>
        <v>4.4999999999999998E-2</v>
      </c>
      <c r="K227" s="175">
        <f t="shared" si="118"/>
        <v>3.8296430163020645E-3</v>
      </c>
      <c r="L227" s="149">
        <f t="shared" si="128"/>
        <v>379632.38182635081</v>
      </c>
      <c r="M227" s="149">
        <f t="shared" si="129"/>
        <v>1869424.7425800376</v>
      </c>
      <c r="N227" s="149">
        <f t="shared" si="130"/>
        <v>1385435.1935402597</v>
      </c>
      <c r="P227" s="149">
        <f t="shared" si="131"/>
        <v>0</v>
      </c>
      <c r="Q227" s="149">
        <f t="shared" si="132"/>
        <v>0</v>
      </c>
      <c r="R227" s="178">
        <f t="shared" si="133"/>
        <v>0</v>
      </c>
      <c r="S227" s="113">
        <f t="shared" si="134"/>
        <v>0</v>
      </c>
      <c r="T227" s="113">
        <f t="shared" si="119"/>
        <v>0</v>
      </c>
      <c r="U227" s="114">
        <f t="shared" si="135"/>
        <v>34.166666666666664</v>
      </c>
      <c r="V227" s="114">
        <f t="shared" si="136"/>
        <v>0</v>
      </c>
      <c r="W227" s="114">
        <f t="shared" si="137"/>
        <v>1201.5277777777776</v>
      </c>
      <c r="X227" s="114"/>
      <c r="Y227" s="149">
        <f t="shared" si="138"/>
        <v>0</v>
      </c>
      <c r="Z227" s="149">
        <f t="shared" si="139"/>
        <v>0</v>
      </c>
      <c r="AA227" s="178">
        <f t="shared" si="140"/>
        <v>0</v>
      </c>
      <c r="AB227" s="113">
        <f t="shared" si="141"/>
        <v>0</v>
      </c>
      <c r="AC227" s="113">
        <f t="shared" si="120"/>
        <v>0</v>
      </c>
      <c r="AD227" s="114">
        <f t="shared" si="142"/>
        <v>34.166666666666664</v>
      </c>
      <c r="AE227" s="114">
        <f t="shared" si="143"/>
        <v>0</v>
      </c>
      <c r="AF227" s="114">
        <f t="shared" si="144"/>
        <v>1201.5277777777776</v>
      </c>
      <c r="AG227" s="114"/>
      <c r="AH227" s="176">
        <f t="shared" si="145"/>
        <v>98750333.57331042</v>
      </c>
      <c r="AI227" s="176">
        <f t="shared" si="146"/>
        <v>483989.5490397783</v>
      </c>
      <c r="AJ227" s="178">
        <f t="shared" si="147"/>
        <v>1385435.1935402597</v>
      </c>
      <c r="AK227" s="113">
        <f t="shared" si="148"/>
        <v>1869424.742580038</v>
      </c>
      <c r="AL227" s="113">
        <f t="shared" si="121"/>
        <v>698089.97461484862</v>
      </c>
      <c r="AM227" s="114">
        <f t="shared" si="149"/>
        <v>34.166666666666664</v>
      </c>
      <c r="AN227" s="114">
        <f t="shared" si="150"/>
        <v>6.9582475053513483E-3</v>
      </c>
      <c r="AO227" s="114">
        <f t="shared" si="151"/>
        <v>1201.5277777777776</v>
      </c>
    </row>
    <row r="228" spans="1:41" hidden="1" outlineLevel="1" x14ac:dyDescent="0.3">
      <c r="A228" s="146">
        <f t="shared" si="122"/>
        <v>206</v>
      </c>
      <c r="B228" s="147">
        <f t="shared" si="115"/>
        <v>79</v>
      </c>
      <c r="C228" s="147">
        <f t="shared" si="114"/>
        <v>281</v>
      </c>
      <c r="D228" s="149">
        <f t="shared" si="123"/>
        <v>97369050.647268847</v>
      </c>
      <c r="E228" s="149">
        <f t="shared" si="124"/>
        <v>1500712.3685968048</v>
      </c>
      <c r="F228" s="149">
        <f t="shared" si="116"/>
        <v>493751.6678665519</v>
      </c>
      <c r="G228" s="149">
        <f t="shared" si="117"/>
        <v>477293.27893766685</v>
      </c>
      <c r="H228" s="149">
        <f t="shared" si="125"/>
        <v>16458.388928885048</v>
      </c>
      <c r="I228" s="149">
        <f t="shared" si="126"/>
        <v>1006960.7007302529</v>
      </c>
      <c r="J228" s="147">
        <f t="shared" si="127"/>
        <v>4.4999999999999998E-2</v>
      </c>
      <c r="K228" s="175">
        <f t="shared" si="118"/>
        <v>3.8296430163020645E-3</v>
      </c>
      <c r="L228" s="149">
        <f t="shared" si="128"/>
        <v>374322.22531128512</v>
      </c>
      <c r="M228" s="149">
        <f t="shared" si="129"/>
        <v>1858576.2049792048</v>
      </c>
      <c r="N228" s="149">
        <f t="shared" si="130"/>
        <v>1381282.9260415379</v>
      </c>
      <c r="P228" s="149">
        <f t="shared" si="131"/>
        <v>0</v>
      </c>
      <c r="Q228" s="149">
        <f t="shared" si="132"/>
        <v>0</v>
      </c>
      <c r="R228" s="178">
        <f t="shared" si="133"/>
        <v>0</v>
      </c>
      <c r="S228" s="113">
        <f t="shared" si="134"/>
        <v>0</v>
      </c>
      <c r="T228" s="113">
        <f t="shared" si="119"/>
        <v>0</v>
      </c>
      <c r="U228" s="114">
        <f t="shared" si="135"/>
        <v>34.333333333333336</v>
      </c>
      <c r="V228" s="114">
        <f t="shared" si="136"/>
        <v>0</v>
      </c>
      <c r="W228" s="114">
        <f t="shared" si="137"/>
        <v>1213.1111111111113</v>
      </c>
      <c r="X228" s="114"/>
      <c r="Y228" s="149">
        <f t="shared" si="138"/>
        <v>0</v>
      </c>
      <c r="Z228" s="149">
        <f t="shared" si="139"/>
        <v>0</v>
      </c>
      <c r="AA228" s="178">
        <f t="shared" si="140"/>
        <v>0</v>
      </c>
      <c r="AB228" s="113">
        <f t="shared" si="141"/>
        <v>0</v>
      </c>
      <c r="AC228" s="113">
        <f t="shared" si="120"/>
        <v>0</v>
      </c>
      <c r="AD228" s="114">
        <f t="shared" si="142"/>
        <v>34.333333333333336</v>
      </c>
      <c r="AE228" s="114">
        <f t="shared" si="143"/>
        <v>0</v>
      </c>
      <c r="AF228" s="114">
        <f t="shared" si="144"/>
        <v>1213.1111111111113</v>
      </c>
      <c r="AG228" s="114"/>
      <c r="AH228" s="176">
        <f t="shared" si="145"/>
        <v>97369050.647268876</v>
      </c>
      <c r="AI228" s="176">
        <f t="shared" si="146"/>
        <v>477293.27893766703</v>
      </c>
      <c r="AJ228" s="178">
        <f t="shared" si="147"/>
        <v>1381282.9260415379</v>
      </c>
      <c r="AK228" s="113">
        <f t="shared" si="148"/>
        <v>1858576.204979205</v>
      </c>
      <c r="AL228" s="113">
        <f t="shared" si="121"/>
        <v>690711.95774888888</v>
      </c>
      <c r="AM228" s="114">
        <f t="shared" si="149"/>
        <v>34.333333333333336</v>
      </c>
      <c r="AN228" s="114">
        <f t="shared" si="150"/>
        <v>6.8847067451071851E-3</v>
      </c>
      <c r="AO228" s="114">
        <f t="shared" si="151"/>
        <v>1213.1111111111113</v>
      </c>
    </row>
    <row r="229" spans="1:41" hidden="1" outlineLevel="1" x14ac:dyDescent="0.3">
      <c r="A229" s="146">
        <f t="shared" si="122"/>
        <v>207</v>
      </c>
      <c r="B229" s="147">
        <f t="shared" si="115"/>
        <v>78</v>
      </c>
      <c r="C229" s="147">
        <f t="shared" si="114"/>
        <v>282</v>
      </c>
      <c r="D229" s="149">
        <f t="shared" si="123"/>
        <v>95991902.759156615</v>
      </c>
      <c r="E229" s="149">
        <f t="shared" si="124"/>
        <v>1494965.17595493</v>
      </c>
      <c r="F229" s="149">
        <f t="shared" si="116"/>
        <v>486845.25323634426</v>
      </c>
      <c r="G229" s="149">
        <f t="shared" si="117"/>
        <v>470617.07812846609</v>
      </c>
      <c r="H229" s="149">
        <f t="shared" si="125"/>
        <v>16228.175107878167</v>
      </c>
      <c r="I229" s="149">
        <f t="shared" si="126"/>
        <v>1008119.9227185857</v>
      </c>
      <c r="J229" s="147">
        <f t="shared" si="127"/>
        <v>4.4999999999999998E-2</v>
      </c>
      <c r="K229" s="175">
        <f t="shared" si="118"/>
        <v>3.8296430163020645E-3</v>
      </c>
      <c r="L229" s="149">
        <f t="shared" si="128"/>
        <v>369027.96539364097</v>
      </c>
      <c r="M229" s="149">
        <f t="shared" si="129"/>
        <v>1847764.9662406929</v>
      </c>
      <c r="N229" s="149">
        <f t="shared" si="130"/>
        <v>1377147.8881122267</v>
      </c>
      <c r="P229" s="149">
        <f t="shared" si="131"/>
        <v>0</v>
      </c>
      <c r="Q229" s="149">
        <f t="shared" si="132"/>
        <v>0</v>
      </c>
      <c r="R229" s="178">
        <f t="shared" si="133"/>
        <v>0</v>
      </c>
      <c r="S229" s="113">
        <f t="shared" si="134"/>
        <v>0</v>
      </c>
      <c r="T229" s="113">
        <f t="shared" si="119"/>
        <v>0</v>
      </c>
      <c r="U229" s="114">
        <f t="shared" si="135"/>
        <v>34.5</v>
      </c>
      <c r="V229" s="114">
        <f t="shared" si="136"/>
        <v>0</v>
      </c>
      <c r="W229" s="114">
        <f t="shared" si="137"/>
        <v>1224.75</v>
      </c>
      <c r="X229" s="114"/>
      <c r="Y229" s="149">
        <f t="shared" si="138"/>
        <v>0</v>
      </c>
      <c r="Z229" s="149">
        <f t="shared" si="139"/>
        <v>0</v>
      </c>
      <c r="AA229" s="178">
        <f t="shared" si="140"/>
        <v>0</v>
      </c>
      <c r="AB229" s="113">
        <f t="shared" si="141"/>
        <v>0</v>
      </c>
      <c r="AC229" s="113">
        <f t="shared" si="120"/>
        <v>0</v>
      </c>
      <c r="AD229" s="114">
        <f t="shared" si="142"/>
        <v>34.5</v>
      </c>
      <c r="AE229" s="114">
        <f t="shared" si="143"/>
        <v>0</v>
      </c>
      <c r="AF229" s="114">
        <f t="shared" si="144"/>
        <v>1224.75</v>
      </c>
      <c r="AG229" s="114"/>
      <c r="AH229" s="176">
        <f t="shared" si="145"/>
        <v>95991902.759156644</v>
      </c>
      <c r="AI229" s="176">
        <f t="shared" si="146"/>
        <v>470617.07812846627</v>
      </c>
      <c r="AJ229" s="178">
        <f t="shared" si="147"/>
        <v>1377147.8881122267</v>
      </c>
      <c r="AK229" s="113">
        <f t="shared" si="148"/>
        <v>1847764.9662406929</v>
      </c>
      <c r="AL229" s="113">
        <f t="shared" si="121"/>
        <v>683402.42888998508</v>
      </c>
      <c r="AM229" s="114">
        <f t="shared" si="149"/>
        <v>34.5</v>
      </c>
      <c r="AN229" s="114">
        <f t="shared" si="150"/>
        <v>6.8118486425741663E-3</v>
      </c>
      <c r="AO229" s="114">
        <f t="shared" si="151"/>
        <v>1224.75</v>
      </c>
    </row>
    <row r="230" spans="1:41" hidden="1" outlineLevel="1" x14ac:dyDescent="0.3">
      <c r="A230" s="146">
        <f t="shared" si="122"/>
        <v>208</v>
      </c>
      <c r="B230" s="147">
        <f t="shared" si="115"/>
        <v>77</v>
      </c>
      <c r="C230" s="147">
        <f t="shared" si="114"/>
        <v>283</v>
      </c>
      <c r="D230" s="149">
        <f t="shared" si="123"/>
        <v>94618872.74385874</v>
      </c>
      <c r="E230" s="149">
        <f t="shared" si="124"/>
        <v>1489239.9930092194</v>
      </c>
      <c r="F230" s="149">
        <f t="shared" si="116"/>
        <v>479959.5137957831</v>
      </c>
      <c r="G230" s="149">
        <f t="shared" si="117"/>
        <v>463960.86333592364</v>
      </c>
      <c r="H230" s="149">
        <f t="shared" si="125"/>
        <v>15998.650459859462</v>
      </c>
      <c r="I230" s="149">
        <f t="shared" si="126"/>
        <v>1009280.4792134364</v>
      </c>
      <c r="J230" s="147">
        <f t="shared" si="127"/>
        <v>4.4999999999999998E-2</v>
      </c>
      <c r="K230" s="175">
        <f t="shared" si="118"/>
        <v>3.8296430163020645E-3</v>
      </c>
      <c r="L230" s="149">
        <f t="shared" si="128"/>
        <v>363749.53608444129</v>
      </c>
      <c r="M230" s="149">
        <f t="shared" si="129"/>
        <v>1836990.8786338011</v>
      </c>
      <c r="N230" s="149">
        <f t="shared" si="130"/>
        <v>1373030.0152978776</v>
      </c>
      <c r="P230" s="149">
        <f t="shared" si="131"/>
        <v>0</v>
      </c>
      <c r="Q230" s="149">
        <f t="shared" si="132"/>
        <v>0</v>
      </c>
      <c r="R230" s="178">
        <f t="shared" si="133"/>
        <v>0</v>
      </c>
      <c r="S230" s="113">
        <f t="shared" si="134"/>
        <v>0</v>
      </c>
      <c r="T230" s="113">
        <f t="shared" si="119"/>
        <v>0</v>
      </c>
      <c r="U230" s="114">
        <f t="shared" si="135"/>
        <v>34.666666666666664</v>
      </c>
      <c r="V230" s="114">
        <f t="shared" si="136"/>
        <v>0</v>
      </c>
      <c r="W230" s="114">
        <f t="shared" si="137"/>
        <v>1236.4444444444443</v>
      </c>
      <c r="X230" s="114"/>
      <c r="Y230" s="149">
        <f t="shared" si="138"/>
        <v>0</v>
      </c>
      <c r="Z230" s="149">
        <f t="shared" si="139"/>
        <v>0</v>
      </c>
      <c r="AA230" s="178">
        <f t="shared" si="140"/>
        <v>0</v>
      </c>
      <c r="AB230" s="113">
        <f t="shared" si="141"/>
        <v>0</v>
      </c>
      <c r="AC230" s="113">
        <f t="shared" si="120"/>
        <v>0</v>
      </c>
      <c r="AD230" s="114">
        <f t="shared" si="142"/>
        <v>34.666666666666664</v>
      </c>
      <c r="AE230" s="114">
        <f t="shared" si="143"/>
        <v>0</v>
      </c>
      <c r="AF230" s="114">
        <f t="shared" si="144"/>
        <v>1236.4444444444443</v>
      </c>
      <c r="AG230" s="114"/>
      <c r="AH230" s="176">
        <f t="shared" si="145"/>
        <v>94618872.74385877</v>
      </c>
      <c r="AI230" s="176">
        <f t="shared" si="146"/>
        <v>463960.86333592382</v>
      </c>
      <c r="AJ230" s="178">
        <f t="shared" si="147"/>
        <v>1373030.0152978776</v>
      </c>
      <c r="AK230" s="113">
        <f t="shared" si="148"/>
        <v>1836990.8786338014</v>
      </c>
      <c r="AL230" s="113">
        <f t="shared" si="121"/>
        <v>676160.78046632058</v>
      </c>
      <c r="AM230" s="114">
        <f t="shared" si="149"/>
        <v>34.666666666666664</v>
      </c>
      <c r="AN230" s="114">
        <f t="shared" si="150"/>
        <v>6.7396671417491536E-3</v>
      </c>
      <c r="AO230" s="114">
        <f t="shared" si="151"/>
        <v>1236.4444444444443</v>
      </c>
    </row>
    <row r="231" spans="1:41" hidden="1" outlineLevel="1" x14ac:dyDescent="0.3">
      <c r="A231" s="146">
        <f t="shared" si="122"/>
        <v>209</v>
      </c>
      <c r="B231" s="147">
        <f t="shared" si="115"/>
        <v>76</v>
      </c>
      <c r="C231" s="147">
        <f t="shared" si="114"/>
        <v>284</v>
      </c>
      <c r="D231" s="149">
        <f t="shared" si="123"/>
        <v>93249943.500466093</v>
      </c>
      <c r="E231" s="149">
        <f t="shared" si="124"/>
        <v>1483536.7354703939</v>
      </c>
      <c r="F231" s="149">
        <f t="shared" si="116"/>
        <v>473094.36371929373</v>
      </c>
      <c r="G231" s="149">
        <f t="shared" si="117"/>
        <v>457324.55159531726</v>
      </c>
      <c r="H231" s="149">
        <f t="shared" si="125"/>
        <v>15769.812123976473</v>
      </c>
      <c r="I231" s="149">
        <f t="shared" si="126"/>
        <v>1010442.3717511002</v>
      </c>
      <c r="J231" s="147">
        <f t="shared" si="127"/>
        <v>4.4999999999999998E-2</v>
      </c>
      <c r="K231" s="175">
        <f t="shared" si="118"/>
        <v>3.8296430163020645E-3</v>
      </c>
      <c r="L231" s="149">
        <f t="shared" si="128"/>
        <v>358486.87164154008</v>
      </c>
      <c r="M231" s="149">
        <f t="shared" si="129"/>
        <v>1826253.7949879575</v>
      </c>
      <c r="N231" s="149">
        <f t="shared" si="130"/>
        <v>1368929.2433926403</v>
      </c>
      <c r="P231" s="149">
        <f t="shared" si="131"/>
        <v>0</v>
      </c>
      <c r="Q231" s="149">
        <f t="shared" si="132"/>
        <v>0</v>
      </c>
      <c r="R231" s="178">
        <f t="shared" si="133"/>
        <v>0</v>
      </c>
      <c r="S231" s="113">
        <f t="shared" si="134"/>
        <v>0</v>
      </c>
      <c r="T231" s="113">
        <f t="shared" si="119"/>
        <v>0</v>
      </c>
      <c r="U231" s="114">
        <f t="shared" si="135"/>
        <v>34.833333333333336</v>
      </c>
      <c r="V231" s="114">
        <f t="shared" si="136"/>
        <v>0</v>
      </c>
      <c r="W231" s="114">
        <f t="shared" si="137"/>
        <v>1248.1944444444446</v>
      </c>
      <c r="X231" s="114"/>
      <c r="Y231" s="149">
        <f t="shared" si="138"/>
        <v>0</v>
      </c>
      <c r="Z231" s="149">
        <f t="shared" si="139"/>
        <v>0</v>
      </c>
      <c r="AA231" s="178">
        <f t="shared" si="140"/>
        <v>0</v>
      </c>
      <c r="AB231" s="113">
        <f t="shared" si="141"/>
        <v>0</v>
      </c>
      <c r="AC231" s="113">
        <f t="shared" si="120"/>
        <v>0</v>
      </c>
      <c r="AD231" s="114">
        <f t="shared" si="142"/>
        <v>34.833333333333336</v>
      </c>
      <c r="AE231" s="114">
        <f t="shared" si="143"/>
        <v>0</v>
      </c>
      <c r="AF231" s="114">
        <f t="shared" si="144"/>
        <v>1248.1944444444446</v>
      </c>
      <c r="AG231" s="114"/>
      <c r="AH231" s="176">
        <f t="shared" si="145"/>
        <v>93249943.500466123</v>
      </c>
      <c r="AI231" s="176">
        <f t="shared" si="146"/>
        <v>457324.55159531743</v>
      </c>
      <c r="AJ231" s="178">
        <f t="shared" si="147"/>
        <v>1368929.2433926403</v>
      </c>
      <c r="AK231" s="113">
        <f t="shared" si="148"/>
        <v>1826253.7949879577</v>
      </c>
      <c r="AL231" s="113">
        <f t="shared" si="121"/>
        <v>668986.4102006813</v>
      </c>
      <c r="AM231" s="114">
        <f t="shared" si="149"/>
        <v>34.833333333333336</v>
      </c>
      <c r="AN231" s="114">
        <f t="shared" si="150"/>
        <v>6.6681562394032287E-3</v>
      </c>
      <c r="AO231" s="114">
        <f t="shared" si="151"/>
        <v>1248.1944444444446</v>
      </c>
    </row>
    <row r="232" spans="1:41" hidden="1" outlineLevel="1" x14ac:dyDescent="0.3">
      <c r="A232" s="146">
        <f t="shared" si="122"/>
        <v>210</v>
      </c>
      <c r="B232" s="147">
        <f t="shared" si="115"/>
        <v>75</v>
      </c>
      <c r="C232" s="147">
        <f t="shared" si="114"/>
        <v>285</v>
      </c>
      <c r="D232" s="149">
        <f t="shared" si="123"/>
        <v>91885097.992027774</v>
      </c>
      <c r="E232" s="149">
        <f t="shared" si="124"/>
        <v>1477855.3193719722</v>
      </c>
      <c r="F232" s="149">
        <f t="shared" si="116"/>
        <v>466249.71750233049</v>
      </c>
      <c r="G232" s="149">
        <f t="shared" si="117"/>
        <v>450708.06025225279</v>
      </c>
      <c r="H232" s="149">
        <f t="shared" si="125"/>
        <v>15541.657250077697</v>
      </c>
      <c r="I232" s="149">
        <f t="shared" si="126"/>
        <v>1011605.6018696418</v>
      </c>
      <c r="J232" s="147">
        <f t="shared" si="127"/>
        <v>4.4999999999999998E-2</v>
      </c>
      <c r="K232" s="175">
        <f t="shared" si="118"/>
        <v>3.8296430163020645E-3</v>
      </c>
      <c r="L232" s="149">
        <f t="shared" si="128"/>
        <v>353239.90656866995</v>
      </c>
      <c r="M232" s="149">
        <f t="shared" si="129"/>
        <v>1815553.5686905645</v>
      </c>
      <c r="N232" s="149">
        <f t="shared" si="130"/>
        <v>1364845.5084383118</v>
      </c>
      <c r="P232" s="149">
        <f t="shared" si="131"/>
        <v>0</v>
      </c>
      <c r="Q232" s="149">
        <f t="shared" si="132"/>
        <v>0</v>
      </c>
      <c r="R232" s="178">
        <f t="shared" si="133"/>
        <v>0</v>
      </c>
      <c r="S232" s="113">
        <f t="shared" si="134"/>
        <v>0</v>
      </c>
      <c r="T232" s="113">
        <f t="shared" si="119"/>
        <v>0</v>
      </c>
      <c r="U232" s="114">
        <f t="shared" si="135"/>
        <v>35</v>
      </c>
      <c r="V232" s="114">
        <f t="shared" si="136"/>
        <v>0</v>
      </c>
      <c r="W232" s="114">
        <f t="shared" si="137"/>
        <v>1260</v>
      </c>
      <c r="X232" s="114"/>
      <c r="Y232" s="149">
        <f t="shared" si="138"/>
        <v>0</v>
      </c>
      <c r="Z232" s="149">
        <f t="shared" si="139"/>
        <v>0</v>
      </c>
      <c r="AA232" s="178">
        <f t="shared" si="140"/>
        <v>0</v>
      </c>
      <c r="AB232" s="113">
        <f t="shared" si="141"/>
        <v>0</v>
      </c>
      <c r="AC232" s="113">
        <f t="shared" si="120"/>
        <v>0</v>
      </c>
      <c r="AD232" s="114">
        <f t="shared" si="142"/>
        <v>35</v>
      </c>
      <c r="AE232" s="114">
        <f t="shared" si="143"/>
        <v>0</v>
      </c>
      <c r="AF232" s="114">
        <f t="shared" si="144"/>
        <v>1260</v>
      </c>
      <c r="AG232" s="114"/>
      <c r="AH232" s="176">
        <f t="shared" si="145"/>
        <v>91885097.992027804</v>
      </c>
      <c r="AI232" s="176">
        <f t="shared" si="146"/>
        <v>450708.06025225297</v>
      </c>
      <c r="AJ232" s="178">
        <f t="shared" si="147"/>
        <v>1364845.5084383118</v>
      </c>
      <c r="AK232" s="113">
        <f t="shared" si="148"/>
        <v>1815553.5686905647</v>
      </c>
      <c r="AL232" s="113">
        <f t="shared" si="121"/>
        <v>661878.72106465267</v>
      </c>
      <c r="AM232" s="114">
        <f t="shared" si="149"/>
        <v>35</v>
      </c>
      <c r="AN232" s="114">
        <f t="shared" si="150"/>
        <v>6.5973099846251531E-3</v>
      </c>
      <c r="AO232" s="114">
        <f t="shared" si="151"/>
        <v>1260</v>
      </c>
    </row>
    <row r="233" spans="1:41" hidden="1" outlineLevel="1" x14ac:dyDescent="0.3">
      <c r="A233" s="146">
        <f t="shared" si="122"/>
        <v>211</v>
      </c>
      <c r="B233" s="147">
        <f t="shared" si="115"/>
        <v>74</v>
      </c>
      <c r="C233" s="147">
        <f t="shared" si="114"/>
        <v>286</v>
      </c>
      <c r="D233" s="149">
        <f t="shared" si="123"/>
        <v>90524319.245304376</v>
      </c>
      <c r="E233" s="149">
        <f t="shared" si="124"/>
        <v>1472195.6610690346</v>
      </c>
      <c r="F233" s="149">
        <f t="shared" si="116"/>
        <v>459425.48996013886</v>
      </c>
      <c r="G233" s="149">
        <f t="shared" si="117"/>
        <v>444111.30696146761</v>
      </c>
      <c r="H233" s="149">
        <f t="shared" si="125"/>
        <v>15314.182998671255</v>
      </c>
      <c r="I233" s="149">
        <f t="shared" si="126"/>
        <v>1012770.1711088957</v>
      </c>
      <c r="J233" s="147">
        <f t="shared" si="127"/>
        <v>4.4999999999999998E-2</v>
      </c>
      <c r="K233" s="175">
        <f t="shared" si="118"/>
        <v>3.8296430163020645E-3</v>
      </c>
      <c r="L233" s="149">
        <f t="shared" si="128"/>
        <v>348008.57561449375</v>
      </c>
      <c r="M233" s="149">
        <f t="shared" si="129"/>
        <v>1804890.0536848572</v>
      </c>
      <c r="N233" s="149">
        <f t="shared" si="130"/>
        <v>1360778.7467233895</v>
      </c>
      <c r="P233" s="149">
        <f t="shared" si="131"/>
        <v>0</v>
      </c>
      <c r="Q233" s="149">
        <f t="shared" si="132"/>
        <v>0</v>
      </c>
      <c r="R233" s="178">
        <f t="shared" si="133"/>
        <v>0</v>
      </c>
      <c r="S233" s="113">
        <f t="shared" si="134"/>
        <v>0</v>
      </c>
      <c r="T233" s="113">
        <f t="shared" si="119"/>
        <v>0</v>
      </c>
      <c r="U233" s="114">
        <f t="shared" si="135"/>
        <v>35.166666666666664</v>
      </c>
      <c r="V233" s="114">
        <f t="shared" si="136"/>
        <v>0</v>
      </c>
      <c r="W233" s="114">
        <f t="shared" si="137"/>
        <v>1271.8611111111109</v>
      </c>
      <c r="X233" s="114"/>
      <c r="Y233" s="149">
        <f t="shared" si="138"/>
        <v>0</v>
      </c>
      <c r="Z233" s="149">
        <f t="shared" si="139"/>
        <v>0</v>
      </c>
      <c r="AA233" s="178">
        <f t="shared" si="140"/>
        <v>0</v>
      </c>
      <c r="AB233" s="113">
        <f t="shared" si="141"/>
        <v>0</v>
      </c>
      <c r="AC233" s="113">
        <f t="shared" si="120"/>
        <v>0</v>
      </c>
      <c r="AD233" s="114">
        <f t="shared" si="142"/>
        <v>35.166666666666664</v>
      </c>
      <c r="AE233" s="114">
        <f t="shared" si="143"/>
        <v>0</v>
      </c>
      <c r="AF233" s="114">
        <f t="shared" si="144"/>
        <v>1271.8611111111109</v>
      </c>
      <c r="AG233" s="114"/>
      <c r="AH233" s="176">
        <f t="shared" si="145"/>
        <v>90524319.245304421</v>
      </c>
      <c r="AI233" s="176">
        <f t="shared" si="146"/>
        <v>444111.30696146772</v>
      </c>
      <c r="AJ233" s="178">
        <f t="shared" si="147"/>
        <v>1360778.7467233895</v>
      </c>
      <c r="AK233" s="113">
        <f t="shared" si="148"/>
        <v>1804890.0536848572</v>
      </c>
      <c r="AL233" s="113">
        <f t="shared" si="121"/>
        <v>654837.12123321299</v>
      </c>
      <c r="AM233" s="114">
        <f t="shared" si="149"/>
        <v>35.166666666666664</v>
      </c>
      <c r="AN233" s="114">
        <f t="shared" si="150"/>
        <v>6.5271224783687706E-3</v>
      </c>
      <c r="AO233" s="114">
        <f t="shared" si="151"/>
        <v>1271.8611111111109</v>
      </c>
    </row>
    <row r="234" spans="1:41" hidden="1" outlineLevel="1" x14ac:dyDescent="0.3">
      <c r="A234" s="146">
        <f t="shared" si="122"/>
        <v>212</v>
      </c>
      <c r="B234" s="147">
        <f t="shared" si="115"/>
        <v>73</v>
      </c>
      <c r="C234" s="147">
        <f t="shared" si="114"/>
        <v>287</v>
      </c>
      <c r="D234" s="149">
        <f t="shared" si="123"/>
        <v>89167590.350522235</v>
      </c>
      <c r="E234" s="149">
        <f t="shared" si="124"/>
        <v>1466557.6772369915</v>
      </c>
      <c r="F234" s="149">
        <f t="shared" si="116"/>
        <v>452621.59622652188</v>
      </c>
      <c r="G234" s="149">
        <f t="shared" si="117"/>
        <v>437534.20968563785</v>
      </c>
      <c r="H234" s="149">
        <f t="shared" si="125"/>
        <v>15087.386540884036</v>
      </c>
      <c r="I234" s="149">
        <f t="shared" si="126"/>
        <v>1013936.0810104696</v>
      </c>
      <c r="J234" s="147">
        <f t="shared" si="127"/>
        <v>4.4999999999999998E-2</v>
      </c>
      <c r="K234" s="175">
        <f t="shared" si="118"/>
        <v>3.8296430163020645E-3</v>
      </c>
      <c r="L234" s="149">
        <f t="shared" si="128"/>
        <v>342792.81377166003</v>
      </c>
      <c r="M234" s="149">
        <f t="shared" si="129"/>
        <v>1794263.1044677673</v>
      </c>
      <c r="N234" s="149">
        <f t="shared" si="130"/>
        <v>1356728.8947821297</v>
      </c>
      <c r="P234" s="149">
        <f t="shared" si="131"/>
        <v>0</v>
      </c>
      <c r="Q234" s="149">
        <f t="shared" si="132"/>
        <v>0</v>
      </c>
      <c r="R234" s="178">
        <f t="shared" si="133"/>
        <v>0</v>
      </c>
      <c r="S234" s="113">
        <f t="shared" si="134"/>
        <v>0</v>
      </c>
      <c r="T234" s="113">
        <f t="shared" si="119"/>
        <v>0</v>
      </c>
      <c r="U234" s="114">
        <f t="shared" si="135"/>
        <v>35.333333333333336</v>
      </c>
      <c r="V234" s="114">
        <f t="shared" si="136"/>
        <v>0</v>
      </c>
      <c r="W234" s="114">
        <f t="shared" si="137"/>
        <v>1283.7777777777781</v>
      </c>
      <c r="X234" s="114"/>
      <c r="Y234" s="149">
        <f t="shared" si="138"/>
        <v>0</v>
      </c>
      <c r="Z234" s="149">
        <f t="shared" si="139"/>
        <v>0</v>
      </c>
      <c r="AA234" s="178">
        <f t="shared" si="140"/>
        <v>0</v>
      </c>
      <c r="AB234" s="113">
        <f t="shared" si="141"/>
        <v>0</v>
      </c>
      <c r="AC234" s="113">
        <f t="shared" si="120"/>
        <v>0</v>
      </c>
      <c r="AD234" s="114">
        <f t="shared" si="142"/>
        <v>35.333333333333336</v>
      </c>
      <c r="AE234" s="114">
        <f t="shared" si="143"/>
        <v>0</v>
      </c>
      <c r="AF234" s="114">
        <f t="shared" si="144"/>
        <v>1283.7777777777781</v>
      </c>
      <c r="AG234" s="114"/>
      <c r="AH234" s="176">
        <f t="shared" si="145"/>
        <v>89167590.350522295</v>
      </c>
      <c r="AI234" s="176">
        <f t="shared" si="146"/>
        <v>437534.20968563808</v>
      </c>
      <c r="AJ234" s="178">
        <f t="shared" si="147"/>
        <v>1356728.8947821297</v>
      </c>
      <c r="AK234" s="113">
        <f t="shared" si="148"/>
        <v>1794263.1044677678</v>
      </c>
      <c r="AL234" s="113">
        <f t="shared" si="121"/>
        <v>647861.02403971856</v>
      </c>
      <c r="AM234" s="114">
        <f t="shared" si="149"/>
        <v>35.333333333333336</v>
      </c>
      <c r="AN234" s="114">
        <f t="shared" si="150"/>
        <v>6.4575878730043224E-3</v>
      </c>
      <c r="AO234" s="114">
        <f t="shared" si="151"/>
        <v>1283.7777777777781</v>
      </c>
    </row>
    <row r="235" spans="1:41" hidden="1" outlineLevel="1" x14ac:dyDescent="0.3">
      <c r="A235" s="146">
        <f t="shared" si="122"/>
        <v>213</v>
      </c>
      <c r="B235" s="147">
        <f t="shared" si="115"/>
        <v>72</v>
      </c>
      <c r="C235" s="147">
        <f t="shared" si="114"/>
        <v>288</v>
      </c>
      <c r="D235" s="149">
        <f t="shared" si="123"/>
        <v>87814894.461128637</v>
      </c>
      <c r="E235" s="149">
        <f t="shared" si="124"/>
        <v>1460941.2848703566</v>
      </c>
      <c r="F235" s="149">
        <f t="shared" si="116"/>
        <v>445837.9517526112</v>
      </c>
      <c r="G235" s="149">
        <f t="shared" si="117"/>
        <v>430976.68669419084</v>
      </c>
      <c r="H235" s="149">
        <f t="shared" si="125"/>
        <v>14861.265058420366</v>
      </c>
      <c r="I235" s="149">
        <f t="shared" si="126"/>
        <v>1015103.3331177454</v>
      </c>
      <c r="J235" s="147">
        <f t="shared" si="127"/>
        <v>4.4999999999999998E-2</v>
      </c>
      <c r="K235" s="175">
        <f t="shared" si="118"/>
        <v>3.8296430163020645E-3</v>
      </c>
      <c r="L235" s="149">
        <f t="shared" si="128"/>
        <v>337592.55627586151</v>
      </c>
      <c r="M235" s="149">
        <f t="shared" si="129"/>
        <v>1783672.5760877978</v>
      </c>
      <c r="N235" s="149">
        <f t="shared" si="130"/>
        <v>1352695.8893936069</v>
      </c>
      <c r="P235" s="149">
        <f t="shared" si="131"/>
        <v>0</v>
      </c>
      <c r="Q235" s="149">
        <f t="shared" si="132"/>
        <v>0</v>
      </c>
      <c r="R235" s="178">
        <f t="shared" si="133"/>
        <v>0</v>
      </c>
      <c r="S235" s="113">
        <f t="shared" si="134"/>
        <v>0</v>
      </c>
      <c r="T235" s="113">
        <f t="shared" si="119"/>
        <v>0</v>
      </c>
      <c r="U235" s="114">
        <f t="shared" si="135"/>
        <v>35.5</v>
      </c>
      <c r="V235" s="114">
        <f t="shared" si="136"/>
        <v>0</v>
      </c>
      <c r="W235" s="114">
        <f t="shared" si="137"/>
        <v>1295.75</v>
      </c>
      <c r="X235" s="114"/>
      <c r="Y235" s="149">
        <f t="shared" si="138"/>
        <v>0</v>
      </c>
      <c r="Z235" s="149">
        <f t="shared" si="139"/>
        <v>0</v>
      </c>
      <c r="AA235" s="178">
        <f t="shared" si="140"/>
        <v>0</v>
      </c>
      <c r="AB235" s="113">
        <f t="shared" si="141"/>
        <v>0</v>
      </c>
      <c r="AC235" s="113">
        <f t="shared" si="120"/>
        <v>0</v>
      </c>
      <c r="AD235" s="114">
        <f t="shared" si="142"/>
        <v>35.5</v>
      </c>
      <c r="AE235" s="114">
        <f t="shared" si="143"/>
        <v>0</v>
      </c>
      <c r="AF235" s="114">
        <f t="shared" si="144"/>
        <v>1295.75</v>
      </c>
      <c r="AG235" s="114"/>
      <c r="AH235" s="176">
        <f t="shared" si="145"/>
        <v>87814894.461128682</v>
      </c>
      <c r="AI235" s="176">
        <f t="shared" si="146"/>
        <v>430976.68669419113</v>
      </c>
      <c r="AJ235" s="178">
        <f t="shared" si="147"/>
        <v>1352695.8893936069</v>
      </c>
      <c r="AK235" s="113">
        <f t="shared" si="148"/>
        <v>1783672.576087798</v>
      </c>
      <c r="AL235" s="113">
        <f t="shared" si="121"/>
        <v>640949.84793127561</v>
      </c>
      <c r="AM235" s="114">
        <f t="shared" si="149"/>
        <v>35.5</v>
      </c>
      <c r="AN235" s="114">
        <f t="shared" si="150"/>
        <v>6.3887003718736133E-3</v>
      </c>
      <c r="AO235" s="114">
        <f t="shared" si="151"/>
        <v>1295.75</v>
      </c>
    </row>
    <row r="236" spans="1:41" hidden="1" outlineLevel="1" x14ac:dyDescent="0.3">
      <c r="A236" s="146">
        <f t="shared" si="122"/>
        <v>214</v>
      </c>
      <c r="B236" s="147">
        <f t="shared" si="115"/>
        <v>71</v>
      </c>
      <c r="C236" s="147">
        <f t="shared" si="114"/>
        <v>289</v>
      </c>
      <c r="D236" s="149">
        <f t="shared" si="123"/>
        <v>86466214.793547854</v>
      </c>
      <c r="E236" s="149">
        <f t="shared" si="124"/>
        <v>1455346.4012815254</v>
      </c>
      <c r="F236" s="149">
        <f t="shared" si="116"/>
        <v>439074.4723056432</v>
      </c>
      <c r="G236" s="149">
        <f t="shared" si="117"/>
        <v>424438.65656212176</v>
      </c>
      <c r="H236" s="149">
        <f t="shared" si="125"/>
        <v>14635.815743521438</v>
      </c>
      <c r="I236" s="149">
        <f t="shared" si="126"/>
        <v>1016271.9289758822</v>
      </c>
      <c r="J236" s="147">
        <f t="shared" si="127"/>
        <v>4.4999999999999998E-2</v>
      </c>
      <c r="K236" s="175">
        <f t="shared" si="118"/>
        <v>3.8296430163020645E-3</v>
      </c>
      <c r="L236" s="149">
        <f t="shared" si="128"/>
        <v>332407.73860489781</v>
      </c>
      <c r="M236" s="149">
        <f t="shared" si="129"/>
        <v>1773118.3241429019</v>
      </c>
      <c r="N236" s="149">
        <f t="shared" si="130"/>
        <v>1348679.6675807801</v>
      </c>
      <c r="P236" s="149">
        <f t="shared" si="131"/>
        <v>0</v>
      </c>
      <c r="Q236" s="149">
        <f t="shared" si="132"/>
        <v>0</v>
      </c>
      <c r="R236" s="178">
        <f t="shared" si="133"/>
        <v>0</v>
      </c>
      <c r="S236" s="113">
        <f t="shared" si="134"/>
        <v>0</v>
      </c>
      <c r="T236" s="113">
        <f t="shared" si="119"/>
        <v>0</v>
      </c>
      <c r="U236" s="114">
        <f t="shared" si="135"/>
        <v>35.666666666666664</v>
      </c>
      <c r="V236" s="114">
        <f t="shared" si="136"/>
        <v>0</v>
      </c>
      <c r="W236" s="114">
        <f t="shared" si="137"/>
        <v>1307.7777777777776</v>
      </c>
      <c r="X236" s="114"/>
      <c r="Y236" s="149">
        <f t="shared" si="138"/>
        <v>0</v>
      </c>
      <c r="Z236" s="149">
        <f t="shared" si="139"/>
        <v>0</v>
      </c>
      <c r="AA236" s="178">
        <f t="shared" si="140"/>
        <v>0</v>
      </c>
      <c r="AB236" s="113">
        <f t="shared" si="141"/>
        <v>0</v>
      </c>
      <c r="AC236" s="113">
        <f t="shared" si="120"/>
        <v>0</v>
      </c>
      <c r="AD236" s="114">
        <f t="shared" si="142"/>
        <v>35.666666666666664</v>
      </c>
      <c r="AE236" s="114">
        <f t="shared" si="143"/>
        <v>0</v>
      </c>
      <c r="AF236" s="114">
        <f t="shared" si="144"/>
        <v>1307.7777777777776</v>
      </c>
      <c r="AG236" s="114"/>
      <c r="AH236" s="176">
        <f t="shared" si="145"/>
        <v>86466214.793547899</v>
      </c>
      <c r="AI236" s="176">
        <f t="shared" si="146"/>
        <v>424438.65656212199</v>
      </c>
      <c r="AJ236" s="178">
        <f t="shared" si="147"/>
        <v>1348679.6675807801</v>
      </c>
      <c r="AK236" s="113">
        <f t="shared" si="148"/>
        <v>1773118.3241429022</v>
      </c>
      <c r="AL236" s="113">
        <f t="shared" si="121"/>
        <v>634103.0164244991</v>
      </c>
      <c r="AM236" s="114">
        <f t="shared" si="149"/>
        <v>35.666666666666664</v>
      </c>
      <c r="AN236" s="114">
        <f t="shared" si="150"/>
        <v>6.3204542288490357E-3</v>
      </c>
      <c r="AO236" s="114">
        <f t="shared" si="151"/>
        <v>1307.7777777777776</v>
      </c>
    </row>
    <row r="237" spans="1:41" hidden="1" outlineLevel="1" x14ac:dyDescent="0.3">
      <c r="A237" s="146">
        <f t="shared" si="122"/>
        <v>215</v>
      </c>
      <c r="B237" s="147">
        <f t="shared" si="115"/>
        <v>70</v>
      </c>
      <c r="C237" s="147">
        <f t="shared" si="114"/>
        <v>290</v>
      </c>
      <c r="D237" s="149">
        <f t="shared" si="123"/>
        <v>85121534.626938298</v>
      </c>
      <c r="E237" s="149">
        <f t="shared" si="124"/>
        <v>1449772.9440995574</v>
      </c>
      <c r="F237" s="149">
        <f t="shared" si="116"/>
        <v>432331.0739677393</v>
      </c>
      <c r="G237" s="149">
        <f t="shared" si="117"/>
        <v>417920.03816881467</v>
      </c>
      <c r="H237" s="149">
        <f t="shared" si="125"/>
        <v>14411.035798924626</v>
      </c>
      <c r="I237" s="149">
        <f t="shared" si="126"/>
        <v>1017441.8701318181</v>
      </c>
      <c r="J237" s="147">
        <f t="shared" si="127"/>
        <v>4.4999999999999998E-2</v>
      </c>
      <c r="K237" s="175">
        <f t="shared" si="118"/>
        <v>3.8296430163020645E-3</v>
      </c>
      <c r="L237" s="149">
        <f t="shared" si="128"/>
        <v>327238.29647774115</v>
      </c>
      <c r="M237" s="149">
        <f t="shared" si="129"/>
        <v>1762600.2047783739</v>
      </c>
      <c r="N237" s="149">
        <f t="shared" si="130"/>
        <v>1344680.1666095592</v>
      </c>
      <c r="P237" s="149">
        <f t="shared" si="131"/>
        <v>0</v>
      </c>
      <c r="Q237" s="149">
        <f t="shared" si="132"/>
        <v>0</v>
      </c>
      <c r="R237" s="178">
        <f t="shared" si="133"/>
        <v>0</v>
      </c>
      <c r="S237" s="113">
        <f t="shared" si="134"/>
        <v>0</v>
      </c>
      <c r="T237" s="113">
        <f t="shared" si="119"/>
        <v>0</v>
      </c>
      <c r="U237" s="114">
        <f t="shared" si="135"/>
        <v>35.833333333333336</v>
      </c>
      <c r="V237" s="114">
        <f t="shared" si="136"/>
        <v>0</v>
      </c>
      <c r="W237" s="114">
        <f t="shared" si="137"/>
        <v>1319.8611111111113</v>
      </c>
      <c r="X237" s="114"/>
      <c r="Y237" s="149">
        <f t="shared" si="138"/>
        <v>0</v>
      </c>
      <c r="Z237" s="149">
        <f t="shared" si="139"/>
        <v>0</v>
      </c>
      <c r="AA237" s="178">
        <f t="shared" si="140"/>
        <v>0</v>
      </c>
      <c r="AB237" s="113">
        <f t="shared" si="141"/>
        <v>0</v>
      </c>
      <c r="AC237" s="113">
        <f t="shared" si="120"/>
        <v>0</v>
      </c>
      <c r="AD237" s="114">
        <f t="shared" si="142"/>
        <v>35.833333333333336</v>
      </c>
      <c r="AE237" s="114">
        <f t="shared" si="143"/>
        <v>0</v>
      </c>
      <c r="AF237" s="114">
        <f t="shared" si="144"/>
        <v>1319.8611111111113</v>
      </c>
      <c r="AG237" s="114"/>
      <c r="AH237" s="176">
        <f t="shared" si="145"/>
        <v>85121534.626938343</v>
      </c>
      <c r="AI237" s="176">
        <f t="shared" si="146"/>
        <v>417920.03816881485</v>
      </c>
      <c r="AJ237" s="178">
        <f t="shared" si="147"/>
        <v>1344680.1666095592</v>
      </c>
      <c r="AK237" s="113">
        <f t="shared" si="148"/>
        <v>1762600.2047783742</v>
      </c>
      <c r="AL237" s="113">
        <f t="shared" si="121"/>
        <v>627319.95806165203</v>
      </c>
      <c r="AM237" s="114">
        <f t="shared" si="149"/>
        <v>35.833333333333336</v>
      </c>
      <c r="AN237" s="114">
        <f t="shared" si="150"/>
        <v>6.2528437478963856E-3</v>
      </c>
      <c r="AO237" s="114">
        <f t="shared" si="151"/>
        <v>1319.8611111111113</v>
      </c>
    </row>
    <row r="238" spans="1:41" hidden="1" outlineLevel="1" x14ac:dyDescent="0.3">
      <c r="A238" s="146">
        <f t="shared" si="122"/>
        <v>216</v>
      </c>
      <c r="B238" s="147">
        <f t="shared" si="115"/>
        <v>69</v>
      </c>
      <c r="C238" s="147">
        <f t="shared" si="114"/>
        <v>291</v>
      </c>
      <c r="D238" s="149">
        <f t="shared" si="123"/>
        <v>83780837.302950427</v>
      </c>
      <c r="E238" s="149">
        <f t="shared" si="124"/>
        <v>1444220.8312689627</v>
      </c>
      <c r="F238" s="149">
        <f t="shared" si="116"/>
        <v>425607.67313469149</v>
      </c>
      <c r="G238" s="149">
        <f t="shared" si="117"/>
        <v>411420.75069686846</v>
      </c>
      <c r="H238" s="149">
        <f t="shared" si="125"/>
        <v>14186.922437823028</v>
      </c>
      <c r="I238" s="149">
        <f t="shared" si="126"/>
        <v>1018613.1581342712</v>
      </c>
      <c r="J238" s="147">
        <f t="shared" si="127"/>
        <v>4.4999999999999998E-2</v>
      </c>
      <c r="K238" s="175">
        <f t="shared" si="118"/>
        <v>3.8296430163020645E-3</v>
      </c>
      <c r="L238" s="149">
        <f t="shared" si="128"/>
        <v>322084.1658536063</v>
      </c>
      <c r="M238" s="149">
        <f t="shared" si="129"/>
        <v>1752118.0746847459</v>
      </c>
      <c r="N238" s="149">
        <f t="shared" si="130"/>
        <v>1340697.3239878775</v>
      </c>
      <c r="P238" s="149">
        <f t="shared" si="131"/>
        <v>0</v>
      </c>
      <c r="Q238" s="149">
        <f t="shared" si="132"/>
        <v>0</v>
      </c>
      <c r="R238" s="178">
        <f t="shared" si="133"/>
        <v>0</v>
      </c>
      <c r="S238" s="113">
        <f t="shared" si="134"/>
        <v>0</v>
      </c>
      <c r="T238" s="113">
        <f t="shared" si="119"/>
        <v>0</v>
      </c>
      <c r="U238" s="114">
        <f t="shared" si="135"/>
        <v>36</v>
      </c>
      <c r="V238" s="114">
        <f t="shared" si="136"/>
        <v>0</v>
      </c>
      <c r="W238" s="114">
        <f t="shared" si="137"/>
        <v>1332</v>
      </c>
      <c r="X238" s="114"/>
      <c r="Y238" s="149">
        <f t="shared" si="138"/>
        <v>0</v>
      </c>
      <c r="Z238" s="149">
        <f t="shared" si="139"/>
        <v>0</v>
      </c>
      <c r="AA238" s="178">
        <f t="shared" si="140"/>
        <v>0</v>
      </c>
      <c r="AB238" s="113">
        <f t="shared" si="141"/>
        <v>0</v>
      </c>
      <c r="AC238" s="113">
        <f t="shared" si="120"/>
        <v>0</v>
      </c>
      <c r="AD238" s="114">
        <f t="shared" si="142"/>
        <v>36</v>
      </c>
      <c r="AE238" s="114">
        <f t="shared" si="143"/>
        <v>0</v>
      </c>
      <c r="AF238" s="114">
        <f t="shared" si="144"/>
        <v>1332</v>
      </c>
      <c r="AG238" s="114"/>
      <c r="AH238" s="176">
        <f t="shared" si="145"/>
        <v>83780837.302950472</v>
      </c>
      <c r="AI238" s="176">
        <f t="shared" si="146"/>
        <v>411420.75069686869</v>
      </c>
      <c r="AJ238" s="178">
        <f t="shared" si="147"/>
        <v>1340697.3239878775</v>
      </c>
      <c r="AK238" s="113">
        <f t="shared" si="148"/>
        <v>1752118.0746847461</v>
      </c>
      <c r="AL238" s="113">
        <f t="shared" si="121"/>
        <v>620600.10636716231</v>
      </c>
      <c r="AM238" s="114">
        <f t="shared" si="149"/>
        <v>36</v>
      </c>
      <c r="AN238" s="114">
        <f t="shared" si="150"/>
        <v>6.1858632826414421E-3</v>
      </c>
      <c r="AO238" s="114">
        <f t="shared" si="151"/>
        <v>1332</v>
      </c>
    </row>
    <row r="239" spans="1:41" hidden="1" outlineLevel="1" x14ac:dyDescent="0.3">
      <c r="A239" s="146">
        <f t="shared" si="122"/>
        <v>217</v>
      </c>
      <c r="B239" s="147">
        <f t="shared" si="115"/>
        <v>68</v>
      </c>
      <c r="C239" s="147">
        <f t="shared" si="114"/>
        <v>292</v>
      </c>
      <c r="D239" s="149">
        <f t="shared" si="123"/>
        <v>82444106.225485653</v>
      </c>
      <c r="E239" s="149">
        <f t="shared" si="124"/>
        <v>1438689.9810484955</v>
      </c>
      <c r="F239" s="149">
        <f t="shared" si="116"/>
        <v>418904.18651475216</v>
      </c>
      <c r="G239" s="149">
        <f t="shared" si="117"/>
        <v>404940.71363092709</v>
      </c>
      <c r="H239" s="149">
        <f t="shared" si="125"/>
        <v>13963.472883825074</v>
      </c>
      <c r="I239" s="149">
        <f t="shared" si="126"/>
        <v>1019785.7945337433</v>
      </c>
      <c r="J239" s="147">
        <f t="shared" si="127"/>
        <v>4.4999999999999998E-2</v>
      </c>
      <c r="K239" s="175">
        <f t="shared" si="118"/>
        <v>3.8296430163020645E-3</v>
      </c>
      <c r="L239" s="149">
        <f t="shared" si="128"/>
        <v>316945.28293102339</v>
      </c>
      <c r="M239" s="149">
        <f t="shared" si="129"/>
        <v>1741671.7910956936</v>
      </c>
      <c r="N239" s="149">
        <f t="shared" si="130"/>
        <v>1336731.0774647668</v>
      </c>
      <c r="P239" s="149">
        <f t="shared" si="131"/>
        <v>0</v>
      </c>
      <c r="Q239" s="149">
        <f t="shared" si="132"/>
        <v>0</v>
      </c>
      <c r="R239" s="178">
        <f t="shared" si="133"/>
        <v>0</v>
      </c>
      <c r="S239" s="113">
        <f t="shared" si="134"/>
        <v>0</v>
      </c>
      <c r="T239" s="113">
        <f t="shared" si="119"/>
        <v>0</v>
      </c>
      <c r="U239" s="114">
        <f t="shared" si="135"/>
        <v>36.166666666666664</v>
      </c>
      <c r="V239" s="114">
        <f t="shared" si="136"/>
        <v>0</v>
      </c>
      <c r="W239" s="114">
        <f t="shared" si="137"/>
        <v>1344.1944444444443</v>
      </c>
      <c r="X239" s="114"/>
      <c r="Y239" s="149">
        <f t="shared" si="138"/>
        <v>0</v>
      </c>
      <c r="Z239" s="149">
        <f t="shared" si="139"/>
        <v>0</v>
      </c>
      <c r="AA239" s="178">
        <f t="shared" si="140"/>
        <v>0</v>
      </c>
      <c r="AB239" s="113">
        <f t="shared" si="141"/>
        <v>0</v>
      </c>
      <c r="AC239" s="113">
        <f t="shared" si="120"/>
        <v>0</v>
      </c>
      <c r="AD239" s="114">
        <f t="shared" si="142"/>
        <v>36.166666666666664</v>
      </c>
      <c r="AE239" s="114">
        <f t="shared" si="143"/>
        <v>0</v>
      </c>
      <c r="AF239" s="114">
        <f t="shared" si="144"/>
        <v>1344.1944444444443</v>
      </c>
      <c r="AG239" s="114"/>
      <c r="AH239" s="176">
        <f t="shared" si="145"/>
        <v>82444106.225485712</v>
      </c>
      <c r="AI239" s="176">
        <f t="shared" si="146"/>
        <v>404940.71363092732</v>
      </c>
      <c r="AJ239" s="178">
        <f t="shared" si="147"/>
        <v>1336731.0774647668</v>
      </c>
      <c r="AK239" s="113">
        <f t="shared" si="148"/>
        <v>1741671.7910956941</v>
      </c>
      <c r="AL239" s="113">
        <f t="shared" si="121"/>
        <v>613942.89980451658</v>
      </c>
      <c r="AM239" s="114">
        <f t="shared" si="149"/>
        <v>36.166666666666664</v>
      </c>
      <c r="AN239" s="114">
        <f t="shared" si="150"/>
        <v>6.1195072359403052E-3</v>
      </c>
      <c r="AO239" s="114">
        <f t="shared" si="151"/>
        <v>1344.1944444444443</v>
      </c>
    </row>
    <row r="240" spans="1:41" hidden="1" outlineLevel="1" x14ac:dyDescent="0.3">
      <c r="A240" s="146">
        <f t="shared" si="122"/>
        <v>218</v>
      </c>
      <c r="B240" s="147">
        <f t="shared" si="115"/>
        <v>67</v>
      </c>
      <c r="C240" s="147">
        <f t="shared" si="114"/>
        <v>293</v>
      </c>
      <c r="D240" s="149">
        <f t="shared" si="123"/>
        <v>81111324.860456213</v>
      </c>
      <c r="E240" s="149">
        <f t="shared" si="124"/>
        <v>1433180.3120099495</v>
      </c>
      <c r="F240" s="149">
        <f t="shared" si="116"/>
        <v>412220.53112742829</v>
      </c>
      <c r="G240" s="149">
        <f t="shared" si="117"/>
        <v>398479.84675651399</v>
      </c>
      <c r="H240" s="149">
        <f t="shared" si="125"/>
        <v>13740.6843709143</v>
      </c>
      <c r="I240" s="149">
        <f t="shared" si="126"/>
        <v>1020959.7808825212</v>
      </c>
      <c r="J240" s="147">
        <f t="shared" si="127"/>
        <v>4.4999999999999998E-2</v>
      </c>
      <c r="K240" s="175">
        <f t="shared" si="118"/>
        <v>3.8296430163020645E-3</v>
      </c>
      <c r="L240" s="149">
        <f t="shared" si="128"/>
        <v>311821.58414691465</v>
      </c>
      <c r="M240" s="149">
        <f t="shared" si="129"/>
        <v>1731261.2117859498</v>
      </c>
      <c r="N240" s="149">
        <f t="shared" si="130"/>
        <v>1332781.3650294358</v>
      </c>
      <c r="P240" s="149">
        <f t="shared" si="131"/>
        <v>0</v>
      </c>
      <c r="Q240" s="149">
        <f t="shared" si="132"/>
        <v>0</v>
      </c>
      <c r="R240" s="178">
        <f t="shared" si="133"/>
        <v>0</v>
      </c>
      <c r="S240" s="113">
        <f t="shared" si="134"/>
        <v>0</v>
      </c>
      <c r="T240" s="113">
        <f t="shared" si="119"/>
        <v>0</v>
      </c>
      <c r="U240" s="114">
        <f t="shared" si="135"/>
        <v>36.333333333333336</v>
      </c>
      <c r="V240" s="114">
        <f t="shared" si="136"/>
        <v>0</v>
      </c>
      <c r="W240" s="114">
        <f t="shared" si="137"/>
        <v>1356.4444444444446</v>
      </c>
      <c r="X240" s="114"/>
      <c r="Y240" s="149">
        <f t="shared" si="138"/>
        <v>0</v>
      </c>
      <c r="Z240" s="149">
        <f t="shared" si="139"/>
        <v>0</v>
      </c>
      <c r="AA240" s="178">
        <f t="shared" si="140"/>
        <v>0</v>
      </c>
      <c r="AB240" s="113">
        <f t="shared" si="141"/>
        <v>0</v>
      </c>
      <c r="AC240" s="113">
        <f t="shared" si="120"/>
        <v>0</v>
      </c>
      <c r="AD240" s="114">
        <f t="shared" si="142"/>
        <v>36.333333333333336</v>
      </c>
      <c r="AE240" s="114">
        <f t="shared" si="143"/>
        <v>0</v>
      </c>
      <c r="AF240" s="114">
        <f t="shared" si="144"/>
        <v>1356.4444444444446</v>
      </c>
      <c r="AG240" s="114"/>
      <c r="AH240" s="176">
        <f t="shared" si="145"/>
        <v>81111324.860456273</v>
      </c>
      <c r="AI240" s="176">
        <f t="shared" si="146"/>
        <v>398479.84675651428</v>
      </c>
      <c r="AJ240" s="178">
        <f t="shared" si="147"/>
        <v>1332781.3650294358</v>
      </c>
      <c r="AK240" s="113">
        <f t="shared" si="148"/>
        <v>1731261.2117859502</v>
      </c>
      <c r="AL240" s="113">
        <f t="shared" si="121"/>
        <v>607347.78173352371</v>
      </c>
      <c r="AM240" s="114">
        <f t="shared" si="149"/>
        <v>36.333333333333336</v>
      </c>
      <c r="AN240" s="114">
        <f t="shared" si="150"/>
        <v>6.053770059453417E-3</v>
      </c>
      <c r="AO240" s="114">
        <f t="shared" si="151"/>
        <v>1356.4444444444446</v>
      </c>
    </row>
    <row r="241" spans="1:41" hidden="1" outlineLevel="1" x14ac:dyDescent="0.3">
      <c r="A241" s="146">
        <f t="shared" si="122"/>
        <v>219</v>
      </c>
      <c r="B241" s="147">
        <f t="shared" si="115"/>
        <v>66</v>
      </c>
      <c r="C241" s="147">
        <f t="shared" si="114"/>
        <v>294</v>
      </c>
      <c r="D241" s="149">
        <f t="shared" si="123"/>
        <v>79782476.735545859</v>
      </c>
      <c r="E241" s="149">
        <f t="shared" si="124"/>
        <v>1427691.7430369589</v>
      </c>
      <c r="F241" s="149">
        <f t="shared" si="116"/>
        <v>405556.62430228107</v>
      </c>
      <c r="G241" s="149">
        <f t="shared" si="117"/>
        <v>392038.07015887171</v>
      </c>
      <c r="H241" s="149">
        <f t="shared" si="125"/>
        <v>13518.554143409361</v>
      </c>
      <c r="I241" s="149">
        <f t="shared" si="126"/>
        <v>1022135.1187346778</v>
      </c>
      <c r="J241" s="147">
        <f t="shared" si="127"/>
        <v>4.4999999999999998E-2</v>
      </c>
      <c r="K241" s="175">
        <f t="shared" si="118"/>
        <v>3.8296430163020645E-3</v>
      </c>
      <c r="L241" s="149">
        <f t="shared" si="128"/>
        <v>306713.00617567485</v>
      </c>
      <c r="M241" s="149">
        <f t="shared" si="129"/>
        <v>1720886.1950692246</v>
      </c>
      <c r="N241" s="149">
        <f t="shared" si="130"/>
        <v>1328848.1249103528</v>
      </c>
      <c r="P241" s="149">
        <f t="shared" si="131"/>
        <v>0</v>
      </c>
      <c r="Q241" s="149">
        <f t="shared" si="132"/>
        <v>0</v>
      </c>
      <c r="R241" s="178">
        <f t="shared" si="133"/>
        <v>0</v>
      </c>
      <c r="S241" s="113">
        <f t="shared" si="134"/>
        <v>0</v>
      </c>
      <c r="T241" s="113">
        <f t="shared" si="119"/>
        <v>0</v>
      </c>
      <c r="U241" s="114">
        <f t="shared" si="135"/>
        <v>36.5</v>
      </c>
      <c r="V241" s="114">
        <f t="shared" si="136"/>
        <v>0</v>
      </c>
      <c r="W241" s="114">
        <f t="shared" si="137"/>
        <v>1368.75</v>
      </c>
      <c r="X241" s="114"/>
      <c r="Y241" s="149">
        <f t="shared" si="138"/>
        <v>0</v>
      </c>
      <c r="Z241" s="149">
        <f t="shared" si="139"/>
        <v>0</v>
      </c>
      <c r="AA241" s="178">
        <f t="shared" si="140"/>
        <v>0</v>
      </c>
      <c r="AB241" s="113">
        <f t="shared" si="141"/>
        <v>0</v>
      </c>
      <c r="AC241" s="113">
        <f t="shared" si="120"/>
        <v>0</v>
      </c>
      <c r="AD241" s="114">
        <f t="shared" si="142"/>
        <v>36.5</v>
      </c>
      <c r="AE241" s="114">
        <f t="shared" si="143"/>
        <v>0</v>
      </c>
      <c r="AF241" s="114">
        <f t="shared" si="144"/>
        <v>1368.75</v>
      </c>
      <c r="AG241" s="114"/>
      <c r="AH241" s="176">
        <f t="shared" si="145"/>
        <v>79782476.735545918</v>
      </c>
      <c r="AI241" s="176">
        <f t="shared" si="146"/>
        <v>392038.070158872</v>
      </c>
      <c r="AJ241" s="178">
        <f t="shared" si="147"/>
        <v>1328848.1249103528</v>
      </c>
      <c r="AK241" s="113">
        <f t="shared" si="148"/>
        <v>1720886.1950692248</v>
      </c>
      <c r="AL241" s="113">
        <f t="shared" si="121"/>
        <v>600814.20036794816</v>
      </c>
      <c r="AM241" s="114">
        <f t="shared" si="149"/>
        <v>36.5</v>
      </c>
      <c r="AN241" s="114">
        <f t="shared" si="150"/>
        <v>5.988646253223269E-3</v>
      </c>
      <c r="AO241" s="114">
        <f t="shared" si="151"/>
        <v>1368.75</v>
      </c>
    </row>
    <row r="242" spans="1:41" hidden="1" outlineLevel="1" x14ac:dyDescent="0.3">
      <c r="A242" s="146">
        <f t="shared" si="122"/>
        <v>220</v>
      </c>
      <c r="B242" s="147">
        <f t="shared" si="115"/>
        <v>65</v>
      </c>
      <c r="C242" s="147">
        <f t="shared" si="114"/>
        <v>295</v>
      </c>
      <c r="D242" s="149">
        <f t="shared" si="123"/>
        <v>78457545.439971536</v>
      </c>
      <c r="E242" s="149">
        <f t="shared" si="124"/>
        <v>1422224.1933238052</v>
      </c>
      <c r="F242" s="149">
        <f t="shared" si="116"/>
        <v>398912.38367772929</v>
      </c>
      <c r="G242" s="149">
        <f t="shared" si="117"/>
        <v>385615.30422180501</v>
      </c>
      <c r="H242" s="149">
        <f t="shared" si="125"/>
        <v>13297.079455924279</v>
      </c>
      <c r="I242" s="149">
        <f t="shared" si="126"/>
        <v>1023311.8096460759</v>
      </c>
      <c r="J242" s="147">
        <f t="shared" si="127"/>
        <v>4.4999999999999998E-2</v>
      </c>
      <c r="K242" s="175">
        <f t="shared" si="118"/>
        <v>3.8296430163020645E-3</v>
      </c>
      <c r="L242" s="149">
        <f t="shared" si="128"/>
        <v>301619.48592825461</v>
      </c>
      <c r="M242" s="149">
        <f t="shared" si="129"/>
        <v>1710546.5997961357</v>
      </c>
      <c r="N242" s="149">
        <f t="shared" si="130"/>
        <v>1324931.2955743305</v>
      </c>
      <c r="P242" s="149">
        <f t="shared" si="131"/>
        <v>0</v>
      </c>
      <c r="Q242" s="149">
        <f t="shared" si="132"/>
        <v>0</v>
      </c>
      <c r="R242" s="178">
        <f t="shared" si="133"/>
        <v>0</v>
      </c>
      <c r="S242" s="113">
        <f t="shared" si="134"/>
        <v>0</v>
      </c>
      <c r="T242" s="113">
        <f t="shared" si="119"/>
        <v>0</v>
      </c>
      <c r="U242" s="114">
        <f t="shared" si="135"/>
        <v>36.666666666666664</v>
      </c>
      <c r="V242" s="114">
        <f t="shared" si="136"/>
        <v>0</v>
      </c>
      <c r="W242" s="114">
        <f t="shared" si="137"/>
        <v>1381.1111111111109</v>
      </c>
      <c r="X242" s="114"/>
      <c r="Y242" s="149">
        <f t="shared" si="138"/>
        <v>0</v>
      </c>
      <c r="Z242" s="149">
        <f t="shared" si="139"/>
        <v>0</v>
      </c>
      <c r="AA242" s="178">
        <f t="shared" si="140"/>
        <v>0</v>
      </c>
      <c r="AB242" s="113">
        <f t="shared" si="141"/>
        <v>0</v>
      </c>
      <c r="AC242" s="113">
        <f t="shared" si="120"/>
        <v>0</v>
      </c>
      <c r="AD242" s="114">
        <f t="shared" si="142"/>
        <v>36.666666666666664</v>
      </c>
      <c r="AE242" s="114">
        <f t="shared" si="143"/>
        <v>0</v>
      </c>
      <c r="AF242" s="114">
        <f t="shared" si="144"/>
        <v>1381.1111111111109</v>
      </c>
      <c r="AG242" s="114"/>
      <c r="AH242" s="176">
        <f t="shared" si="145"/>
        <v>78457545.439971581</v>
      </c>
      <c r="AI242" s="176">
        <f t="shared" si="146"/>
        <v>385615.3042218053</v>
      </c>
      <c r="AJ242" s="178">
        <f t="shared" si="147"/>
        <v>1324931.2955743305</v>
      </c>
      <c r="AK242" s="113">
        <f t="shared" si="148"/>
        <v>1710546.5997961359</v>
      </c>
      <c r="AL242" s="113">
        <f t="shared" si="121"/>
        <v>594341.60873350932</v>
      </c>
      <c r="AM242" s="114">
        <f t="shared" si="149"/>
        <v>36.666666666666664</v>
      </c>
      <c r="AN242" s="114">
        <f t="shared" si="150"/>
        <v>5.9241303652557611E-3</v>
      </c>
      <c r="AO242" s="114">
        <f t="shared" si="151"/>
        <v>1381.1111111111109</v>
      </c>
    </row>
    <row r="243" spans="1:41" hidden="1" outlineLevel="1" x14ac:dyDescent="0.3">
      <c r="A243" s="146">
        <f t="shared" si="122"/>
        <v>221</v>
      </c>
      <c r="B243" s="147">
        <f t="shared" si="115"/>
        <v>64</v>
      </c>
      <c r="C243" s="147">
        <f t="shared" si="114"/>
        <v>296</v>
      </c>
      <c r="D243" s="149">
        <f t="shared" si="123"/>
        <v>77136514.624245927</v>
      </c>
      <c r="E243" s="149">
        <f t="shared" si="124"/>
        <v>1416777.5823742268</v>
      </c>
      <c r="F243" s="149">
        <f t="shared" si="116"/>
        <v>392287.72719985771</v>
      </c>
      <c r="G243" s="149">
        <f t="shared" si="117"/>
        <v>379211.46962652908</v>
      </c>
      <c r="H243" s="149">
        <f t="shared" si="125"/>
        <v>13076.257573328621</v>
      </c>
      <c r="I243" s="149">
        <f t="shared" si="126"/>
        <v>1024489.8551743691</v>
      </c>
      <c r="J243" s="147">
        <f t="shared" si="127"/>
        <v>4.4999999999999998E-2</v>
      </c>
      <c r="K243" s="175">
        <f t="shared" si="118"/>
        <v>3.8296430163020645E-3</v>
      </c>
      <c r="L243" s="149">
        <f t="shared" si="128"/>
        <v>296540.96055124805</v>
      </c>
      <c r="M243" s="149">
        <f t="shared" si="129"/>
        <v>1700242.2853521463</v>
      </c>
      <c r="N243" s="149">
        <f t="shared" si="130"/>
        <v>1321030.8157256171</v>
      </c>
      <c r="P243" s="149">
        <f t="shared" si="131"/>
        <v>0</v>
      </c>
      <c r="Q243" s="149">
        <f t="shared" si="132"/>
        <v>0</v>
      </c>
      <c r="R243" s="178">
        <f t="shared" si="133"/>
        <v>0</v>
      </c>
      <c r="S243" s="113">
        <f t="shared" si="134"/>
        <v>0</v>
      </c>
      <c r="T243" s="113">
        <f t="shared" si="119"/>
        <v>0</v>
      </c>
      <c r="U243" s="114">
        <f t="shared" si="135"/>
        <v>36.833333333333336</v>
      </c>
      <c r="V243" s="114">
        <f t="shared" si="136"/>
        <v>0</v>
      </c>
      <c r="W243" s="114">
        <f t="shared" si="137"/>
        <v>1393.5277777777781</v>
      </c>
      <c r="X243" s="114"/>
      <c r="Y243" s="149">
        <f t="shared" si="138"/>
        <v>0</v>
      </c>
      <c r="Z243" s="149">
        <f t="shared" si="139"/>
        <v>0</v>
      </c>
      <c r="AA243" s="178">
        <f t="shared" si="140"/>
        <v>0</v>
      </c>
      <c r="AB243" s="113">
        <f t="shared" si="141"/>
        <v>0</v>
      </c>
      <c r="AC243" s="113">
        <f t="shared" si="120"/>
        <v>0</v>
      </c>
      <c r="AD243" s="114">
        <f t="shared" si="142"/>
        <v>36.833333333333336</v>
      </c>
      <c r="AE243" s="114">
        <f t="shared" si="143"/>
        <v>0</v>
      </c>
      <c r="AF243" s="114">
        <f t="shared" si="144"/>
        <v>1393.5277777777781</v>
      </c>
      <c r="AG243" s="114"/>
      <c r="AH243" s="176">
        <f t="shared" si="145"/>
        <v>77136514.624245971</v>
      </c>
      <c r="AI243" s="176">
        <f t="shared" si="146"/>
        <v>379211.46962652932</v>
      </c>
      <c r="AJ243" s="178">
        <f t="shared" si="147"/>
        <v>1321030.8157256171</v>
      </c>
      <c r="AK243" s="113">
        <f t="shared" si="148"/>
        <v>1700242.2853521465</v>
      </c>
      <c r="AL243" s="113">
        <f t="shared" si="121"/>
        <v>587929.46462624089</v>
      </c>
      <c r="AM243" s="114">
        <f t="shared" si="149"/>
        <v>36.833333333333336</v>
      </c>
      <c r="AN243" s="114">
        <f t="shared" si="150"/>
        <v>5.8602169911051438E-3</v>
      </c>
      <c r="AO243" s="114">
        <f t="shared" si="151"/>
        <v>1393.5277777777781</v>
      </c>
    </row>
    <row r="244" spans="1:41" hidden="1" outlineLevel="1" x14ac:dyDescent="0.3">
      <c r="A244" s="146">
        <f t="shared" si="122"/>
        <v>222</v>
      </c>
      <c r="B244" s="147">
        <f t="shared" si="115"/>
        <v>63</v>
      </c>
      <c r="C244" s="147">
        <f t="shared" si="114"/>
        <v>297</v>
      </c>
      <c r="D244" s="149">
        <f t="shared" si="123"/>
        <v>75819367.999940947</v>
      </c>
      <c r="E244" s="149">
        <f t="shared" si="124"/>
        <v>1411351.8300002341</v>
      </c>
      <c r="F244" s="149">
        <f t="shared" si="116"/>
        <v>385682.57312122965</v>
      </c>
      <c r="G244" s="149">
        <f t="shared" si="117"/>
        <v>372826.48735052202</v>
      </c>
      <c r="H244" s="149">
        <f t="shared" si="125"/>
        <v>12856.085770707636</v>
      </c>
      <c r="I244" s="149">
        <f t="shared" si="126"/>
        <v>1025669.2568790044</v>
      </c>
      <c r="J244" s="147">
        <f t="shared" si="127"/>
        <v>4.4999999999999998E-2</v>
      </c>
      <c r="K244" s="175">
        <f t="shared" si="118"/>
        <v>3.8296430163020645E-3</v>
      </c>
      <c r="L244" s="149">
        <f t="shared" si="128"/>
        <v>291477.36742598307</v>
      </c>
      <c r="M244" s="149">
        <f t="shared" si="129"/>
        <v>1689973.1116555096</v>
      </c>
      <c r="N244" s="149">
        <f t="shared" si="130"/>
        <v>1317146.6243049875</v>
      </c>
      <c r="P244" s="149">
        <f t="shared" si="131"/>
        <v>0</v>
      </c>
      <c r="Q244" s="149">
        <f t="shared" si="132"/>
        <v>0</v>
      </c>
      <c r="R244" s="178">
        <f t="shared" si="133"/>
        <v>0</v>
      </c>
      <c r="S244" s="113">
        <f t="shared" si="134"/>
        <v>0</v>
      </c>
      <c r="T244" s="113">
        <f t="shared" si="119"/>
        <v>0</v>
      </c>
      <c r="U244" s="114">
        <f t="shared" si="135"/>
        <v>37</v>
      </c>
      <c r="V244" s="114">
        <f t="shared" si="136"/>
        <v>0</v>
      </c>
      <c r="W244" s="114">
        <f t="shared" si="137"/>
        <v>1406</v>
      </c>
      <c r="X244" s="114"/>
      <c r="Y244" s="149">
        <f t="shared" si="138"/>
        <v>0</v>
      </c>
      <c r="Z244" s="149">
        <f t="shared" si="139"/>
        <v>0</v>
      </c>
      <c r="AA244" s="178">
        <f t="shared" si="140"/>
        <v>0</v>
      </c>
      <c r="AB244" s="113">
        <f t="shared" si="141"/>
        <v>0</v>
      </c>
      <c r="AC244" s="113">
        <f t="shared" si="120"/>
        <v>0</v>
      </c>
      <c r="AD244" s="114">
        <f t="shared" si="142"/>
        <v>37</v>
      </c>
      <c r="AE244" s="114">
        <f t="shared" si="143"/>
        <v>0</v>
      </c>
      <c r="AF244" s="114">
        <f t="shared" si="144"/>
        <v>1406</v>
      </c>
      <c r="AG244" s="114"/>
      <c r="AH244" s="176">
        <f t="shared" si="145"/>
        <v>75819367.999940991</v>
      </c>
      <c r="AI244" s="176">
        <f t="shared" si="146"/>
        <v>372826.48735052219</v>
      </c>
      <c r="AJ244" s="178">
        <f t="shared" si="147"/>
        <v>1317146.6243049875</v>
      </c>
      <c r="AK244" s="113">
        <f t="shared" si="148"/>
        <v>1689973.1116555096</v>
      </c>
      <c r="AL244" s="113">
        <f t="shared" si="121"/>
        <v>581577.23057121166</v>
      </c>
      <c r="AM244" s="114">
        <f t="shared" si="149"/>
        <v>37</v>
      </c>
      <c r="AN244" s="114">
        <f t="shared" si="150"/>
        <v>5.7969007734625664E-3</v>
      </c>
      <c r="AO244" s="114">
        <f t="shared" si="151"/>
        <v>1406</v>
      </c>
    </row>
    <row r="245" spans="1:41" hidden="1" outlineLevel="1" x14ac:dyDescent="0.3">
      <c r="A245" s="146">
        <f t="shared" si="122"/>
        <v>223</v>
      </c>
      <c r="B245" s="147">
        <f t="shared" si="115"/>
        <v>62</v>
      </c>
      <c r="C245" s="147">
        <f t="shared" si="114"/>
        <v>298</v>
      </c>
      <c r="D245" s="149">
        <f t="shared" si="123"/>
        <v>74506089.339452103</v>
      </c>
      <c r="E245" s="149">
        <f t="shared" si="124"/>
        <v>1405946.8563209285</v>
      </c>
      <c r="F245" s="149">
        <f t="shared" si="116"/>
        <v>379096.83999970474</v>
      </c>
      <c r="G245" s="149">
        <f t="shared" si="117"/>
        <v>366460.27866638126</v>
      </c>
      <c r="H245" s="149">
        <f t="shared" si="125"/>
        <v>12636.56133332348</v>
      </c>
      <c r="I245" s="149">
        <f t="shared" si="126"/>
        <v>1026850.0163212238</v>
      </c>
      <c r="J245" s="147">
        <f t="shared" si="127"/>
        <v>4.4999999999999998E-2</v>
      </c>
      <c r="K245" s="175">
        <f t="shared" si="118"/>
        <v>3.8296430163020645E-3</v>
      </c>
      <c r="L245" s="149">
        <f t="shared" si="128"/>
        <v>286428.6441676158</v>
      </c>
      <c r="M245" s="149">
        <f t="shared" si="129"/>
        <v>1679738.9391552208</v>
      </c>
      <c r="N245" s="149">
        <f t="shared" si="130"/>
        <v>1313278.6604888397</v>
      </c>
      <c r="P245" s="149">
        <f t="shared" si="131"/>
        <v>0</v>
      </c>
      <c r="Q245" s="149">
        <f t="shared" si="132"/>
        <v>0</v>
      </c>
      <c r="R245" s="178">
        <f t="shared" si="133"/>
        <v>0</v>
      </c>
      <c r="S245" s="113">
        <f t="shared" si="134"/>
        <v>0</v>
      </c>
      <c r="T245" s="113">
        <f t="shared" si="119"/>
        <v>0</v>
      </c>
      <c r="U245" s="114">
        <f t="shared" si="135"/>
        <v>37.166666666666664</v>
      </c>
      <c r="V245" s="114">
        <f t="shared" si="136"/>
        <v>0</v>
      </c>
      <c r="W245" s="114">
        <f t="shared" si="137"/>
        <v>1418.5277777777776</v>
      </c>
      <c r="X245" s="114"/>
      <c r="Y245" s="149">
        <f t="shared" si="138"/>
        <v>0</v>
      </c>
      <c r="Z245" s="149">
        <f t="shared" si="139"/>
        <v>0</v>
      </c>
      <c r="AA245" s="178">
        <f t="shared" si="140"/>
        <v>0</v>
      </c>
      <c r="AB245" s="113">
        <f t="shared" si="141"/>
        <v>0</v>
      </c>
      <c r="AC245" s="113">
        <f t="shared" si="120"/>
        <v>0</v>
      </c>
      <c r="AD245" s="114">
        <f t="shared" si="142"/>
        <v>37.166666666666664</v>
      </c>
      <c r="AE245" s="114">
        <f t="shared" si="143"/>
        <v>0</v>
      </c>
      <c r="AF245" s="114">
        <f t="shared" si="144"/>
        <v>1418.5277777777776</v>
      </c>
      <c r="AG245" s="114"/>
      <c r="AH245" s="176">
        <f t="shared" si="145"/>
        <v>74506089.339452147</v>
      </c>
      <c r="AI245" s="176">
        <f t="shared" si="146"/>
        <v>366460.27866638149</v>
      </c>
      <c r="AJ245" s="178">
        <f t="shared" si="147"/>
        <v>1313278.6604888397</v>
      </c>
      <c r="AK245" s="113">
        <f t="shared" si="148"/>
        <v>1679738.9391552212</v>
      </c>
      <c r="AL245" s="113">
        <f t="shared" si="121"/>
        <v>575284.37378160201</v>
      </c>
      <c r="AM245" s="114">
        <f t="shared" si="149"/>
        <v>37.166666666666664</v>
      </c>
      <c r="AN245" s="114">
        <f t="shared" si="150"/>
        <v>5.7341764017481709E-3</v>
      </c>
      <c r="AO245" s="114">
        <f t="shared" si="151"/>
        <v>1418.5277777777776</v>
      </c>
    </row>
    <row r="246" spans="1:41" hidden="1" outlineLevel="1" x14ac:dyDescent="0.3">
      <c r="A246" s="146">
        <f t="shared" si="122"/>
        <v>224</v>
      </c>
      <c r="B246" s="147">
        <f t="shared" si="115"/>
        <v>61</v>
      </c>
      <c r="C246" s="147">
        <f t="shared" si="114"/>
        <v>299</v>
      </c>
      <c r="D246" s="149">
        <f t="shared" si="123"/>
        <v>73196662.475763813</v>
      </c>
      <c r="E246" s="149">
        <f t="shared" si="124"/>
        <v>1400562.5817613273</v>
      </c>
      <c r="F246" s="149">
        <f t="shared" si="116"/>
        <v>372530.44669726054</v>
      </c>
      <c r="G246" s="149">
        <f t="shared" si="117"/>
        <v>360112.76514068519</v>
      </c>
      <c r="H246" s="149">
        <f t="shared" si="125"/>
        <v>12417.68155657535</v>
      </c>
      <c r="I246" s="149">
        <f t="shared" si="126"/>
        <v>1028032.1350640669</v>
      </c>
      <c r="J246" s="147">
        <f t="shared" si="127"/>
        <v>4.4999999999999998E-2</v>
      </c>
      <c r="K246" s="175">
        <f t="shared" si="118"/>
        <v>3.8296430163020645E-3</v>
      </c>
      <c r="L246" s="149">
        <f t="shared" si="128"/>
        <v>281394.72862422827</v>
      </c>
      <c r="M246" s="149">
        <f t="shared" si="129"/>
        <v>1669539.6288289805</v>
      </c>
      <c r="N246" s="149">
        <f t="shared" si="130"/>
        <v>1309426.8636882952</v>
      </c>
      <c r="P246" s="149">
        <f t="shared" si="131"/>
        <v>0</v>
      </c>
      <c r="Q246" s="149">
        <f t="shared" si="132"/>
        <v>0</v>
      </c>
      <c r="R246" s="178">
        <f t="shared" si="133"/>
        <v>0</v>
      </c>
      <c r="S246" s="113">
        <f t="shared" si="134"/>
        <v>0</v>
      </c>
      <c r="T246" s="113">
        <f t="shared" si="119"/>
        <v>0</v>
      </c>
      <c r="U246" s="114">
        <f t="shared" si="135"/>
        <v>37.333333333333336</v>
      </c>
      <c r="V246" s="114">
        <f t="shared" si="136"/>
        <v>0</v>
      </c>
      <c r="W246" s="114">
        <f t="shared" si="137"/>
        <v>1431.1111111111113</v>
      </c>
      <c r="X246" s="114"/>
      <c r="Y246" s="149">
        <f t="shared" si="138"/>
        <v>0</v>
      </c>
      <c r="Z246" s="149">
        <f t="shared" si="139"/>
        <v>0</v>
      </c>
      <c r="AA246" s="178">
        <f t="shared" si="140"/>
        <v>0</v>
      </c>
      <c r="AB246" s="113">
        <f t="shared" si="141"/>
        <v>0</v>
      </c>
      <c r="AC246" s="113">
        <f t="shared" si="120"/>
        <v>0</v>
      </c>
      <c r="AD246" s="114">
        <f t="shared" si="142"/>
        <v>37.333333333333336</v>
      </c>
      <c r="AE246" s="114">
        <f t="shared" si="143"/>
        <v>0</v>
      </c>
      <c r="AF246" s="114">
        <f t="shared" si="144"/>
        <v>1431.1111111111113</v>
      </c>
      <c r="AG246" s="114"/>
      <c r="AH246" s="176">
        <f t="shared" si="145"/>
        <v>73196662.475763857</v>
      </c>
      <c r="AI246" s="176">
        <f t="shared" si="146"/>
        <v>360112.76514068537</v>
      </c>
      <c r="AJ246" s="178">
        <f t="shared" si="147"/>
        <v>1309426.8636882952</v>
      </c>
      <c r="AK246" s="113">
        <f t="shared" si="148"/>
        <v>1669539.6288289805</v>
      </c>
      <c r="AL246" s="113">
        <f t="shared" si="121"/>
        <v>569050.36611813109</v>
      </c>
      <c r="AM246" s="114">
        <f t="shared" si="149"/>
        <v>37.333333333333336</v>
      </c>
      <c r="AN246" s="114">
        <f t="shared" si="150"/>
        <v>5.6720386117066791E-3</v>
      </c>
      <c r="AO246" s="114">
        <f t="shared" si="151"/>
        <v>1431.1111111111113</v>
      </c>
    </row>
    <row r="247" spans="1:41" hidden="1" outlineLevel="1" x14ac:dyDescent="0.3">
      <c r="A247" s="146">
        <f t="shared" si="122"/>
        <v>225</v>
      </c>
      <c r="B247" s="147">
        <f t="shared" si="115"/>
        <v>60</v>
      </c>
      <c r="C247" s="147">
        <f t="shared" si="114"/>
        <v>300</v>
      </c>
      <c r="D247" s="149">
        <f t="shared" si="123"/>
        <v>71891071.302215502</v>
      </c>
      <c r="E247" s="149">
        <f t="shared" si="124"/>
        <v>1395198.927051191</v>
      </c>
      <c r="F247" s="149">
        <f t="shared" si="116"/>
        <v>365983.31237881904</v>
      </c>
      <c r="G247" s="149">
        <f t="shared" si="117"/>
        <v>353783.86863285844</v>
      </c>
      <c r="H247" s="149">
        <f t="shared" si="125"/>
        <v>12199.443745960598</v>
      </c>
      <c r="I247" s="149">
        <f t="shared" si="126"/>
        <v>1029215.6146723719</v>
      </c>
      <c r="J247" s="147">
        <f t="shared" si="127"/>
        <v>4.4999999999999998E-2</v>
      </c>
      <c r="K247" s="175">
        <f t="shared" si="118"/>
        <v>3.8296430163020645E-3</v>
      </c>
      <c r="L247" s="149">
        <f t="shared" si="128"/>
        <v>276375.55887592916</v>
      </c>
      <c r="M247" s="149">
        <f t="shared" si="129"/>
        <v>1659375.0421811594</v>
      </c>
      <c r="N247" s="149">
        <f t="shared" si="130"/>
        <v>1305591.173548301</v>
      </c>
      <c r="P247" s="149">
        <f t="shared" si="131"/>
        <v>0</v>
      </c>
      <c r="Q247" s="149">
        <f t="shared" si="132"/>
        <v>0</v>
      </c>
      <c r="R247" s="178">
        <f t="shared" si="133"/>
        <v>0</v>
      </c>
      <c r="S247" s="113">
        <f t="shared" si="134"/>
        <v>0</v>
      </c>
      <c r="T247" s="113">
        <f t="shared" si="119"/>
        <v>0</v>
      </c>
      <c r="U247" s="114">
        <f t="shared" si="135"/>
        <v>37.5</v>
      </c>
      <c r="V247" s="114">
        <f t="shared" si="136"/>
        <v>0</v>
      </c>
      <c r="W247" s="114">
        <f t="shared" si="137"/>
        <v>1443.75</v>
      </c>
      <c r="X247" s="114"/>
      <c r="Y247" s="149">
        <f t="shared" si="138"/>
        <v>0</v>
      </c>
      <c r="Z247" s="149">
        <f t="shared" si="139"/>
        <v>0</v>
      </c>
      <c r="AA247" s="178">
        <f t="shared" si="140"/>
        <v>0</v>
      </c>
      <c r="AB247" s="113">
        <f t="shared" si="141"/>
        <v>0</v>
      </c>
      <c r="AC247" s="113">
        <f t="shared" si="120"/>
        <v>0</v>
      </c>
      <c r="AD247" s="114">
        <f t="shared" si="142"/>
        <v>37.5</v>
      </c>
      <c r="AE247" s="114">
        <f t="shared" si="143"/>
        <v>0</v>
      </c>
      <c r="AF247" s="114">
        <f t="shared" si="144"/>
        <v>1443.75</v>
      </c>
      <c r="AG247" s="114"/>
      <c r="AH247" s="176">
        <f t="shared" si="145"/>
        <v>71891071.302215561</v>
      </c>
      <c r="AI247" s="176">
        <f t="shared" si="146"/>
        <v>353783.86863285868</v>
      </c>
      <c r="AJ247" s="178">
        <f t="shared" si="147"/>
        <v>1305591.173548301</v>
      </c>
      <c r="AK247" s="113">
        <f t="shared" si="148"/>
        <v>1659375.0421811596</v>
      </c>
      <c r="AL247" s="113">
        <f t="shared" si="121"/>
        <v>562874.68404883775</v>
      </c>
      <c r="AM247" s="114">
        <f t="shared" si="149"/>
        <v>37.5</v>
      </c>
      <c r="AN247" s="114">
        <f t="shared" si="150"/>
        <v>5.6104821850065083E-3</v>
      </c>
      <c r="AO247" s="114">
        <f t="shared" si="151"/>
        <v>1443.75</v>
      </c>
    </row>
    <row r="248" spans="1:41" hidden="1" outlineLevel="1" x14ac:dyDescent="0.3">
      <c r="A248" s="146">
        <f t="shared" si="122"/>
        <v>226</v>
      </c>
      <c r="B248" s="147">
        <f t="shared" si="115"/>
        <v>59</v>
      </c>
      <c r="C248" s="147">
        <f t="shared" si="114"/>
        <v>301</v>
      </c>
      <c r="D248" s="149">
        <f t="shared" si="123"/>
        <v>70589299.772268757</v>
      </c>
      <c r="E248" s="149">
        <f t="shared" si="124"/>
        <v>1389855.8132238572</v>
      </c>
      <c r="F248" s="149">
        <f t="shared" si="116"/>
        <v>359455.35651107749</v>
      </c>
      <c r="G248" s="149">
        <f t="shared" si="117"/>
        <v>347473.51129404159</v>
      </c>
      <c r="H248" s="149">
        <f t="shared" si="125"/>
        <v>11981.845217035909</v>
      </c>
      <c r="I248" s="149">
        <f t="shared" si="126"/>
        <v>1030400.4567127797</v>
      </c>
      <c r="J248" s="147">
        <f t="shared" si="127"/>
        <v>4.4999999999999998E-2</v>
      </c>
      <c r="K248" s="175">
        <f t="shared" si="118"/>
        <v>3.8296430163020645E-3</v>
      </c>
      <c r="L248" s="149">
        <f t="shared" si="128"/>
        <v>271371.0732339588</v>
      </c>
      <c r="M248" s="149">
        <f t="shared" si="129"/>
        <v>1649245.0412407801</v>
      </c>
      <c r="N248" s="149">
        <f t="shared" si="130"/>
        <v>1301771.5299467384</v>
      </c>
      <c r="P248" s="149">
        <f t="shared" si="131"/>
        <v>0</v>
      </c>
      <c r="Q248" s="149">
        <f t="shared" si="132"/>
        <v>0</v>
      </c>
      <c r="R248" s="178">
        <f t="shared" si="133"/>
        <v>0</v>
      </c>
      <c r="S248" s="113">
        <f t="shared" si="134"/>
        <v>0</v>
      </c>
      <c r="T248" s="113">
        <f t="shared" si="119"/>
        <v>0</v>
      </c>
      <c r="U248" s="114">
        <f t="shared" si="135"/>
        <v>37.666666666666664</v>
      </c>
      <c r="V248" s="114">
        <f t="shared" si="136"/>
        <v>0</v>
      </c>
      <c r="W248" s="114">
        <f t="shared" si="137"/>
        <v>1456.4444444444443</v>
      </c>
      <c r="X248" s="114"/>
      <c r="Y248" s="149">
        <f t="shared" si="138"/>
        <v>0</v>
      </c>
      <c r="Z248" s="149">
        <f t="shared" si="139"/>
        <v>0</v>
      </c>
      <c r="AA248" s="178">
        <f t="shared" si="140"/>
        <v>0</v>
      </c>
      <c r="AB248" s="113">
        <f t="shared" si="141"/>
        <v>0</v>
      </c>
      <c r="AC248" s="113">
        <f t="shared" si="120"/>
        <v>0</v>
      </c>
      <c r="AD248" s="114">
        <f t="shared" si="142"/>
        <v>37.666666666666664</v>
      </c>
      <c r="AE248" s="114">
        <f t="shared" si="143"/>
        <v>0</v>
      </c>
      <c r="AF248" s="114">
        <f t="shared" si="144"/>
        <v>1456.4444444444443</v>
      </c>
      <c r="AG248" s="114"/>
      <c r="AH248" s="176">
        <f t="shared" si="145"/>
        <v>70589299.772268817</v>
      </c>
      <c r="AI248" s="176">
        <f t="shared" si="146"/>
        <v>347473.51129404188</v>
      </c>
      <c r="AJ248" s="178">
        <f t="shared" si="147"/>
        <v>1301771.5299467384</v>
      </c>
      <c r="AK248" s="113">
        <f t="shared" si="148"/>
        <v>1649245.0412407801</v>
      </c>
      <c r="AL248" s="113">
        <f t="shared" si="121"/>
        <v>556756.80860920495</v>
      </c>
      <c r="AM248" s="114">
        <f t="shared" si="149"/>
        <v>37.666666666666664</v>
      </c>
      <c r="AN248" s="114">
        <f t="shared" si="150"/>
        <v>5.549501948842306E-3</v>
      </c>
      <c r="AO248" s="114">
        <f t="shared" si="151"/>
        <v>1456.4444444444443</v>
      </c>
    </row>
    <row r="249" spans="1:41" hidden="1" outlineLevel="1" x14ac:dyDescent="0.3">
      <c r="A249" s="146">
        <f t="shared" si="122"/>
        <v>227</v>
      </c>
      <c r="B249" s="147">
        <f t="shared" si="115"/>
        <v>58</v>
      </c>
      <c r="C249" s="147">
        <f t="shared" si="114"/>
        <v>302</v>
      </c>
      <c r="D249" s="149">
        <f t="shared" si="123"/>
        <v>69291331.899275228</v>
      </c>
      <c r="E249" s="149">
        <f t="shared" si="124"/>
        <v>1384533.1616150776</v>
      </c>
      <c r="F249" s="149">
        <f t="shared" si="116"/>
        <v>352946.49886134377</v>
      </c>
      <c r="G249" s="149">
        <f t="shared" si="117"/>
        <v>341181.61556596565</v>
      </c>
      <c r="H249" s="149">
        <f t="shared" si="125"/>
        <v>11764.883295378124</v>
      </c>
      <c r="I249" s="149">
        <f t="shared" si="126"/>
        <v>1031586.6627537338</v>
      </c>
      <c r="J249" s="147">
        <f t="shared" si="127"/>
        <v>4.4999999999999998E-2</v>
      </c>
      <c r="K249" s="175">
        <f t="shared" si="118"/>
        <v>3.8296430163020645E-3</v>
      </c>
      <c r="L249" s="149">
        <f t="shared" si="128"/>
        <v>266381.21023979678</v>
      </c>
      <c r="M249" s="149">
        <f t="shared" si="129"/>
        <v>1639149.4885594961</v>
      </c>
      <c r="N249" s="149">
        <f t="shared" si="130"/>
        <v>1297967.8729935307</v>
      </c>
      <c r="P249" s="149">
        <f t="shared" si="131"/>
        <v>0</v>
      </c>
      <c r="Q249" s="149">
        <f t="shared" si="132"/>
        <v>0</v>
      </c>
      <c r="R249" s="178">
        <f t="shared" si="133"/>
        <v>0</v>
      </c>
      <c r="S249" s="113">
        <f t="shared" si="134"/>
        <v>0</v>
      </c>
      <c r="T249" s="113">
        <f t="shared" si="119"/>
        <v>0</v>
      </c>
      <c r="U249" s="114">
        <f t="shared" si="135"/>
        <v>37.833333333333336</v>
      </c>
      <c r="V249" s="114">
        <f t="shared" si="136"/>
        <v>0</v>
      </c>
      <c r="W249" s="114">
        <f t="shared" si="137"/>
        <v>1469.1944444444446</v>
      </c>
      <c r="X249" s="114"/>
      <c r="Y249" s="149">
        <f t="shared" si="138"/>
        <v>0</v>
      </c>
      <c r="Z249" s="149">
        <f t="shared" si="139"/>
        <v>0</v>
      </c>
      <c r="AA249" s="178">
        <f t="shared" si="140"/>
        <v>0</v>
      </c>
      <c r="AB249" s="113">
        <f t="shared" si="141"/>
        <v>0</v>
      </c>
      <c r="AC249" s="113">
        <f t="shared" si="120"/>
        <v>0</v>
      </c>
      <c r="AD249" s="114">
        <f t="shared" si="142"/>
        <v>37.833333333333336</v>
      </c>
      <c r="AE249" s="114">
        <f t="shared" si="143"/>
        <v>0</v>
      </c>
      <c r="AF249" s="114">
        <f t="shared" si="144"/>
        <v>1469.1944444444446</v>
      </c>
      <c r="AG249" s="114"/>
      <c r="AH249" s="176">
        <f t="shared" si="145"/>
        <v>69291331.899275288</v>
      </c>
      <c r="AI249" s="176">
        <f t="shared" si="146"/>
        <v>341181.61556596594</v>
      </c>
      <c r="AJ249" s="178">
        <f t="shared" si="147"/>
        <v>1297967.8729935307</v>
      </c>
      <c r="AK249" s="113">
        <f t="shared" si="148"/>
        <v>1639149.4885594966</v>
      </c>
      <c r="AL249" s="113">
        <f t="shared" si="121"/>
        <v>550696.22536263068</v>
      </c>
      <c r="AM249" s="114">
        <f t="shared" si="149"/>
        <v>37.833333333333336</v>
      </c>
      <c r="AN249" s="114">
        <f t="shared" si="150"/>
        <v>5.4890927755409475E-3</v>
      </c>
      <c r="AO249" s="114">
        <f t="shared" si="151"/>
        <v>1469.1944444444446</v>
      </c>
    </row>
    <row r="250" spans="1:41" hidden="1" outlineLevel="1" x14ac:dyDescent="0.3">
      <c r="A250" s="146">
        <f t="shared" si="122"/>
        <v>228</v>
      </c>
      <c r="B250" s="147">
        <f t="shared" si="115"/>
        <v>57</v>
      </c>
      <c r="C250" s="147">
        <f t="shared" si="114"/>
        <v>303</v>
      </c>
      <c r="D250" s="149">
        <f t="shared" si="123"/>
        <v>67997151.756245479</v>
      </c>
      <c r="E250" s="149">
        <f t="shared" si="124"/>
        <v>1379230.8938618598</v>
      </c>
      <c r="F250" s="149">
        <f t="shared" si="116"/>
        <v>346456.65949637617</v>
      </c>
      <c r="G250" s="149">
        <f t="shared" si="117"/>
        <v>334908.10417983029</v>
      </c>
      <c r="H250" s="149">
        <f t="shared" si="125"/>
        <v>11548.555316545884</v>
      </c>
      <c r="I250" s="149">
        <f t="shared" si="126"/>
        <v>1032774.2343654836</v>
      </c>
      <c r="J250" s="147">
        <f t="shared" si="127"/>
        <v>4.4999999999999998E-2</v>
      </c>
      <c r="K250" s="175">
        <f t="shared" si="118"/>
        <v>3.8296430163020645E-3</v>
      </c>
      <c r="L250" s="149">
        <f t="shared" si="128"/>
        <v>261405.90866427339</v>
      </c>
      <c r="M250" s="149">
        <f t="shared" si="129"/>
        <v>1629088.2472095874</v>
      </c>
      <c r="N250" s="149">
        <f t="shared" si="130"/>
        <v>1294180.1430297571</v>
      </c>
      <c r="P250" s="149">
        <f t="shared" si="131"/>
        <v>0</v>
      </c>
      <c r="Q250" s="149">
        <f t="shared" si="132"/>
        <v>0</v>
      </c>
      <c r="R250" s="178">
        <f t="shared" si="133"/>
        <v>0</v>
      </c>
      <c r="S250" s="113">
        <f t="shared" si="134"/>
        <v>0</v>
      </c>
      <c r="T250" s="113">
        <f t="shared" si="119"/>
        <v>0</v>
      </c>
      <c r="U250" s="114">
        <f t="shared" si="135"/>
        <v>38</v>
      </c>
      <c r="V250" s="114">
        <f t="shared" si="136"/>
        <v>0</v>
      </c>
      <c r="W250" s="114">
        <f t="shared" si="137"/>
        <v>1482</v>
      </c>
      <c r="X250" s="114"/>
      <c r="Y250" s="149">
        <f t="shared" si="138"/>
        <v>0</v>
      </c>
      <c r="Z250" s="149">
        <f t="shared" si="139"/>
        <v>0</v>
      </c>
      <c r="AA250" s="178">
        <f t="shared" si="140"/>
        <v>0</v>
      </c>
      <c r="AB250" s="113">
        <f t="shared" si="141"/>
        <v>0</v>
      </c>
      <c r="AC250" s="113">
        <f t="shared" si="120"/>
        <v>0</v>
      </c>
      <c r="AD250" s="114">
        <f t="shared" si="142"/>
        <v>38</v>
      </c>
      <c r="AE250" s="114">
        <f t="shared" si="143"/>
        <v>0</v>
      </c>
      <c r="AF250" s="114">
        <f t="shared" si="144"/>
        <v>1482</v>
      </c>
      <c r="AG250" s="114"/>
      <c r="AH250" s="176">
        <f t="shared" si="145"/>
        <v>67997151.756245524</v>
      </c>
      <c r="AI250" s="176">
        <f t="shared" si="146"/>
        <v>334908.10417983058</v>
      </c>
      <c r="AJ250" s="178">
        <f t="shared" si="147"/>
        <v>1294180.1430297571</v>
      </c>
      <c r="AK250" s="113">
        <f t="shared" si="148"/>
        <v>1629088.2472095876</v>
      </c>
      <c r="AL250" s="113">
        <f t="shared" si="121"/>
        <v>544692.42436123709</v>
      </c>
      <c r="AM250" s="114">
        <f t="shared" si="149"/>
        <v>38</v>
      </c>
      <c r="AN250" s="114">
        <f t="shared" si="150"/>
        <v>5.4292495821708928E-3</v>
      </c>
      <c r="AO250" s="114">
        <f t="shared" si="151"/>
        <v>1482</v>
      </c>
    </row>
    <row r="251" spans="1:41" hidden="1" outlineLevel="1" x14ac:dyDescent="0.3">
      <c r="A251" s="146">
        <f t="shared" si="122"/>
        <v>229</v>
      </c>
      <c r="B251" s="147">
        <f t="shared" si="115"/>
        <v>56</v>
      </c>
      <c r="C251" s="147">
        <f t="shared" si="114"/>
        <v>304</v>
      </c>
      <c r="D251" s="149">
        <f t="shared" si="123"/>
        <v>66706743.475618705</v>
      </c>
      <c r="E251" s="149">
        <f t="shared" si="124"/>
        <v>1373948.9319013136</v>
      </c>
      <c r="F251" s="149">
        <f t="shared" si="116"/>
        <v>339985.7587812274</v>
      </c>
      <c r="G251" s="149">
        <f t="shared" si="117"/>
        <v>328652.90015518648</v>
      </c>
      <c r="H251" s="149">
        <f t="shared" si="125"/>
        <v>11332.858626040921</v>
      </c>
      <c r="I251" s="149">
        <f t="shared" si="126"/>
        <v>1033963.1731200862</v>
      </c>
      <c r="J251" s="147">
        <f t="shared" si="127"/>
        <v>4.4999999999999998E-2</v>
      </c>
      <c r="K251" s="175">
        <f t="shared" si="118"/>
        <v>3.8296430163020645E-3</v>
      </c>
      <c r="L251" s="149">
        <f t="shared" si="128"/>
        <v>256445.10750668429</v>
      </c>
      <c r="M251" s="149">
        <f t="shared" si="129"/>
        <v>1619061.180781957</v>
      </c>
      <c r="N251" s="149">
        <f t="shared" si="130"/>
        <v>1290408.2806267706</v>
      </c>
      <c r="P251" s="149">
        <f t="shared" si="131"/>
        <v>0</v>
      </c>
      <c r="Q251" s="149">
        <f t="shared" si="132"/>
        <v>0</v>
      </c>
      <c r="R251" s="178">
        <f t="shared" si="133"/>
        <v>0</v>
      </c>
      <c r="S251" s="113">
        <f t="shared" si="134"/>
        <v>0</v>
      </c>
      <c r="T251" s="113">
        <f t="shared" si="119"/>
        <v>0</v>
      </c>
      <c r="U251" s="114">
        <f t="shared" si="135"/>
        <v>38.166666666666664</v>
      </c>
      <c r="V251" s="114">
        <f t="shared" si="136"/>
        <v>0</v>
      </c>
      <c r="W251" s="114">
        <f t="shared" si="137"/>
        <v>1494.8611111111109</v>
      </c>
      <c r="X251" s="114"/>
      <c r="Y251" s="149">
        <f t="shared" si="138"/>
        <v>0</v>
      </c>
      <c r="Z251" s="149">
        <f t="shared" si="139"/>
        <v>0</v>
      </c>
      <c r="AA251" s="178">
        <f t="shared" si="140"/>
        <v>0</v>
      </c>
      <c r="AB251" s="113">
        <f t="shared" si="141"/>
        <v>0</v>
      </c>
      <c r="AC251" s="113">
        <f t="shared" si="120"/>
        <v>0</v>
      </c>
      <c r="AD251" s="114">
        <f t="shared" si="142"/>
        <v>38.166666666666664</v>
      </c>
      <c r="AE251" s="114">
        <f t="shared" si="143"/>
        <v>0</v>
      </c>
      <c r="AF251" s="114">
        <f t="shared" si="144"/>
        <v>1494.8611111111109</v>
      </c>
      <c r="AG251" s="114"/>
      <c r="AH251" s="176">
        <f t="shared" si="145"/>
        <v>66706743.47561875</v>
      </c>
      <c r="AI251" s="176">
        <f t="shared" si="146"/>
        <v>328652.90015518671</v>
      </c>
      <c r="AJ251" s="178">
        <f t="shared" si="147"/>
        <v>1290408.2806267706</v>
      </c>
      <c r="AK251" s="113">
        <f t="shared" si="148"/>
        <v>1619061.1807819572</v>
      </c>
      <c r="AL251" s="113">
        <f t="shared" si="121"/>
        <v>538744.90010702144</v>
      </c>
      <c r="AM251" s="114">
        <f t="shared" si="149"/>
        <v>38.166666666666664</v>
      </c>
      <c r="AN251" s="114">
        <f t="shared" si="150"/>
        <v>5.3699673301549613E-3</v>
      </c>
      <c r="AO251" s="114">
        <f t="shared" si="151"/>
        <v>1494.8611111111109</v>
      </c>
    </row>
    <row r="252" spans="1:41" hidden="1" outlineLevel="1" x14ac:dyDescent="0.3">
      <c r="A252" s="146">
        <f t="shared" si="122"/>
        <v>230</v>
      </c>
      <c r="B252" s="147">
        <f t="shared" si="115"/>
        <v>55</v>
      </c>
      <c r="C252" s="147">
        <f t="shared" si="114"/>
        <v>305</v>
      </c>
      <c r="D252" s="149">
        <f t="shared" si="123"/>
        <v>65420091.249033384</v>
      </c>
      <c r="E252" s="149">
        <f t="shared" si="124"/>
        <v>1368687.1979695021</v>
      </c>
      <c r="F252" s="149">
        <f t="shared" si="116"/>
        <v>333533.71737809351</v>
      </c>
      <c r="G252" s="149">
        <f t="shared" si="117"/>
        <v>322415.92679882376</v>
      </c>
      <c r="H252" s="149">
        <f t="shared" si="125"/>
        <v>11117.790579269757</v>
      </c>
      <c r="I252" s="149">
        <f t="shared" si="126"/>
        <v>1035153.4805914086</v>
      </c>
      <c r="J252" s="147">
        <f t="shared" si="127"/>
        <v>4.4999999999999998E-2</v>
      </c>
      <c r="K252" s="175">
        <f t="shared" si="118"/>
        <v>3.8296430163020645E-3</v>
      </c>
      <c r="L252" s="149">
        <f t="shared" si="128"/>
        <v>251498.74599390881</v>
      </c>
      <c r="M252" s="149">
        <f t="shared" si="129"/>
        <v>1609068.1533841409</v>
      </c>
      <c r="N252" s="149">
        <f t="shared" si="130"/>
        <v>1286652.2265853174</v>
      </c>
      <c r="P252" s="149">
        <f t="shared" si="131"/>
        <v>0</v>
      </c>
      <c r="Q252" s="149">
        <f t="shared" si="132"/>
        <v>0</v>
      </c>
      <c r="R252" s="178">
        <f t="shared" si="133"/>
        <v>0</v>
      </c>
      <c r="S252" s="113">
        <f t="shared" si="134"/>
        <v>0</v>
      </c>
      <c r="T252" s="113">
        <f t="shared" si="119"/>
        <v>0</v>
      </c>
      <c r="U252" s="114">
        <f t="shared" si="135"/>
        <v>38.333333333333336</v>
      </c>
      <c r="V252" s="114">
        <f t="shared" si="136"/>
        <v>0</v>
      </c>
      <c r="W252" s="114">
        <f t="shared" si="137"/>
        <v>1507.7777777777781</v>
      </c>
      <c r="X252" s="114"/>
      <c r="Y252" s="149">
        <f t="shared" si="138"/>
        <v>0</v>
      </c>
      <c r="Z252" s="149">
        <f t="shared" si="139"/>
        <v>0</v>
      </c>
      <c r="AA252" s="178">
        <f t="shared" si="140"/>
        <v>0</v>
      </c>
      <c r="AB252" s="113">
        <f t="shared" si="141"/>
        <v>0</v>
      </c>
      <c r="AC252" s="113">
        <f t="shared" si="120"/>
        <v>0</v>
      </c>
      <c r="AD252" s="114">
        <f t="shared" si="142"/>
        <v>38.333333333333336</v>
      </c>
      <c r="AE252" s="114">
        <f t="shared" si="143"/>
        <v>0</v>
      </c>
      <c r="AF252" s="114">
        <f t="shared" si="144"/>
        <v>1507.7777777777781</v>
      </c>
      <c r="AG252" s="114"/>
      <c r="AH252" s="176">
        <f t="shared" si="145"/>
        <v>65420091.249033436</v>
      </c>
      <c r="AI252" s="176">
        <f t="shared" si="146"/>
        <v>322415.92679882399</v>
      </c>
      <c r="AJ252" s="178">
        <f t="shared" si="147"/>
        <v>1286652.2265853174</v>
      </c>
      <c r="AK252" s="113">
        <f t="shared" si="148"/>
        <v>1609068.1533841414</v>
      </c>
      <c r="AL252" s="113">
        <f t="shared" si="121"/>
        <v>532853.15151333855</v>
      </c>
      <c r="AM252" s="114">
        <f t="shared" si="149"/>
        <v>38.333333333333336</v>
      </c>
      <c r="AN252" s="114">
        <f t="shared" si="150"/>
        <v>5.3112410248864032E-3</v>
      </c>
      <c r="AO252" s="114">
        <f t="shared" si="151"/>
        <v>1507.7777777777781</v>
      </c>
    </row>
    <row r="253" spans="1:41" hidden="1" outlineLevel="1" x14ac:dyDescent="0.3">
      <c r="A253" s="146">
        <f t="shared" si="122"/>
        <v>231</v>
      </c>
      <c r="B253" s="147">
        <f t="shared" si="115"/>
        <v>54</v>
      </c>
      <c r="C253" s="147">
        <f t="shared" si="114"/>
        <v>306</v>
      </c>
      <c r="D253" s="149">
        <f t="shared" si="123"/>
        <v>64137179.32709872</v>
      </c>
      <c r="E253" s="149">
        <f t="shared" si="124"/>
        <v>1363445.6146002961</v>
      </c>
      <c r="F253" s="149">
        <f t="shared" si="116"/>
        <v>327100.45624516695</v>
      </c>
      <c r="G253" s="149">
        <f t="shared" si="117"/>
        <v>316197.10770366137</v>
      </c>
      <c r="H253" s="149">
        <f t="shared" si="125"/>
        <v>10903.348541505577</v>
      </c>
      <c r="I253" s="149">
        <f t="shared" si="126"/>
        <v>1036345.1583551292</v>
      </c>
      <c r="J253" s="147">
        <f t="shared" si="127"/>
        <v>4.4999999999999998E-2</v>
      </c>
      <c r="K253" s="175">
        <f t="shared" si="118"/>
        <v>3.8296430163020645E-3</v>
      </c>
      <c r="L253" s="149">
        <f t="shared" si="128"/>
        <v>246566.76357953131</v>
      </c>
      <c r="M253" s="149">
        <f t="shared" si="129"/>
        <v>1599109.0296383218</v>
      </c>
      <c r="N253" s="149">
        <f t="shared" si="130"/>
        <v>1282911.9219346605</v>
      </c>
      <c r="P253" s="149">
        <f t="shared" si="131"/>
        <v>0</v>
      </c>
      <c r="Q253" s="149">
        <f t="shared" si="132"/>
        <v>0</v>
      </c>
      <c r="R253" s="178">
        <f t="shared" si="133"/>
        <v>0</v>
      </c>
      <c r="S253" s="113">
        <f t="shared" si="134"/>
        <v>0</v>
      </c>
      <c r="T253" s="113">
        <f t="shared" si="119"/>
        <v>0</v>
      </c>
      <c r="U253" s="114">
        <f t="shared" si="135"/>
        <v>38.5</v>
      </c>
      <c r="V253" s="114">
        <f t="shared" si="136"/>
        <v>0</v>
      </c>
      <c r="W253" s="114">
        <f t="shared" si="137"/>
        <v>1520.75</v>
      </c>
      <c r="X253" s="114"/>
      <c r="Y253" s="149">
        <f t="shared" si="138"/>
        <v>0</v>
      </c>
      <c r="Z253" s="149">
        <f t="shared" si="139"/>
        <v>0</v>
      </c>
      <c r="AA253" s="178">
        <f t="shared" si="140"/>
        <v>0</v>
      </c>
      <c r="AB253" s="113">
        <f t="shared" si="141"/>
        <v>0</v>
      </c>
      <c r="AC253" s="113">
        <f t="shared" si="120"/>
        <v>0</v>
      </c>
      <c r="AD253" s="114">
        <f t="shared" si="142"/>
        <v>38.5</v>
      </c>
      <c r="AE253" s="114">
        <f t="shared" si="143"/>
        <v>0</v>
      </c>
      <c r="AF253" s="114">
        <f t="shared" si="144"/>
        <v>1520.75</v>
      </c>
      <c r="AG253" s="114"/>
      <c r="AH253" s="176">
        <f t="shared" si="145"/>
        <v>64137179.327098772</v>
      </c>
      <c r="AI253" s="176">
        <f t="shared" si="146"/>
        <v>316197.1077036616</v>
      </c>
      <c r="AJ253" s="178">
        <f t="shared" si="147"/>
        <v>1282911.9219346605</v>
      </c>
      <c r="AK253" s="113">
        <f t="shared" si="148"/>
        <v>1599109.0296383221</v>
      </c>
      <c r="AL253" s="113">
        <f t="shared" si="121"/>
        <v>527016.68186671718</v>
      </c>
      <c r="AM253" s="114">
        <f t="shared" si="149"/>
        <v>38.5</v>
      </c>
      <c r="AN253" s="114">
        <f t="shared" si="150"/>
        <v>5.2530657153483052E-3</v>
      </c>
      <c r="AO253" s="114">
        <f t="shared" si="151"/>
        <v>1520.75</v>
      </c>
    </row>
    <row r="254" spans="1:41" hidden="1" outlineLevel="1" x14ac:dyDescent="0.3">
      <c r="A254" s="146">
        <f t="shared" si="122"/>
        <v>232</v>
      </c>
      <c r="B254" s="147">
        <f t="shared" si="115"/>
        <v>53</v>
      </c>
      <c r="C254" s="147">
        <f t="shared" si="114"/>
        <v>307</v>
      </c>
      <c r="D254" s="149">
        <f t="shared" si="123"/>
        <v>62857992.019167013</v>
      </c>
      <c r="E254" s="149">
        <f t="shared" si="124"/>
        <v>1358224.1046242344</v>
      </c>
      <c r="F254" s="149">
        <f t="shared" si="116"/>
        <v>320685.89663549361</v>
      </c>
      <c r="G254" s="149">
        <f t="shared" si="117"/>
        <v>309996.36674764386</v>
      </c>
      <c r="H254" s="149">
        <f t="shared" si="125"/>
        <v>10689.529887849756</v>
      </c>
      <c r="I254" s="149">
        <f t="shared" si="126"/>
        <v>1037538.2079887408</v>
      </c>
      <c r="J254" s="147">
        <f t="shared" si="127"/>
        <v>4.4999999999999998E-2</v>
      </c>
      <c r="K254" s="175">
        <f t="shared" si="118"/>
        <v>3.8296430163020645E-3</v>
      </c>
      <c r="L254" s="149">
        <f t="shared" si="128"/>
        <v>241649.09994296613</v>
      </c>
      <c r="M254" s="149">
        <f t="shared" si="129"/>
        <v>1589183.6746793508</v>
      </c>
      <c r="N254" s="149">
        <f t="shared" si="130"/>
        <v>1279187.3079317068</v>
      </c>
      <c r="P254" s="149">
        <f t="shared" si="131"/>
        <v>0</v>
      </c>
      <c r="Q254" s="149">
        <f t="shared" si="132"/>
        <v>0</v>
      </c>
      <c r="R254" s="178">
        <f t="shared" si="133"/>
        <v>0</v>
      </c>
      <c r="S254" s="113">
        <f t="shared" si="134"/>
        <v>0</v>
      </c>
      <c r="T254" s="113">
        <f t="shared" si="119"/>
        <v>0</v>
      </c>
      <c r="U254" s="114">
        <f t="shared" si="135"/>
        <v>38.666666666666664</v>
      </c>
      <c r="V254" s="114">
        <f t="shared" si="136"/>
        <v>0</v>
      </c>
      <c r="W254" s="114">
        <f t="shared" si="137"/>
        <v>1533.7777777777776</v>
      </c>
      <c r="X254" s="114"/>
      <c r="Y254" s="149">
        <f t="shared" si="138"/>
        <v>0</v>
      </c>
      <c r="Z254" s="149">
        <f t="shared" si="139"/>
        <v>0</v>
      </c>
      <c r="AA254" s="178">
        <f t="shared" si="140"/>
        <v>0</v>
      </c>
      <c r="AB254" s="113">
        <f t="shared" si="141"/>
        <v>0</v>
      </c>
      <c r="AC254" s="113">
        <f t="shared" si="120"/>
        <v>0</v>
      </c>
      <c r="AD254" s="114">
        <f t="shared" si="142"/>
        <v>38.666666666666664</v>
      </c>
      <c r="AE254" s="114">
        <f t="shared" si="143"/>
        <v>0</v>
      </c>
      <c r="AF254" s="114">
        <f t="shared" si="144"/>
        <v>1533.7777777777776</v>
      </c>
      <c r="AG254" s="114"/>
      <c r="AH254" s="176">
        <f t="shared" si="145"/>
        <v>62857992.019167066</v>
      </c>
      <c r="AI254" s="176">
        <f t="shared" si="146"/>
        <v>309996.36674764409</v>
      </c>
      <c r="AJ254" s="178">
        <f t="shared" si="147"/>
        <v>1279187.3079317068</v>
      </c>
      <c r="AK254" s="113">
        <f t="shared" si="148"/>
        <v>1589183.6746793508</v>
      </c>
      <c r="AL254" s="113">
        <f t="shared" si="121"/>
        <v>521234.99878900632</v>
      </c>
      <c r="AM254" s="114">
        <f t="shared" si="149"/>
        <v>38.666666666666664</v>
      </c>
      <c r="AN254" s="114">
        <f t="shared" si="150"/>
        <v>5.1954364937362779E-3</v>
      </c>
      <c r="AO254" s="114">
        <f t="shared" si="151"/>
        <v>1533.7777777777776</v>
      </c>
    </row>
    <row r="255" spans="1:41" hidden="1" outlineLevel="1" x14ac:dyDescent="0.3">
      <c r="A255" s="146">
        <f t="shared" si="122"/>
        <v>233</v>
      </c>
      <c r="B255" s="147">
        <f t="shared" si="115"/>
        <v>52</v>
      </c>
      <c r="C255" s="147">
        <f t="shared" si="114"/>
        <v>308</v>
      </c>
      <c r="D255" s="149">
        <f t="shared" si="123"/>
        <v>61582513.693106875</v>
      </c>
      <c r="E255" s="149">
        <f t="shared" si="124"/>
        <v>1353022.5911673871</v>
      </c>
      <c r="F255" s="149">
        <f t="shared" si="116"/>
        <v>314289.96009583509</v>
      </c>
      <c r="G255" s="149">
        <f t="shared" si="117"/>
        <v>303813.6280926406</v>
      </c>
      <c r="H255" s="149">
        <f t="shared" si="125"/>
        <v>10476.33200319449</v>
      </c>
      <c r="I255" s="149">
        <f t="shared" si="126"/>
        <v>1038732.6310715519</v>
      </c>
      <c r="J255" s="147">
        <f t="shared" si="127"/>
        <v>4.4999999999999998E-2</v>
      </c>
      <c r="K255" s="175">
        <f t="shared" si="118"/>
        <v>3.8296430163020645E-3</v>
      </c>
      <c r="L255" s="149">
        <f t="shared" si="128"/>
        <v>236745.69498858563</v>
      </c>
      <c r="M255" s="149">
        <f t="shared" si="129"/>
        <v>1579291.954152778</v>
      </c>
      <c r="N255" s="149">
        <f t="shared" si="130"/>
        <v>1275478.3260601375</v>
      </c>
      <c r="P255" s="149">
        <f t="shared" si="131"/>
        <v>0</v>
      </c>
      <c r="Q255" s="149">
        <f t="shared" si="132"/>
        <v>0</v>
      </c>
      <c r="R255" s="178">
        <f t="shared" si="133"/>
        <v>0</v>
      </c>
      <c r="S255" s="113">
        <f t="shared" si="134"/>
        <v>0</v>
      </c>
      <c r="T255" s="113">
        <f t="shared" si="119"/>
        <v>0</v>
      </c>
      <c r="U255" s="114">
        <f t="shared" si="135"/>
        <v>38.833333333333336</v>
      </c>
      <c r="V255" s="114">
        <f t="shared" si="136"/>
        <v>0</v>
      </c>
      <c r="W255" s="114">
        <f t="shared" si="137"/>
        <v>1546.8611111111113</v>
      </c>
      <c r="X255" s="114"/>
      <c r="Y255" s="149">
        <f t="shared" si="138"/>
        <v>0</v>
      </c>
      <c r="Z255" s="149">
        <f t="shared" si="139"/>
        <v>0</v>
      </c>
      <c r="AA255" s="178">
        <f t="shared" si="140"/>
        <v>0</v>
      </c>
      <c r="AB255" s="113">
        <f t="shared" si="141"/>
        <v>0</v>
      </c>
      <c r="AC255" s="113">
        <f t="shared" si="120"/>
        <v>0</v>
      </c>
      <c r="AD255" s="114">
        <f t="shared" si="142"/>
        <v>38.833333333333336</v>
      </c>
      <c r="AE255" s="114">
        <f t="shared" si="143"/>
        <v>0</v>
      </c>
      <c r="AF255" s="114">
        <f t="shared" si="144"/>
        <v>1546.8611111111113</v>
      </c>
      <c r="AG255" s="114"/>
      <c r="AH255" s="176">
        <f t="shared" si="145"/>
        <v>61582513.693106927</v>
      </c>
      <c r="AI255" s="176">
        <f t="shared" si="146"/>
        <v>303813.62809264084</v>
      </c>
      <c r="AJ255" s="178">
        <f t="shared" si="147"/>
        <v>1275478.3260601375</v>
      </c>
      <c r="AK255" s="113">
        <f t="shared" si="148"/>
        <v>1579291.9541527783</v>
      </c>
      <c r="AL255" s="113">
        <f t="shared" si="121"/>
        <v>515507.61419984658</v>
      </c>
      <c r="AM255" s="114">
        <f t="shared" si="149"/>
        <v>38.833333333333336</v>
      </c>
      <c r="AN255" s="114">
        <f t="shared" si="150"/>
        <v>5.1383484950843902E-3</v>
      </c>
      <c r="AO255" s="114">
        <f t="shared" si="151"/>
        <v>1546.8611111111113</v>
      </c>
    </row>
    <row r="256" spans="1:41" hidden="1" outlineLevel="1" x14ac:dyDescent="0.3">
      <c r="A256" s="146">
        <f t="shared" si="122"/>
        <v>234</v>
      </c>
      <c r="B256" s="147">
        <f t="shared" si="115"/>
        <v>51</v>
      </c>
      <c r="C256" s="147">
        <f t="shared" si="114"/>
        <v>309</v>
      </c>
      <c r="D256" s="149">
        <f t="shared" si="123"/>
        <v>60310728.775077336</v>
      </c>
      <c r="E256" s="149">
        <f t="shared" si="124"/>
        <v>1347840.997650224</v>
      </c>
      <c r="F256" s="149">
        <f t="shared" si="116"/>
        <v>307912.56846553436</v>
      </c>
      <c r="G256" s="149">
        <f t="shared" si="117"/>
        <v>297648.81618334993</v>
      </c>
      <c r="H256" s="149">
        <f t="shared" si="125"/>
        <v>10263.752282184432</v>
      </c>
      <c r="I256" s="149">
        <f t="shared" si="126"/>
        <v>1039928.4291846897</v>
      </c>
      <c r="J256" s="147">
        <f t="shared" si="127"/>
        <v>4.4999999999999998E-2</v>
      </c>
      <c r="K256" s="175">
        <f t="shared" si="118"/>
        <v>3.8296430163020645E-3</v>
      </c>
      <c r="L256" s="149">
        <f t="shared" si="128"/>
        <v>231856.48884485188</v>
      </c>
      <c r="M256" s="149">
        <f t="shared" si="129"/>
        <v>1569433.7342128917</v>
      </c>
      <c r="N256" s="149">
        <f t="shared" si="130"/>
        <v>1271784.9180295416</v>
      </c>
      <c r="P256" s="149">
        <f t="shared" si="131"/>
        <v>0</v>
      </c>
      <c r="Q256" s="149">
        <f t="shared" si="132"/>
        <v>0</v>
      </c>
      <c r="R256" s="178">
        <f t="shared" si="133"/>
        <v>0</v>
      </c>
      <c r="S256" s="113">
        <f t="shared" si="134"/>
        <v>0</v>
      </c>
      <c r="T256" s="113">
        <f t="shared" si="119"/>
        <v>0</v>
      </c>
      <c r="U256" s="114">
        <f t="shared" si="135"/>
        <v>39</v>
      </c>
      <c r="V256" s="114">
        <f t="shared" si="136"/>
        <v>0</v>
      </c>
      <c r="W256" s="114">
        <f t="shared" si="137"/>
        <v>1560</v>
      </c>
      <c r="X256" s="114"/>
      <c r="Y256" s="149">
        <f t="shared" si="138"/>
        <v>0</v>
      </c>
      <c r="Z256" s="149">
        <f t="shared" si="139"/>
        <v>0</v>
      </c>
      <c r="AA256" s="178">
        <f t="shared" si="140"/>
        <v>0</v>
      </c>
      <c r="AB256" s="113">
        <f t="shared" si="141"/>
        <v>0</v>
      </c>
      <c r="AC256" s="113">
        <f t="shared" si="120"/>
        <v>0</v>
      </c>
      <c r="AD256" s="114">
        <f t="shared" si="142"/>
        <v>39</v>
      </c>
      <c r="AE256" s="114">
        <f t="shared" si="143"/>
        <v>0</v>
      </c>
      <c r="AF256" s="114">
        <f t="shared" si="144"/>
        <v>1560</v>
      </c>
      <c r="AG256" s="114"/>
      <c r="AH256" s="176">
        <f t="shared" si="145"/>
        <v>60310728.775077388</v>
      </c>
      <c r="AI256" s="176">
        <f t="shared" si="146"/>
        <v>297648.81618335017</v>
      </c>
      <c r="AJ256" s="178">
        <f t="shared" si="147"/>
        <v>1271784.9180295416</v>
      </c>
      <c r="AK256" s="113">
        <f t="shared" si="148"/>
        <v>1569433.7342128917</v>
      </c>
      <c r="AL256" s="113">
        <f t="shared" si="121"/>
        <v>509834.04427946667</v>
      </c>
      <c r="AM256" s="114">
        <f t="shared" si="149"/>
        <v>39</v>
      </c>
      <c r="AN256" s="114">
        <f t="shared" si="150"/>
        <v>5.0817968968943422E-3</v>
      </c>
      <c r="AO256" s="114">
        <f t="shared" si="151"/>
        <v>1560</v>
      </c>
    </row>
    <row r="257" spans="1:41" hidden="1" outlineLevel="1" x14ac:dyDescent="0.3">
      <c r="A257" s="146">
        <f t="shared" si="122"/>
        <v>235</v>
      </c>
      <c r="B257" s="147">
        <f t="shared" si="115"/>
        <v>50</v>
      </c>
      <c r="C257" s="147">
        <f t="shared" si="114"/>
        <v>310</v>
      </c>
      <c r="D257" s="149">
        <f t="shared" si="123"/>
        <v>59042621.749302782</v>
      </c>
      <c r="E257" s="149">
        <f t="shared" si="124"/>
        <v>1342679.2477864872</v>
      </c>
      <c r="F257" s="149">
        <f t="shared" si="116"/>
        <v>301553.64387538668</v>
      </c>
      <c r="G257" s="149">
        <f t="shared" si="117"/>
        <v>291501.85574620712</v>
      </c>
      <c r="H257" s="149">
        <f t="shared" si="125"/>
        <v>10051.788129179564</v>
      </c>
      <c r="I257" s="149">
        <f t="shared" si="126"/>
        <v>1041125.6039111005</v>
      </c>
      <c r="J257" s="147">
        <f t="shared" si="127"/>
        <v>4.4999999999999998E-2</v>
      </c>
      <c r="K257" s="175">
        <f t="shared" si="118"/>
        <v>3.8296430163020645E-3</v>
      </c>
      <c r="L257" s="149">
        <f t="shared" si="128"/>
        <v>226981.42186345145</v>
      </c>
      <c r="M257" s="149">
        <f t="shared" si="129"/>
        <v>1559608.8815207591</v>
      </c>
      <c r="N257" s="149">
        <f t="shared" si="130"/>
        <v>1268107.025774552</v>
      </c>
      <c r="P257" s="149">
        <f t="shared" si="131"/>
        <v>0</v>
      </c>
      <c r="Q257" s="149">
        <f t="shared" si="132"/>
        <v>0</v>
      </c>
      <c r="R257" s="178">
        <f t="shared" si="133"/>
        <v>0</v>
      </c>
      <c r="S257" s="113">
        <f t="shared" si="134"/>
        <v>0</v>
      </c>
      <c r="T257" s="113">
        <f t="shared" si="119"/>
        <v>0</v>
      </c>
      <c r="U257" s="114">
        <f t="shared" si="135"/>
        <v>39.166666666666664</v>
      </c>
      <c r="V257" s="114">
        <f t="shared" si="136"/>
        <v>0</v>
      </c>
      <c r="W257" s="114">
        <f t="shared" si="137"/>
        <v>1573.1944444444443</v>
      </c>
      <c r="X257" s="114"/>
      <c r="Y257" s="149">
        <f t="shared" si="138"/>
        <v>0</v>
      </c>
      <c r="Z257" s="149">
        <f t="shared" si="139"/>
        <v>0</v>
      </c>
      <c r="AA257" s="178">
        <f t="shared" si="140"/>
        <v>0</v>
      </c>
      <c r="AB257" s="113">
        <f t="shared" si="141"/>
        <v>0</v>
      </c>
      <c r="AC257" s="113">
        <f t="shared" si="120"/>
        <v>0</v>
      </c>
      <c r="AD257" s="114">
        <f t="shared" si="142"/>
        <v>39.166666666666664</v>
      </c>
      <c r="AE257" s="114">
        <f t="shared" si="143"/>
        <v>0</v>
      </c>
      <c r="AF257" s="114">
        <f t="shared" si="144"/>
        <v>1573.1944444444443</v>
      </c>
      <c r="AG257" s="114"/>
      <c r="AH257" s="176">
        <f t="shared" si="145"/>
        <v>59042621.749302834</v>
      </c>
      <c r="AI257" s="176">
        <f t="shared" si="146"/>
        <v>291501.85574620741</v>
      </c>
      <c r="AJ257" s="178">
        <f t="shared" si="147"/>
        <v>1268107.025774552</v>
      </c>
      <c r="AK257" s="113">
        <f t="shared" si="148"/>
        <v>1559608.8815207593</v>
      </c>
      <c r="AL257" s="113">
        <f t="shared" si="121"/>
        <v>504213.80943179911</v>
      </c>
      <c r="AM257" s="114">
        <f t="shared" si="149"/>
        <v>39.166666666666664</v>
      </c>
      <c r="AN257" s="114">
        <f t="shared" si="150"/>
        <v>5.0257769187678153E-3</v>
      </c>
      <c r="AO257" s="114">
        <f t="shared" si="151"/>
        <v>1573.1944444444443</v>
      </c>
    </row>
    <row r="258" spans="1:41" hidden="1" outlineLevel="1" x14ac:dyDescent="0.3">
      <c r="A258" s="146">
        <f t="shared" si="122"/>
        <v>236</v>
      </c>
      <c r="B258" s="147">
        <f t="shared" si="115"/>
        <v>49</v>
      </c>
      <c r="C258" s="147">
        <f t="shared" si="114"/>
        <v>311</v>
      </c>
      <c r="D258" s="149">
        <f t="shared" si="123"/>
        <v>57778177.15784879</v>
      </c>
      <c r="E258" s="149">
        <f t="shared" si="124"/>
        <v>1337537.2655820679</v>
      </c>
      <c r="F258" s="149">
        <f t="shared" si="116"/>
        <v>295213.1087465139</v>
      </c>
      <c r="G258" s="149">
        <f t="shared" si="117"/>
        <v>285372.67178829678</v>
      </c>
      <c r="H258" s="149">
        <f t="shared" si="125"/>
        <v>9840.4369582171203</v>
      </c>
      <c r="I258" s="149">
        <f t="shared" si="126"/>
        <v>1042324.1568355539</v>
      </c>
      <c r="J258" s="147">
        <f t="shared" si="127"/>
        <v>4.4999999999999998E-2</v>
      </c>
      <c r="K258" s="175">
        <f t="shared" si="118"/>
        <v>3.8296430163020645E-3</v>
      </c>
      <c r="L258" s="149">
        <f t="shared" si="128"/>
        <v>222120.43461843356</v>
      </c>
      <c r="M258" s="149">
        <f t="shared" si="129"/>
        <v>1549817.2632422843</v>
      </c>
      <c r="N258" s="149">
        <f t="shared" si="130"/>
        <v>1264444.5914539874</v>
      </c>
      <c r="P258" s="149">
        <f t="shared" si="131"/>
        <v>0</v>
      </c>
      <c r="Q258" s="149">
        <f t="shared" si="132"/>
        <v>0</v>
      </c>
      <c r="R258" s="178">
        <f t="shared" si="133"/>
        <v>0</v>
      </c>
      <c r="S258" s="113">
        <f t="shared" si="134"/>
        <v>0</v>
      </c>
      <c r="T258" s="113">
        <f t="shared" si="119"/>
        <v>0</v>
      </c>
      <c r="U258" s="114">
        <f t="shared" si="135"/>
        <v>39.333333333333336</v>
      </c>
      <c r="V258" s="114">
        <f t="shared" si="136"/>
        <v>0</v>
      </c>
      <c r="W258" s="114">
        <f t="shared" si="137"/>
        <v>1586.4444444444446</v>
      </c>
      <c r="X258" s="114"/>
      <c r="Y258" s="149">
        <f t="shared" si="138"/>
        <v>0</v>
      </c>
      <c r="Z258" s="149">
        <f t="shared" si="139"/>
        <v>0</v>
      </c>
      <c r="AA258" s="178">
        <f t="shared" si="140"/>
        <v>0</v>
      </c>
      <c r="AB258" s="113">
        <f t="shared" si="141"/>
        <v>0</v>
      </c>
      <c r="AC258" s="113">
        <f t="shared" si="120"/>
        <v>0</v>
      </c>
      <c r="AD258" s="114">
        <f t="shared" si="142"/>
        <v>39.333333333333336</v>
      </c>
      <c r="AE258" s="114">
        <f t="shared" si="143"/>
        <v>0</v>
      </c>
      <c r="AF258" s="114">
        <f t="shared" si="144"/>
        <v>1586.4444444444446</v>
      </c>
      <c r="AG258" s="114"/>
      <c r="AH258" s="176">
        <f t="shared" si="145"/>
        <v>57778177.15784885</v>
      </c>
      <c r="AI258" s="176">
        <f t="shared" si="146"/>
        <v>285372.67178829707</v>
      </c>
      <c r="AJ258" s="178">
        <f t="shared" si="147"/>
        <v>1264444.5914539874</v>
      </c>
      <c r="AK258" s="113">
        <f t="shared" si="148"/>
        <v>1549817.2632422845</v>
      </c>
      <c r="AL258" s="113">
        <f t="shared" si="121"/>
        <v>498646.43424791715</v>
      </c>
      <c r="AM258" s="114">
        <f t="shared" si="149"/>
        <v>39.333333333333336</v>
      </c>
      <c r="AN258" s="114">
        <f t="shared" si="150"/>
        <v>4.9702838220420315E-3</v>
      </c>
      <c r="AO258" s="114">
        <f t="shared" si="151"/>
        <v>1586.4444444444446</v>
      </c>
    </row>
    <row r="259" spans="1:41" hidden="1" outlineLevel="1" x14ac:dyDescent="0.3">
      <c r="A259" s="146">
        <f t="shared" si="122"/>
        <v>237</v>
      </c>
      <c r="B259" s="147">
        <f t="shared" si="115"/>
        <v>48</v>
      </c>
      <c r="C259" s="147">
        <f t="shared" si="114"/>
        <v>312</v>
      </c>
      <c r="D259" s="149">
        <f t="shared" si="123"/>
        <v>56517379.600398794</v>
      </c>
      <c r="E259" s="149">
        <f t="shared" si="124"/>
        <v>1332414.9753338879</v>
      </c>
      <c r="F259" s="149">
        <f t="shared" si="116"/>
        <v>288890.88578924397</v>
      </c>
      <c r="G259" s="149">
        <f t="shared" si="117"/>
        <v>279261.18959626916</v>
      </c>
      <c r="H259" s="149">
        <f t="shared" si="125"/>
        <v>9629.6961929748068</v>
      </c>
      <c r="I259" s="149">
        <f t="shared" si="126"/>
        <v>1043524.0895446439</v>
      </c>
      <c r="J259" s="147">
        <f t="shared" si="127"/>
        <v>4.4999999999999998E-2</v>
      </c>
      <c r="K259" s="175">
        <f t="shared" si="118"/>
        <v>3.8296430163020645E-3</v>
      </c>
      <c r="L259" s="149">
        <f t="shared" si="128"/>
        <v>217273.46790535146</v>
      </c>
      <c r="M259" s="149">
        <f t="shared" si="129"/>
        <v>1540058.7470462644</v>
      </c>
      <c r="N259" s="149">
        <f t="shared" si="130"/>
        <v>1260797.5574499953</v>
      </c>
      <c r="P259" s="149">
        <f t="shared" si="131"/>
        <v>0</v>
      </c>
      <c r="Q259" s="149">
        <f t="shared" si="132"/>
        <v>0</v>
      </c>
      <c r="R259" s="178">
        <f t="shared" si="133"/>
        <v>0</v>
      </c>
      <c r="S259" s="113">
        <f t="shared" si="134"/>
        <v>0</v>
      </c>
      <c r="T259" s="113">
        <f t="shared" si="119"/>
        <v>0</v>
      </c>
      <c r="U259" s="114">
        <f t="shared" si="135"/>
        <v>39.5</v>
      </c>
      <c r="V259" s="114">
        <f t="shared" si="136"/>
        <v>0</v>
      </c>
      <c r="W259" s="114">
        <f t="shared" si="137"/>
        <v>1599.75</v>
      </c>
      <c r="X259" s="114"/>
      <c r="Y259" s="149">
        <f t="shared" si="138"/>
        <v>0</v>
      </c>
      <c r="Z259" s="149">
        <f t="shared" si="139"/>
        <v>0</v>
      </c>
      <c r="AA259" s="178">
        <f t="shared" si="140"/>
        <v>0</v>
      </c>
      <c r="AB259" s="113">
        <f t="shared" si="141"/>
        <v>0</v>
      </c>
      <c r="AC259" s="113">
        <f t="shared" si="120"/>
        <v>0</v>
      </c>
      <c r="AD259" s="114">
        <f t="shared" si="142"/>
        <v>39.5</v>
      </c>
      <c r="AE259" s="114">
        <f t="shared" si="143"/>
        <v>0</v>
      </c>
      <c r="AF259" s="114">
        <f t="shared" si="144"/>
        <v>1599.75</v>
      </c>
      <c r="AG259" s="114"/>
      <c r="AH259" s="176">
        <f t="shared" si="145"/>
        <v>56517379.600398853</v>
      </c>
      <c r="AI259" s="176">
        <f t="shared" si="146"/>
        <v>279261.18959626945</v>
      </c>
      <c r="AJ259" s="178">
        <f t="shared" si="147"/>
        <v>1260797.5574499953</v>
      </c>
      <c r="AK259" s="113">
        <f t="shared" si="148"/>
        <v>1540058.7470462648</v>
      </c>
      <c r="AL259" s="113">
        <f t="shared" si="121"/>
        <v>493131.44746978307</v>
      </c>
      <c r="AM259" s="114">
        <f t="shared" si="149"/>
        <v>39.5</v>
      </c>
      <c r="AN259" s="114">
        <f t="shared" si="150"/>
        <v>4.9153129094284117E-3</v>
      </c>
      <c r="AO259" s="114">
        <f t="shared" si="151"/>
        <v>1599.75</v>
      </c>
    </row>
    <row r="260" spans="1:41" hidden="1" outlineLevel="1" x14ac:dyDescent="0.3">
      <c r="A260" s="146">
        <f t="shared" si="122"/>
        <v>238</v>
      </c>
      <c r="B260" s="147">
        <f t="shared" si="115"/>
        <v>47</v>
      </c>
      <c r="C260" s="147">
        <f t="shared" si="114"/>
        <v>313</v>
      </c>
      <c r="D260" s="149">
        <f t="shared" si="123"/>
        <v>55260213.734031595</v>
      </c>
      <c r="E260" s="149">
        <f t="shared" si="124"/>
        <v>1327312.301628784</v>
      </c>
      <c r="F260" s="149">
        <f t="shared" si="116"/>
        <v>282586.89800199395</v>
      </c>
      <c r="G260" s="149">
        <f t="shared" si="117"/>
        <v>273167.33473526087</v>
      </c>
      <c r="H260" s="149">
        <f t="shared" si="125"/>
        <v>9419.5632667330792</v>
      </c>
      <c r="I260" s="149">
        <f t="shared" si="126"/>
        <v>1044725.40362679</v>
      </c>
      <c r="J260" s="147">
        <f t="shared" si="127"/>
        <v>4.4999999999999998E-2</v>
      </c>
      <c r="K260" s="175">
        <f t="shared" si="118"/>
        <v>3.8296430163020645E-3</v>
      </c>
      <c r="L260" s="149">
        <f t="shared" si="128"/>
        <v>212440.4627404073</v>
      </c>
      <c r="M260" s="149">
        <f t="shared" si="129"/>
        <v>1530333.2011024582</v>
      </c>
      <c r="N260" s="149">
        <f t="shared" si="130"/>
        <v>1257165.8663671974</v>
      </c>
      <c r="P260" s="149">
        <f t="shared" si="131"/>
        <v>0</v>
      </c>
      <c r="Q260" s="149">
        <f t="shared" si="132"/>
        <v>0</v>
      </c>
      <c r="R260" s="178">
        <f t="shared" si="133"/>
        <v>0</v>
      </c>
      <c r="S260" s="113">
        <f t="shared" si="134"/>
        <v>0</v>
      </c>
      <c r="T260" s="113">
        <f t="shared" si="119"/>
        <v>0</v>
      </c>
      <c r="U260" s="114">
        <f t="shared" si="135"/>
        <v>39.666666666666664</v>
      </c>
      <c r="V260" s="114">
        <f t="shared" si="136"/>
        <v>0</v>
      </c>
      <c r="W260" s="114">
        <f t="shared" si="137"/>
        <v>1613.1111111111109</v>
      </c>
      <c r="X260" s="114"/>
      <c r="Y260" s="149">
        <f t="shared" si="138"/>
        <v>0</v>
      </c>
      <c r="Z260" s="149">
        <f t="shared" si="139"/>
        <v>0</v>
      </c>
      <c r="AA260" s="178">
        <f t="shared" si="140"/>
        <v>0</v>
      </c>
      <c r="AB260" s="113">
        <f t="shared" si="141"/>
        <v>0</v>
      </c>
      <c r="AC260" s="113">
        <f t="shared" si="120"/>
        <v>0</v>
      </c>
      <c r="AD260" s="114">
        <f t="shared" si="142"/>
        <v>39.666666666666664</v>
      </c>
      <c r="AE260" s="114">
        <f t="shared" si="143"/>
        <v>0</v>
      </c>
      <c r="AF260" s="114">
        <f t="shared" si="144"/>
        <v>1613.1111111111109</v>
      </c>
      <c r="AG260" s="114"/>
      <c r="AH260" s="176">
        <f t="shared" si="145"/>
        <v>55260213.734031655</v>
      </c>
      <c r="AI260" s="176">
        <f t="shared" si="146"/>
        <v>273167.33473526116</v>
      </c>
      <c r="AJ260" s="178">
        <f t="shared" si="147"/>
        <v>1257165.8663671974</v>
      </c>
      <c r="AK260" s="113">
        <f t="shared" si="148"/>
        <v>1530333.2011024584</v>
      </c>
      <c r="AL260" s="113">
        <f t="shared" si="121"/>
        <v>487668.38195431267</v>
      </c>
      <c r="AM260" s="114">
        <f t="shared" si="149"/>
        <v>39.666666666666664</v>
      </c>
      <c r="AN260" s="114">
        <f t="shared" si="150"/>
        <v>4.8608595246543845E-3</v>
      </c>
      <c r="AO260" s="114">
        <f t="shared" si="151"/>
        <v>1613.1111111111109</v>
      </c>
    </row>
    <row r="261" spans="1:41" hidden="1" outlineLevel="1" x14ac:dyDescent="0.3">
      <c r="A261" s="146">
        <f t="shared" si="122"/>
        <v>239</v>
      </c>
      <c r="B261" s="147">
        <f t="shared" si="115"/>
        <v>46</v>
      </c>
      <c r="C261" s="147">
        <f t="shared" si="114"/>
        <v>314</v>
      </c>
      <c r="D261" s="149">
        <f t="shared" si="123"/>
        <v>54006664.272999749</v>
      </c>
      <c r="E261" s="149">
        <f t="shared" si="124"/>
        <v>1322229.1693423996</v>
      </c>
      <c r="F261" s="149">
        <f t="shared" si="116"/>
        <v>276301.06867015798</v>
      </c>
      <c r="G261" s="149">
        <f t="shared" si="117"/>
        <v>267091.03304781939</v>
      </c>
      <c r="H261" s="149">
        <f t="shared" si="125"/>
        <v>9210.0356223385897</v>
      </c>
      <c r="I261" s="149">
        <f t="shared" si="126"/>
        <v>1045928.1006722415</v>
      </c>
      <c r="J261" s="147">
        <f t="shared" si="127"/>
        <v>4.4999999999999998E-2</v>
      </c>
      <c r="K261" s="175">
        <f t="shared" si="118"/>
        <v>3.8296430163020645E-3</v>
      </c>
      <c r="L261" s="149">
        <f t="shared" si="128"/>
        <v>207621.36035959999</v>
      </c>
      <c r="M261" s="149">
        <f t="shared" si="129"/>
        <v>1520640.4940796609</v>
      </c>
      <c r="N261" s="149">
        <f t="shared" si="130"/>
        <v>1253549.4610318416</v>
      </c>
      <c r="P261" s="149">
        <f t="shared" si="131"/>
        <v>0</v>
      </c>
      <c r="Q261" s="149">
        <f t="shared" si="132"/>
        <v>0</v>
      </c>
      <c r="R261" s="178">
        <f t="shared" si="133"/>
        <v>0</v>
      </c>
      <c r="S261" s="113">
        <f t="shared" si="134"/>
        <v>0</v>
      </c>
      <c r="T261" s="113">
        <f t="shared" si="119"/>
        <v>0</v>
      </c>
      <c r="U261" s="114">
        <f t="shared" si="135"/>
        <v>39.833333333333336</v>
      </c>
      <c r="V261" s="114">
        <f t="shared" si="136"/>
        <v>0</v>
      </c>
      <c r="W261" s="114">
        <f t="shared" si="137"/>
        <v>1626.5277777777781</v>
      </c>
      <c r="X261" s="114"/>
      <c r="Y261" s="149">
        <f t="shared" si="138"/>
        <v>0</v>
      </c>
      <c r="Z261" s="149">
        <f t="shared" si="139"/>
        <v>0</v>
      </c>
      <c r="AA261" s="178">
        <f t="shared" si="140"/>
        <v>0</v>
      </c>
      <c r="AB261" s="113">
        <f t="shared" si="141"/>
        <v>0</v>
      </c>
      <c r="AC261" s="113">
        <f t="shared" si="120"/>
        <v>0</v>
      </c>
      <c r="AD261" s="114">
        <f t="shared" si="142"/>
        <v>39.833333333333336</v>
      </c>
      <c r="AE261" s="114">
        <f t="shared" si="143"/>
        <v>0</v>
      </c>
      <c r="AF261" s="114">
        <f t="shared" si="144"/>
        <v>1626.5277777777781</v>
      </c>
      <c r="AG261" s="114"/>
      <c r="AH261" s="176">
        <f t="shared" si="145"/>
        <v>54006664.272999816</v>
      </c>
      <c r="AI261" s="176">
        <f t="shared" si="146"/>
        <v>267091.03304781968</v>
      </c>
      <c r="AJ261" s="178">
        <f t="shared" si="147"/>
        <v>1253549.4610318416</v>
      </c>
      <c r="AK261" s="113">
        <f t="shared" si="148"/>
        <v>1520640.4940796613</v>
      </c>
      <c r="AL261" s="113">
        <f t="shared" si="121"/>
        <v>482256.77463774884</v>
      </c>
      <c r="AM261" s="114">
        <f t="shared" si="149"/>
        <v>39.833333333333336</v>
      </c>
      <c r="AN261" s="114">
        <f t="shared" si="150"/>
        <v>4.8069190521082827E-3</v>
      </c>
      <c r="AO261" s="114">
        <f t="shared" si="151"/>
        <v>1626.5277777777781</v>
      </c>
    </row>
    <row r="262" spans="1:41" hidden="1" outlineLevel="1" x14ac:dyDescent="0.3">
      <c r="A262" s="146">
        <f t="shared" si="122"/>
        <v>240</v>
      </c>
      <c r="B262" s="147">
        <f t="shared" si="115"/>
        <v>45</v>
      </c>
      <c r="C262" s="147">
        <f t="shared" si="114"/>
        <v>315</v>
      </c>
      <c r="D262" s="149">
        <f t="shared" si="123"/>
        <v>52756715.988508798</v>
      </c>
      <c r="E262" s="149">
        <f t="shared" si="124"/>
        <v>1317165.5036380766</v>
      </c>
      <c r="F262" s="149">
        <f t="shared" si="116"/>
        <v>270033.32136499876</v>
      </c>
      <c r="G262" s="149">
        <f t="shared" si="117"/>
        <v>261032.21065283215</v>
      </c>
      <c r="H262" s="149">
        <f t="shared" si="125"/>
        <v>9001.1107121666137</v>
      </c>
      <c r="I262" s="149">
        <f t="shared" si="126"/>
        <v>1047132.1822730778</v>
      </c>
      <c r="J262" s="147">
        <f t="shared" si="127"/>
        <v>4.4999999999999998E-2</v>
      </c>
      <c r="K262" s="175">
        <f t="shared" si="118"/>
        <v>3.8296430163020645E-3</v>
      </c>
      <c r="L262" s="149">
        <f t="shared" si="128"/>
        <v>202816.10221787647</v>
      </c>
      <c r="M262" s="149">
        <f t="shared" si="129"/>
        <v>1510980.4951437865</v>
      </c>
      <c r="N262" s="149">
        <f t="shared" si="130"/>
        <v>1249948.2844909541</v>
      </c>
      <c r="P262" s="149">
        <f t="shared" si="131"/>
        <v>0</v>
      </c>
      <c r="Q262" s="149">
        <f t="shared" si="132"/>
        <v>0</v>
      </c>
      <c r="R262" s="178">
        <f t="shared" si="133"/>
        <v>0</v>
      </c>
      <c r="S262" s="113">
        <f t="shared" si="134"/>
        <v>0</v>
      </c>
      <c r="T262" s="113">
        <f t="shared" si="119"/>
        <v>0</v>
      </c>
      <c r="U262" s="114">
        <f t="shared" si="135"/>
        <v>40</v>
      </c>
      <c r="V262" s="114">
        <f t="shared" si="136"/>
        <v>0</v>
      </c>
      <c r="W262" s="114">
        <f t="shared" si="137"/>
        <v>1640</v>
      </c>
      <c r="X262" s="114"/>
      <c r="Y262" s="149">
        <f t="shared" si="138"/>
        <v>0</v>
      </c>
      <c r="Z262" s="149">
        <f t="shared" si="139"/>
        <v>0</v>
      </c>
      <c r="AA262" s="178">
        <f t="shared" si="140"/>
        <v>0</v>
      </c>
      <c r="AB262" s="113">
        <f t="shared" si="141"/>
        <v>0</v>
      </c>
      <c r="AC262" s="113">
        <f t="shared" si="120"/>
        <v>0</v>
      </c>
      <c r="AD262" s="114">
        <f t="shared" si="142"/>
        <v>40</v>
      </c>
      <c r="AE262" s="114">
        <f t="shared" si="143"/>
        <v>0</v>
      </c>
      <c r="AF262" s="114">
        <f t="shared" si="144"/>
        <v>1640</v>
      </c>
      <c r="AG262" s="114"/>
      <c r="AH262" s="176">
        <f t="shared" si="145"/>
        <v>52756715.988508865</v>
      </c>
      <c r="AI262" s="176">
        <f t="shared" si="146"/>
        <v>261032.21065283247</v>
      </c>
      <c r="AJ262" s="178">
        <f t="shared" si="147"/>
        <v>1249948.2844909541</v>
      </c>
      <c r="AK262" s="113">
        <f t="shared" si="148"/>
        <v>1510980.4951437865</v>
      </c>
      <c r="AL262" s="113">
        <f t="shared" si="121"/>
        <v>476896.16650034004</v>
      </c>
      <c r="AM262" s="114">
        <f t="shared" si="149"/>
        <v>40</v>
      </c>
      <c r="AN262" s="114">
        <f t="shared" si="150"/>
        <v>4.7534869164872684E-3</v>
      </c>
      <c r="AO262" s="114">
        <f t="shared" si="151"/>
        <v>1640</v>
      </c>
    </row>
    <row r="263" spans="1:41" hidden="1" outlineLevel="1" x14ac:dyDescent="0.3">
      <c r="A263" s="146">
        <f t="shared" si="122"/>
        <v>241</v>
      </c>
      <c r="B263" s="147">
        <f t="shared" si="115"/>
        <v>44</v>
      </c>
      <c r="C263" s="147">
        <f t="shared" si="114"/>
        <v>316</v>
      </c>
      <c r="D263" s="149">
        <f t="shared" si="123"/>
        <v>51510353.708497301</v>
      </c>
      <c r="E263" s="149">
        <f t="shared" si="124"/>
        <v>1312121.229965755</v>
      </c>
      <c r="F263" s="149">
        <f t="shared" si="116"/>
        <v>263783.57994254399</v>
      </c>
      <c r="G263" s="149">
        <f t="shared" si="117"/>
        <v>254990.7939444592</v>
      </c>
      <c r="H263" s="149">
        <f t="shared" si="125"/>
        <v>8792.7859980847861</v>
      </c>
      <c r="I263" s="149">
        <f t="shared" si="126"/>
        <v>1048337.650023211</v>
      </c>
      <c r="J263" s="147">
        <f t="shared" si="127"/>
        <v>4.4999999999999998E-2</v>
      </c>
      <c r="K263" s="175">
        <f t="shared" si="118"/>
        <v>3.8296430163020645E-3</v>
      </c>
      <c r="L263" s="149">
        <f t="shared" si="128"/>
        <v>198024.62998828627</v>
      </c>
      <c r="M263" s="149">
        <f t="shared" si="129"/>
        <v>1501353.0739559564</v>
      </c>
      <c r="N263" s="149">
        <f t="shared" si="130"/>
        <v>1246362.2800114972</v>
      </c>
      <c r="P263" s="149">
        <f t="shared" si="131"/>
        <v>0</v>
      </c>
      <c r="Q263" s="149">
        <f t="shared" si="132"/>
        <v>0</v>
      </c>
      <c r="R263" s="178">
        <f t="shared" si="133"/>
        <v>0</v>
      </c>
      <c r="S263" s="113">
        <f t="shared" si="134"/>
        <v>0</v>
      </c>
      <c r="T263" s="113">
        <f t="shared" si="119"/>
        <v>0</v>
      </c>
      <c r="U263" s="114">
        <f t="shared" si="135"/>
        <v>40.166666666666664</v>
      </c>
      <c r="V263" s="114">
        <f t="shared" si="136"/>
        <v>0</v>
      </c>
      <c r="W263" s="114">
        <f t="shared" si="137"/>
        <v>1653.5277777777776</v>
      </c>
      <c r="X263" s="114"/>
      <c r="Y263" s="149">
        <f t="shared" si="138"/>
        <v>0</v>
      </c>
      <c r="Z263" s="149">
        <f t="shared" si="139"/>
        <v>0</v>
      </c>
      <c r="AA263" s="178">
        <f t="shared" si="140"/>
        <v>0</v>
      </c>
      <c r="AB263" s="113">
        <f t="shared" si="141"/>
        <v>0</v>
      </c>
      <c r="AC263" s="113">
        <f t="shared" si="120"/>
        <v>0</v>
      </c>
      <c r="AD263" s="114">
        <f t="shared" si="142"/>
        <v>40.166666666666664</v>
      </c>
      <c r="AE263" s="114">
        <f t="shared" si="143"/>
        <v>0</v>
      </c>
      <c r="AF263" s="114">
        <f t="shared" si="144"/>
        <v>1653.5277777777776</v>
      </c>
      <c r="AG263" s="114"/>
      <c r="AH263" s="176">
        <f t="shared" si="145"/>
        <v>51510353.708497368</v>
      </c>
      <c r="AI263" s="176">
        <f t="shared" si="146"/>
        <v>254990.79394445952</v>
      </c>
      <c r="AJ263" s="178">
        <f t="shared" si="147"/>
        <v>1246362.2800114972</v>
      </c>
      <c r="AK263" s="113">
        <f t="shared" si="148"/>
        <v>1501353.0739559568</v>
      </c>
      <c r="AL263" s="113">
        <f t="shared" si="121"/>
        <v>471586.10253132798</v>
      </c>
      <c r="AM263" s="114">
        <f t="shared" si="149"/>
        <v>40.166666666666664</v>
      </c>
      <c r="AN263" s="114">
        <f t="shared" si="150"/>
        <v>4.7005585824483505E-3</v>
      </c>
      <c r="AO263" s="114">
        <f t="shared" si="151"/>
        <v>1653.5277777777776</v>
      </c>
    </row>
    <row r="264" spans="1:41" hidden="1" outlineLevel="1" x14ac:dyDescent="0.3">
      <c r="A264" s="146">
        <f t="shared" si="122"/>
        <v>242</v>
      </c>
      <c r="B264" s="147">
        <f t="shared" si="115"/>
        <v>43</v>
      </c>
      <c r="C264" s="147">
        <f t="shared" si="114"/>
        <v>317</v>
      </c>
      <c r="D264" s="149">
        <f t="shared" si="123"/>
        <v>50267562.317417771</v>
      </c>
      <c r="E264" s="149">
        <f t="shared" si="124"/>
        <v>1307096.2740608749</v>
      </c>
      <c r="F264" s="149">
        <f t="shared" si="116"/>
        <v>257551.7685424865</v>
      </c>
      <c r="G264" s="149">
        <f t="shared" si="117"/>
        <v>248966.70959107031</v>
      </c>
      <c r="H264" s="149">
        <f t="shared" si="125"/>
        <v>8585.0589514161984</v>
      </c>
      <c r="I264" s="149">
        <f t="shared" si="126"/>
        <v>1049544.5055183885</v>
      </c>
      <c r="J264" s="147">
        <f t="shared" si="127"/>
        <v>4.4999999999999998E-2</v>
      </c>
      <c r="K264" s="175">
        <f t="shared" si="118"/>
        <v>3.8296430163020645E-3</v>
      </c>
      <c r="L264" s="149">
        <f t="shared" si="128"/>
        <v>193246.88556113912</v>
      </c>
      <c r="M264" s="149">
        <f t="shared" si="129"/>
        <v>1491758.1006705977</v>
      </c>
      <c r="N264" s="149">
        <f t="shared" si="130"/>
        <v>1242791.3910795276</v>
      </c>
      <c r="P264" s="149">
        <f t="shared" si="131"/>
        <v>0</v>
      </c>
      <c r="Q264" s="149">
        <f t="shared" si="132"/>
        <v>0</v>
      </c>
      <c r="R264" s="178">
        <f t="shared" si="133"/>
        <v>0</v>
      </c>
      <c r="S264" s="113">
        <f t="shared" si="134"/>
        <v>0</v>
      </c>
      <c r="T264" s="113">
        <f t="shared" si="119"/>
        <v>0</v>
      </c>
      <c r="U264" s="114">
        <f t="shared" si="135"/>
        <v>40.333333333333336</v>
      </c>
      <c r="V264" s="114">
        <f t="shared" si="136"/>
        <v>0</v>
      </c>
      <c r="W264" s="114">
        <f t="shared" si="137"/>
        <v>1667.1111111111113</v>
      </c>
      <c r="X264" s="114"/>
      <c r="Y264" s="149">
        <f t="shared" si="138"/>
        <v>0</v>
      </c>
      <c r="Z264" s="149">
        <f t="shared" si="139"/>
        <v>0</v>
      </c>
      <c r="AA264" s="178">
        <f t="shared" si="140"/>
        <v>0</v>
      </c>
      <c r="AB264" s="113">
        <f t="shared" si="141"/>
        <v>0</v>
      </c>
      <c r="AC264" s="113">
        <f t="shared" si="120"/>
        <v>0</v>
      </c>
      <c r="AD264" s="114">
        <f t="shared" si="142"/>
        <v>40.333333333333336</v>
      </c>
      <c r="AE264" s="114">
        <f t="shared" si="143"/>
        <v>0</v>
      </c>
      <c r="AF264" s="114">
        <f t="shared" si="144"/>
        <v>1667.1111111111113</v>
      </c>
      <c r="AG264" s="114"/>
      <c r="AH264" s="176">
        <f t="shared" si="145"/>
        <v>50267562.317417838</v>
      </c>
      <c r="AI264" s="176">
        <f t="shared" si="146"/>
        <v>248966.70959107063</v>
      </c>
      <c r="AJ264" s="178">
        <f t="shared" si="147"/>
        <v>1242791.3910795276</v>
      </c>
      <c r="AK264" s="113">
        <f t="shared" si="148"/>
        <v>1491758.1006705982</v>
      </c>
      <c r="AL264" s="113">
        <f t="shared" si="121"/>
        <v>466326.13169423363</v>
      </c>
      <c r="AM264" s="114">
        <f t="shared" si="149"/>
        <v>40.333333333333336</v>
      </c>
      <c r="AN264" s="114">
        <f t="shared" si="150"/>
        <v>4.6481295542623695E-3</v>
      </c>
      <c r="AO264" s="114">
        <f t="shared" si="151"/>
        <v>1667.1111111111113</v>
      </c>
    </row>
    <row r="265" spans="1:41" hidden="1" outlineLevel="1" x14ac:dyDescent="0.3">
      <c r="A265" s="146">
        <f t="shared" si="122"/>
        <v>243</v>
      </c>
      <c r="B265" s="147">
        <f t="shared" si="115"/>
        <v>42</v>
      </c>
      <c r="C265" s="147">
        <f t="shared" si="114"/>
        <v>318</v>
      </c>
      <c r="D265" s="149">
        <f t="shared" si="123"/>
        <v>49028326.756018408</v>
      </c>
      <c r="E265" s="149">
        <f t="shared" si="124"/>
        <v>1302090.5619432833</v>
      </c>
      <c r="F265" s="149">
        <f t="shared" si="116"/>
        <v>251337.81158708886</v>
      </c>
      <c r="G265" s="149">
        <f t="shared" si="117"/>
        <v>242959.8845341859</v>
      </c>
      <c r="H265" s="149">
        <f t="shared" si="125"/>
        <v>8377.92705290296</v>
      </c>
      <c r="I265" s="149">
        <f t="shared" si="126"/>
        <v>1050752.7503561946</v>
      </c>
      <c r="J265" s="147">
        <f t="shared" si="127"/>
        <v>4.4999999999999998E-2</v>
      </c>
      <c r="K265" s="175">
        <f t="shared" si="118"/>
        <v>3.8296430163020645E-3</v>
      </c>
      <c r="L265" s="149">
        <f t="shared" si="128"/>
        <v>188482.811043166</v>
      </c>
      <c r="M265" s="149">
        <f t="shared" si="129"/>
        <v>1482195.4459335466</v>
      </c>
      <c r="N265" s="149">
        <f t="shared" si="130"/>
        <v>1239235.5613993607</v>
      </c>
      <c r="P265" s="149">
        <f t="shared" si="131"/>
        <v>0</v>
      </c>
      <c r="Q265" s="149">
        <f t="shared" si="132"/>
        <v>0</v>
      </c>
      <c r="R265" s="178">
        <f t="shared" si="133"/>
        <v>0</v>
      </c>
      <c r="S265" s="113">
        <f t="shared" si="134"/>
        <v>0</v>
      </c>
      <c r="T265" s="113">
        <f t="shared" si="119"/>
        <v>0</v>
      </c>
      <c r="U265" s="114">
        <f t="shared" si="135"/>
        <v>40.5</v>
      </c>
      <c r="V265" s="114">
        <f t="shared" si="136"/>
        <v>0</v>
      </c>
      <c r="W265" s="114">
        <f t="shared" si="137"/>
        <v>1680.75</v>
      </c>
      <c r="X265" s="114"/>
      <c r="Y265" s="149">
        <f t="shared" si="138"/>
        <v>0</v>
      </c>
      <c r="Z265" s="149">
        <f t="shared" si="139"/>
        <v>0</v>
      </c>
      <c r="AA265" s="178">
        <f t="shared" si="140"/>
        <v>0</v>
      </c>
      <c r="AB265" s="113">
        <f t="shared" si="141"/>
        <v>0</v>
      </c>
      <c r="AC265" s="113">
        <f t="shared" si="120"/>
        <v>0</v>
      </c>
      <c r="AD265" s="114">
        <f t="shared" si="142"/>
        <v>40.5</v>
      </c>
      <c r="AE265" s="114">
        <f t="shared" si="143"/>
        <v>0</v>
      </c>
      <c r="AF265" s="114">
        <f t="shared" si="144"/>
        <v>1680.75</v>
      </c>
      <c r="AG265" s="114"/>
      <c r="AH265" s="176">
        <f t="shared" si="145"/>
        <v>49028326.756018475</v>
      </c>
      <c r="AI265" s="176">
        <f t="shared" si="146"/>
        <v>242959.88453418622</v>
      </c>
      <c r="AJ265" s="178">
        <f t="shared" si="147"/>
        <v>1239235.5613993607</v>
      </c>
      <c r="AK265" s="113">
        <f t="shared" si="148"/>
        <v>1482195.4459335469</v>
      </c>
      <c r="AL265" s="113">
        <f t="shared" si="121"/>
        <v>461115.80689244421</v>
      </c>
      <c r="AM265" s="114">
        <f t="shared" si="149"/>
        <v>40.5</v>
      </c>
      <c r="AN265" s="114">
        <f t="shared" si="150"/>
        <v>4.5961953754709841E-3</v>
      </c>
      <c r="AO265" s="114">
        <f t="shared" si="151"/>
        <v>1680.75</v>
      </c>
    </row>
    <row r="266" spans="1:41" hidden="1" outlineLevel="1" x14ac:dyDescent="0.3">
      <c r="A266" s="146">
        <f t="shared" si="122"/>
        <v>244</v>
      </c>
      <c r="B266" s="147">
        <f t="shared" si="115"/>
        <v>41</v>
      </c>
      <c r="C266" s="147">
        <f t="shared" si="114"/>
        <v>319</v>
      </c>
      <c r="D266" s="149">
        <f t="shared" si="123"/>
        <v>47792632.021125667</v>
      </c>
      <c r="E266" s="149">
        <f t="shared" si="124"/>
        <v>1297104.0199161444</v>
      </c>
      <c r="F266" s="149">
        <f t="shared" si="116"/>
        <v>245141.63378009203</v>
      </c>
      <c r="G266" s="149">
        <f t="shared" si="117"/>
        <v>236970.24598742233</v>
      </c>
      <c r="H266" s="149">
        <f t="shared" si="125"/>
        <v>8171.3877926697023</v>
      </c>
      <c r="I266" s="149">
        <f t="shared" si="126"/>
        <v>1051962.3861360524</v>
      </c>
      <c r="J266" s="147">
        <f t="shared" si="127"/>
        <v>4.4999999999999998E-2</v>
      </c>
      <c r="K266" s="175">
        <f t="shared" si="118"/>
        <v>3.8296430163020645E-3</v>
      </c>
      <c r="L266" s="149">
        <f t="shared" si="128"/>
        <v>183732.34875668315</v>
      </c>
      <c r="M266" s="149">
        <f t="shared" si="129"/>
        <v>1472664.9808801578</v>
      </c>
      <c r="N266" s="149">
        <f t="shared" si="130"/>
        <v>1235694.7348927355</v>
      </c>
      <c r="P266" s="149">
        <f t="shared" si="131"/>
        <v>0</v>
      </c>
      <c r="Q266" s="149">
        <f t="shared" si="132"/>
        <v>0</v>
      </c>
      <c r="R266" s="178">
        <f t="shared" si="133"/>
        <v>0</v>
      </c>
      <c r="S266" s="113">
        <f t="shared" si="134"/>
        <v>0</v>
      </c>
      <c r="T266" s="113">
        <f t="shared" si="119"/>
        <v>0</v>
      </c>
      <c r="U266" s="114">
        <f t="shared" si="135"/>
        <v>40.666666666666664</v>
      </c>
      <c r="V266" s="114">
        <f t="shared" si="136"/>
        <v>0</v>
      </c>
      <c r="W266" s="114">
        <f t="shared" si="137"/>
        <v>1694.4444444444443</v>
      </c>
      <c r="X266" s="114"/>
      <c r="Y266" s="149">
        <f t="shared" si="138"/>
        <v>0</v>
      </c>
      <c r="Z266" s="149">
        <f t="shared" si="139"/>
        <v>0</v>
      </c>
      <c r="AA266" s="178">
        <f t="shared" si="140"/>
        <v>0</v>
      </c>
      <c r="AB266" s="113">
        <f t="shared" si="141"/>
        <v>0</v>
      </c>
      <c r="AC266" s="113">
        <f t="shared" si="120"/>
        <v>0</v>
      </c>
      <c r="AD266" s="114">
        <f t="shared" si="142"/>
        <v>40.666666666666664</v>
      </c>
      <c r="AE266" s="114">
        <f t="shared" si="143"/>
        <v>0</v>
      </c>
      <c r="AF266" s="114">
        <f t="shared" si="144"/>
        <v>1694.4444444444443</v>
      </c>
      <c r="AG266" s="114"/>
      <c r="AH266" s="176">
        <f t="shared" si="145"/>
        <v>47792632.021125741</v>
      </c>
      <c r="AI266" s="176">
        <f t="shared" si="146"/>
        <v>236970.24598742265</v>
      </c>
      <c r="AJ266" s="178">
        <f t="shared" si="147"/>
        <v>1235694.7348927355</v>
      </c>
      <c r="AK266" s="113">
        <f t="shared" si="148"/>
        <v>1472664.980880158</v>
      </c>
      <c r="AL266" s="113">
        <f t="shared" si="121"/>
        <v>455954.68493509712</v>
      </c>
      <c r="AM266" s="114">
        <f t="shared" si="149"/>
        <v>40.666666666666664</v>
      </c>
      <c r="AN266" s="114">
        <f t="shared" si="150"/>
        <v>4.5447516285466163E-3</v>
      </c>
      <c r="AO266" s="114">
        <f t="shared" si="151"/>
        <v>1694.4444444444443</v>
      </c>
    </row>
    <row r="267" spans="1:41" hidden="1" outlineLevel="1" x14ac:dyDescent="0.3">
      <c r="A267" s="146">
        <f t="shared" si="122"/>
        <v>245</v>
      </c>
      <c r="B267" s="147">
        <f t="shared" si="115"/>
        <v>40</v>
      </c>
      <c r="C267" s="147">
        <f t="shared" si="114"/>
        <v>320</v>
      </c>
      <c r="D267" s="149">
        <f t="shared" si="123"/>
        <v>46560463.165427677</v>
      </c>
      <c r="E267" s="149">
        <f t="shared" si="124"/>
        <v>1292136.5745648553</v>
      </c>
      <c r="F267" s="149">
        <f t="shared" si="116"/>
        <v>238963.16010562834</v>
      </c>
      <c r="G267" s="149">
        <f t="shared" si="117"/>
        <v>230997.72143544073</v>
      </c>
      <c r="H267" s="149">
        <f t="shared" si="125"/>
        <v>7965.4386701876065</v>
      </c>
      <c r="I267" s="149">
        <f t="shared" si="126"/>
        <v>1053173.4144592269</v>
      </c>
      <c r="J267" s="147">
        <f t="shared" si="127"/>
        <v>4.4999999999999998E-2</v>
      </c>
      <c r="K267" s="175">
        <f t="shared" si="118"/>
        <v>3.8296430163020645E-3</v>
      </c>
      <c r="L267" s="149">
        <f t="shared" si="128"/>
        <v>178995.44123875955</v>
      </c>
      <c r="M267" s="149">
        <f t="shared" si="129"/>
        <v>1463166.5771334271</v>
      </c>
      <c r="N267" s="149">
        <f t="shared" si="130"/>
        <v>1232168.8556979864</v>
      </c>
      <c r="P267" s="149">
        <f t="shared" si="131"/>
        <v>0</v>
      </c>
      <c r="Q267" s="149">
        <f t="shared" si="132"/>
        <v>0</v>
      </c>
      <c r="R267" s="178">
        <f t="shared" si="133"/>
        <v>0</v>
      </c>
      <c r="S267" s="113">
        <f t="shared" si="134"/>
        <v>0</v>
      </c>
      <c r="T267" s="113">
        <f t="shared" si="119"/>
        <v>0</v>
      </c>
      <c r="U267" s="114">
        <f t="shared" si="135"/>
        <v>40.833333333333336</v>
      </c>
      <c r="V267" s="114">
        <f t="shared" si="136"/>
        <v>0</v>
      </c>
      <c r="W267" s="114">
        <f t="shared" si="137"/>
        <v>1708.1944444444446</v>
      </c>
      <c r="X267" s="114"/>
      <c r="Y267" s="149">
        <f t="shared" si="138"/>
        <v>0</v>
      </c>
      <c r="Z267" s="149">
        <f t="shared" si="139"/>
        <v>0</v>
      </c>
      <c r="AA267" s="178">
        <f t="shared" si="140"/>
        <v>0</v>
      </c>
      <c r="AB267" s="113">
        <f t="shared" si="141"/>
        <v>0</v>
      </c>
      <c r="AC267" s="113">
        <f t="shared" si="120"/>
        <v>0</v>
      </c>
      <c r="AD267" s="114">
        <f t="shared" si="142"/>
        <v>40.833333333333336</v>
      </c>
      <c r="AE267" s="114">
        <f t="shared" si="143"/>
        <v>0</v>
      </c>
      <c r="AF267" s="114">
        <f t="shared" si="144"/>
        <v>1708.1944444444446</v>
      </c>
      <c r="AG267" s="114"/>
      <c r="AH267" s="176">
        <f t="shared" si="145"/>
        <v>46560463.165427752</v>
      </c>
      <c r="AI267" s="176">
        <f t="shared" si="146"/>
        <v>230997.72143544108</v>
      </c>
      <c r="AJ267" s="178">
        <f t="shared" si="147"/>
        <v>1232168.8556979864</v>
      </c>
      <c r="AK267" s="113">
        <f t="shared" si="148"/>
        <v>1463166.5771334276</v>
      </c>
      <c r="AL267" s="113">
        <f t="shared" si="121"/>
        <v>450842.32650325797</v>
      </c>
      <c r="AM267" s="114">
        <f t="shared" si="149"/>
        <v>40.833333333333336</v>
      </c>
      <c r="AN267" s="114">
        <f t="shared" si="150"/>
        <v>4.4937939345553327E-3</v>
      </c>
      <c r="AO267" s="114">
        <f t="shared" si="151"/>
        <v>1708.1944444444446</v>
      </c>
    </row>
    <row r="268" spans="1:41" hidden="1" outlineLevel="1" x14ac:dyDescent="0.3">
      <c r="A268" s="146">
        <f t="shared" si="122"/>
        <v>246</v>
      </c>
      <c r="B268" s="147">
        <f t="shared" si="115"/>
        <v>39</v>
      </c>
      <c r="C268" s="147">
        <f t="shared" si="114"/>
        <v>321</v>
      </c>
      <c r="D268" s="149">
        <f t="shared" si="123"/>
        <v>45331805.297258459</v>
      </c>
      <c r="E268" s="149">
        <f t="shared" si="124"/>
        <v>1287188.1527559645</v>
      </c>
      <c r="F268" s="149">
        <f t="shared" si="116"/>
        <v>232802.3158271384</v>
      </c>
      <c r="G268" s="149">
        <f t="shared" si="117"/>
        <v>225042.23863290047</v>
      </c>
      <c r="H268" s="149">
        <f t="shared" si="125"/>
        <v>7760.0771942379361</v>
      </c>
      <c r="I268" s="149">
        <f t="shared" si="126"/>
        <v>1054385.8369288261</v>
      </c>
      <c r="J268" s="147">
        <f t="shared" si="127"/>
        <v>4.4999999999999998E-2</v>
      </c>
      <c r="K268" s="175">
        <f t="shared" si="118"/>
        <v>3.8296430163020645E-3</v>
      </c>
      <c r="L268" s="149">
        <f t="shared" si="128"/>
        <v>174272.03124038732</v>
      </c>
      <c r="M268" s="149">
        <f t="shared" si="129"/>
        <v>1453700.1068021138</v>
      </c>
      <c r="N268" s="149">
        <f t="shared" si="130"/>
        <v>1228657.8681692134</v>
      </c>
      <c r="P268" s="149">
        <f t="shared" si="131"/>
        <v>0</v>
      </c>
      <c r="Q268" s="149">
        <f t="shared" si="132"/>
        <v>0</v>
      </c>
      <c r="R268" s="178">
        <f t="shared" si="133"/>
        <v>0</v>
      </c>
      <c r="S268" s="113">
        <f t="shared" si="134"/>
        <v>0</v>
      </c>
      <c r="T268" s="113">
        <f t="shared" si="119"/>
        <v>0</v>
      </c>
      <c r="U268" s="114">
        <f t="shared" si="135"/>
        <v>41</v>
      </c>
      <c r="V268" s="114">
        <f t="shared" si="136"/>
        <v>0</v>
      </c>
      <c r="W268" s="114">
        <f t="shared" si="137"/>
        <v>1722</v>
      </c>
      <c r="X268" s="114"/>
      <c r="Y268" s="149">
        <f t="shared" si="138"/>
        <v>0</v>
      </c>
      <c r="Z268" s="149">
        <f t="shared" si="139"/>
        <v>0</v>
      </c>
      <c r="AA268" s="178">
        <f t="shared" si="140"/>
        <v>0</v>
      </c>
      <c r="AB268" s="113">
        <f t="shared" si="141"/>
        <v>0</v>
      </c>
      <c r="AC268" s="113">
        <f t="shared" si="120"/>
        <v>0</v>
      </c>
      <c r="AD268" s="114">
        <f t="shared" si="142"/>
        <v>41</v>
      </c>
      <c r="AE268" s="114">
        <f t="shared" si="143"/>
        <v>0</v>
      </c>
      <c r="AF268" s="114">
        <f t="shared" si="144"/>
        <v>1722</v>
      </c>
      <c r="AG268" s="114"/>
      <c r="AH268" s="176">
        <f t="shared" si="145"/>
        <v>45331805.297258541</v>
      </c>
      <c r="AI268" s="176">
        <f t="shared" si="146"/>
        <v>225042.23863290081</v>
      </c>
      <c r="AJ268" s="178">
        <f t="shared" si="147"/>
        <v>1228657.8681692134</v>
      </c>
      <c r="AK268" s="113">
        <f t="shared" si="148"/>
        <v>1453700.1068021143</v>
      </c>
      <c r="AL268" s="113">
        <f t="shared" si="121"/>
        <v>445778.29611639044</v>
      </c>
      <c r="AM268" s="114">
        <f t="shared" si="149"/>
        <v>41</v>
      </c>
      <c r="AN268" s="114">
        <f t="shared" si="150"/>
        <v>4.4433179528226259E-3</v>
      </c>
      <c r="AO268" s="114">
        <f t="shared" si="151"/>
        <v>1722</v>
      </c>
    </row>
    <row r="269" spans="1:41" hidden="1" outlineLevel="1" x14ac:dyDescent="0.3">
      <c r="A269" s="146">
        <f t="shared" si="122"/>
        <v>247</v>
      </c>
      <c r="B269" s="147">
        <f t="shared" si="115"/>
        <v>38</v>
      </c>
      <c r="C269" s="147">
        <f t="shared" si="114"/>
        <v>322</v>
      </c>
      <c r="D269" s="149">
        <f t="shared" si="123"/>
        <v>44106643.580383003</v>
      </c>
      <c r="E269" s="149">
        <f t="shared" si="124"/>
        <v>1282258.681636096</v>
      </c>
      <c r="F269" s="149">
        <f t="shared" si="116"/>
        <v>226659.02648629231</v>
      </c>
      <c r="G269" s="149">
        <f t="shared" si="117"/>
        <v>219103.72560341589</v>
      </c>
      <c r="H269" s="149">
        <f t="shared" si="125"/>
        <v>7555.3008828764141</v>
      </c>
      <c r="I269" s="149">
        <f t="shared" si="126"/>
        <v>1055599.6551498037</v>
      </c>
      <c r="J269" s="147">
        <f t="shared" si="127"/>
        <v>4.4999999999999998E-2</v>
      </c>
      <c r="K269" s="175">
        <f t="shared" si="118"/>
        <v>3.8296430163020645E-3</v>
      </c>
      <c r="L269" s="149">
        <f t="shared" si="128"/>
        <v>169562.06172565548</v>
      </c>
      <c r="M269" s="149">
        <f t="shared" si="129"/>
        <v>1444265.4424788752</v>
      </c>
      <c r="N269" s="149">
        <f t="shared" si="130"/>
        <v>1225161.7168754593</v>
      </c>
      <c r="P269" s="149">
        <f t="shared" si="131"/>
        <v>0</v>
      </c>
      <c r="Q269" s="149">
        <f t="shared" si="132"/>
        <v>0</v>
      </c>
      <c r="R269" s="178">
        <f t="shared" si="133"/>
        <v>0</v>
      </c>
      <c r="S269" s="113">
        <f t="shared" si="134"/>
        <v>0</v>
      </c>
      <c r="T269" s="113">
        <f t="shared" si="119"/>
        <v>0</v>
      </c>
      <c r="U269" s="114">
        <f t="shared" si="135"/>
        <v>41.166666666666664</v>
      </c>
      <c r="V269" s="114">
        <f t="shared" si="136"/>
        <v>0</v>
      </c>
      <c r="W269" s="114">
        <f t="shared" si="137"/>
        <v>1735.8611111111109</v>
      </c>
      <c r="X269" s="114"/>
      <c r="Y269" s="149">
        <f t="shared" si="138"/>
        <v>0</v>
      </c>
      <c r="Z269" s="149">
        <f t="shared" si="139"/>
        <v>0</v>
      </c>
      <c r="AA269" s="178">
        <f t="shared" si="140"/>
        <v>0</v>
      </c>
      <c r="AB269" s="113">
        <f t="shared" si="141"/>
        <v>0</v>
      </c>
      <c r="AC269" s="113">
        <f t="shared" si="120"/>
        <v>0</v>
      </c>
      <c r="AD269" s="114">
        <f t="shared" si="142"/>
        <v>41.166666666666664</v>
      </c>
      <c r="AE269" s="114">
        <f t="shared" si="143"/>
        <v>0</v>
      </c>
      <c r="AF269" s="114">
        <f t="shared" si="144"/>
        <v>1735.8611111111109</v>
      </c>
      <c r="AG269" s="114"/>
      <c r="AH269" s="176">
        <f t="shared" si="145"/>
        <v>44106643.580383085</v>
      </c>
      <c r="AI269" s="176">
        <f t="shared" si="146"/>
        <v>219103.7256034163</v>
      </c>
      <c r="AJ269" s="178">
        <f t="shared" si="147"/>
        <v>1225161.7168754593</v>
      </c>
      <c r="AK269" s="113">
        <f t="shared" si="148"/>
        <v>1444265.4424788756</v>
      </c>
      <c r="AL269" s="113">
        <f t="shared" si="121"/>
        <v>440762.16209911555</v>
      </c>
      <c r="AM269" s="114">
        <f t="shared" si="149"/>
        <v>41.166666666666664</v>
      </c>
      <c r="AN269" s="114">
        <f t="shared" si="150"/>
        <v>4.3933193806020929E-3</v>
      </c>
      <c r="AO269" s="114">
        <f t="shared" si="151"/>
        <v>1735.8611111111109</v>
      </c>
    </row>
    <row r="270" spans="1:41" hidden="1" outlineLevel="1" x14ac:dyDescent="0.3">
      <c r="A270" s="146">
        <f t="shared" si="122"/>
        <v>248</v>
      </c>
      <c r="B270" s="147">
        <f t="shared" si="115"/>
        <v>37</v>
      </c>
      <c r="C270" s="147">
        <f t="shared" si="114"/>
        <v>323</v>
      </c>
      <c r="D270" s="149">
        <f t="shared" si="123"/>
        <v>42884963.233783111</v>
      </c>
      <c r="E270" s="149">
        <f t="shared" si="124"/>
        <v>1277348.0886308756</v>
      </c>
      <c r="F270" s="149">
        <f t="shared" si="116"/>
        <v>220533.21790191502</v>
      </c>
      <c r="G270" s="149">
        <f t="shared" si="117"/>
        <v>213182.11063851786</v>
      </c>
      <c r="H270" s="149">
        <f t="shared" si="125"/>
        <v>7351.1072633971635</v>
      </c>
      <c r="I270" s="149">
        <f t="shared" si="126"/>
        <v>1056814.8707289605</v>
      </c>
      <c r="J270" s="147">
        <f t="shared" si="127"/>
        <v>4.4999999999999998E-2</v>
      </c>
      <c r="K270" s="175">
        <f t="shared" si="118"/>
        <v>3.8296430163020645E-3</v>
      </c>
      <c r="L270" s="149">
        <f t="shared" si="128"/>
        <v>164865.47587092672</v>
      </c>
      <c r="M270" s="149">
        <f t="shared" si="129"/>
        <v>1434862.457238405</v>
      </c>
      <c r="N270" s="149">
        <f t="shared" si="130"/>
        <v>1221680.3465998871</v>
      </c>
      <c r="P270" s="149">
        <f t="shared" si="131"/>
        <v>0</v>
      </c>
      <c r="Q270" s="149">
        <f t="shared" si="132"/>
        <v>0</v>
      </c>
      <c r="R270" s="178">
        <f t="shared" si="133"/>
        <v>0</v>
      </c>
      <c r="S270" s="113">
        <f t="shared" si="134"/>
        <v>0</v>
      </c>
      <c r="T270" s="113">
        <f t="shared" si="119"/>
        <v>0</v>
      </c>
      <c r="U270" s="114">
        <f t="shared" si="135"/>
        <v>41.333333333333336</v>
      </c>
      <c r="V270" s="114">
        <f t="shared" si="136"/>
        <v>0</v>
      </c>
      <c r="W270" s="114">
        <f t="shared" si="137"/>
        <v>1749.7777777777781</v>
      </c>
      <c r="X270" s="114"/>
      <c r="Y270" s="149">
        <f t="shared" si="138"/>
        <v>0</v>
      </c>
      <c r="Z270" s="149">
        <f t="shared" si="139"/>
        <v>0</v>
      </c>
      <c r="AA270" s="178">
        <f t="shared" si="140"/>
        <v>0</v>
      </c>
      <c r="AB270" s="113">
        <f t="shared" si="141"/>
        <v>0</v>
      </c>
      <c r="AC270" s="113">
        <f t="shared" si="120"/>
        <v>0</v>
      </c>
      <c r="AD270" s="114">
        <f t="shared" si="142"/>
        <v>41.333333333333336</v>
      </c>
      <c r="AE270" s="114">
        <f t="shared" si="143"/>
        <v>0</v>
      </c>
      <c r="AF270" s="114">
        <f t="shared" si="144"/>
        <v>1749.7777777777781</v>
      </c>
      <c r="AG270" s="114"/>
      <c r="AH270" s="176">
        <f t="shared" si="145"/>
        <v>42884963.2337832</v>
      </c>
      <c r="AI270" s="176">
        <f t="shared" si="146"/>
        <v>213182.11063851826</v>
      </c>
      <c r="AJ270" s="178">
        <f t="shared" si="147"/>
        <v>1221680.3465998871</v>
      </c>
      <c r="AK270" s="113">
        <f t="shared" si="148"/>
        <v>1434862.4572384055</v>
      </c>
      <c r="AL270" s="113">
        <f t="shared" si="121"/>
        <v>435793.49654825736</v>
      </c>
      <c r="AM270" s="114">
        <f t="shared" si="149"/>
        <v>41.333333333333336</v>
      </c>
      <c r="AN270" s="114">
        <f t="shared" si="150"/>
        <v>4.3437939527469528E-3</v>
      </c>
      <c r="AO270" s="114">
        <f t="shared" si="151"/>
        <v>1749.7777777777781</v>
      </c>
    </row>
    <row r="271" spans="1:41" hidden="1" outlineLevel="1" x14ac:dyDescent="0.3">
      <c r="A271" s="146">
        <f t="shared" si="122"/>
        <v>249</v>
      </c>
      <c r="B271" s="147">
        <f t="shared" si="115"/>
        <v>36</v>
      </c>
      <c r="C271" s="147">
        <f t="shared" si="114"/>
        <v>324</v>
      </c>
      <c r="D271" s="149">
        <f t="shared" si="123"/>
        <v>41666749.531444147</v>
      </c>
      <c r="E271" s="149">
        <f t="shared" si="124"/>
        <v>1272456.3014438637</v>
      </c>
      <c r="F271" s="149">
        <f t="shared" si="116"/>
        <v>214424.81616891557</v>
      </c>
      <c r="G271" s="149">
        <f t="shared" si="117"/>
        <v>207277.32229661837</v>
      </c>
      <c r="H271" s="149">
        <f t="shared" si="125"/>
        <v>7147.4938722972001</v>
      </c>
      <c r="I271" s="149">
        <f t="shared" si="126"/>
        <v>1058031.4852749482</v>
      </c>
      <c r="J271" s="147">
        <f t="shared" si="127"/>
        <v>4.4999999999999998E-2</v>
      </c>
      <c r="K271" s="175">
        <f t="shared" si="118"/>
        <v>3.8296430163020645E-3</v>
      </c>
      <c r="L271" s="149">
        <f t="shared" si="128"/>
        <v>160182.21706401737</v>
      </c>
      <c r="M271" s="149">
        <f t="shared" si="129"/>
        <v>1425491.0246355841</v>
      </c>
      <c r="N271" s="149">
        <f t="shared" si="130"/>
        <v>1218213.7023389656</v>
      </c>
      <c r="P271" s="149">
        <f t="shared" si="131"/>
        <v>0</v>
      </c>
      <c r="Q271" s="149">
        <f t="shared" si="132"/>
        <v>0</v>
      </c>
      <c r="R271" s="178">
        <f t="shared" si="133"/>
        <v>0</v>
      </c>
      <c r="S271" s="113">
        <f t="shared" si="134"/>
        <v>0</v>
      </c>
      <c r="T271" s="113">
        <f t="shared" si="119"/>
        <v>0</v>
      </c>
      <c r="U271" s="114">
        <f t="shared" si="135"/>
        <v>41.5</v>
      </c>
      <c r="V271" s="114">
        <f t="shared" si="136"/>
        <v>0</v>
      </c>
      <c r="W271" s="114">
        <f t="shared" si="137"/>
        <v>1763.75</v>
      </c>
      <c r="X271" s="114"/>
      <c r="Y271" s="149">
        <f t="shared" si="138"/>
        <v>0</v>
      </c>
      <c r="Z271" s="149">
        <f t="shared" si="139"/>
        <v>0</v>
      </c>
      <c r="AA271" s="178">
        <f t="shared" si="140"/>
        <v>0</v>
      </c>
      <c r="AB271" s="113">
        <f t="shared" si="141"/>
        <v>0</v>
      </c>
      <c r="AC271" s="113">
        <f t="shared" si="120"/>
        <v>0</v>
      </c>
      <c r="AD271" s="114">
        <f t="shared" si="142"/>
        <v>41.5</v>
      </c>
      <c r="AE271" s="114">
        <f t="shared" si="143"/>
        <v>0</v>
      </c>
      <c r="AF271" s="114">
        <f t="shared" si="144"/>
        <v>1763.75</v>
      </c>
      <c r="AG271" s="114"/>
      <c r="AH271" s="176">
        <f t="shared" si="145"/>
        <v>41666749.531444237</v>
      </c>
      <c r="AI271" s="176">
        <f t="shared" si="146"/>
        <v>207277.3222966188</v>
      </c>
      <c r="AJ271" s="178">
        <f t="shared" si="147"/>
        <v>1218213.7023389656</v>
      </c>
      <c r="AK271" s="113">
        <f t="shared" si="148"/>
        <v>1425491.0246355843</v>
      </c>
      <c r="AL271" s="113">
        <f t="shared" si="121"/>
        <v>430871.87530017388</v>
      </c>
      <c r="AM271" s="114">
        <f t="shared" si="149"/>
        <v>41.5</v>
      </c>
      <c r="AN271" s="114">
        <f t="shared" si="150"/>
        <v>4.2947374413844237E-3</v>
      </c>
      <c r="AO271" s="114">
        <f t="shared" si="151"/>
        <v>1763.75</v>
      </c>
    </row>
    <row r="272" spans="1:41" hidden="1" outlineLevel="1" x14ac:dyDescent="0.3">
      <c r="A272" s="146">
        <f t="shared" si="122"/>
        <v>250</v>
      </c>
      <c r="B272" s="147">
        <f t="shared" si="115"/>
        <v>35</v>
      </c>
      <c r="C272" s="147">
        <f t="shared" si="114"/>
        <v>325</v>
      </c>
      <c r="D272" s="149">
        <f t="shared" si="123"/>
        <v>40451987.802142493</v>
      </c>
      <c r="E272" s="149">
        <f t="shared" si="124"/>
        <v>1267583.2480554895</v>
      </c>
      <c r="F272" s="149">
        <f t="shared" si="116"/>
        <v>208333.74765722075</v>
      </c>
      <c r="G272" s="149">
        <f t="shared" si="117"/>
        <v>201389.28940198006</v>
      </c>
      <c r="H272" s="149">
        <f t="shared" si="125"/>
        <v>6944.4582552406937</v>
      </c>
      <c r="I272" s="149">
        <f t="shared" si="126"/>
        <v>1059249.5003982687</v>
      </c>
      <c r="J272" s="147">
        <f t="shared" si="127"/>
        <v>4.4999999999999998E-2</v>
      </c>
      <c r="K272" s="175">
        <f t="shared" si="118"/>
        <v>3.8296430163020645E-3</v>
      </c>
      <c r="L272" s="149">
        <f t="shared" si="128"/>
        <v>155512.22890338072</v>
      </c>
      <c r="M272" s="149">
        <f t="shared" si="129"/>
        <v>1416151.0187036295</v>
      </c>
      <c r="N272" s="149">
        <f t="shared" si="130"/>
        <v>1214761.7293016494</v>
      </c>
      <c r="P272" s="149">
        <f t="shared" si="131"/>
        <v>0</v>
      </c>
      <c r="Q272" s="149">
        <f t="shared" si="132"/>
        <v>0</v>
      </c>
      <c r="R272" s="178">
        <f t="shared" si="133"/>
        <v>0</v>
      </c>
      <c r="S272" s="113">
        <f t="shared" si="134"/>
        <v>0</v>
      </c>
      <c r="T272" s="113">
        <f t="shared" si="119"/>
        <v>0</v>
      </c>
      <c r="U272" s="114">
        <f t="shared" si="135"/>
        <v>41.666666666666664</v>
      </c>
      <c r="V272" s="114">
        <f t="shared" si="136"/>
        <v>0</v>
      </c>
      <c r="W272" s="114">
        <f t="shared" si="137"/>
        <v>1777.7777777777776</v>
      </c>
      <c r="X272" s="114"/>
      <c r="Y272" s="149">
        <f t="shared" si="138"/>
        <v>0</v>
      </c>
      <c r="Z272" s="149">
        <f t="shared" si="139"/>
        <v>0</v>
      </c>
      <c r="AA272" s="178">
        <f t="shared" si="140"/>
        <v>0</v>
      </c>
      <c r="AB272" s="113">
        <f t="shared" si="141"/>
        <v>0</v>
      </c>
      <c r="AC272" s="113">
        <f t="shared" si="120"/>
        <v>0</v>
      </c>
      <c r="AD272" s="114">
        <f t="shared" si="142"/>
        <v>41.666666666666664</v>
      </c>
      <c r="AE272" s="114">
        <f t="shared" si="143"/>
        <v>0</v>
      </c>
      <c r="AF272" s="114">
        <f t="shared" si="144"/>
        <v>1777.7777777777776</v>
      </c>
      <c r="AG272" s="114"/>
      <c r="AH272" s="176">
        <f t="shared" si="145"/>
        <v>40451987.80214259</v>
      </c>
      <c r="AI272" s="176">
        <f t="shared" si="146"/>
        <v>201389.2894019805</v>
      </c>
      <c r="AJ272" s="178">
        <f t="shared" si="147"/>
        <v>1214761.7293016494</v>
      </c>
      <c r="AK272" s="113">
        <f t="shared" si="148"/>
        <v>1416151.01870363</v>
      </c>
      <c r="AL272" s="113">
        <f t="shared" si="121"/>
        <v>425996.87789836875</v>
      </c>
      <c r="AM272" s="114">
        <f t="shared" si="149"/>
        <v>41.666666666666664</v>
      </c>
      <c r="AN272" s="114">
        <f t="shared" si="150"/>
        <v>4.2461456555928853E-3</v>
      </c>
      <c r="AO272" s="114">
        <f t="shared" si="151"/>
        <v>1777.7777777777776</v>
      </c>
    </row>
    <row r="273" spans="1:41" hidden="1" outlineLevel="1" x14ac:dyDescent="0.3">
      <c r="A273" s="146">
        <f t="shared" si="122"/>
        <v>251</v>
      </c>
      <c r="B273" s="147">
        <f t="shared" si="115"/>
        <v>34</v>
      </c>
      <c r="C273" s="147">
        <f t="shared" si="114"/>
        <v>326</v>
      </c>
      <c r="D273" s="149">
        <f t="shared" si="123"/>
        <v>39240663.429233924</v>
      </c>
      <c r="E273" s="149">
        <f t="shared" si="124"/>
        <v>1262728.8567219924</v>
      </c>
      <c r="F273" s="149">
        <f t="shared" si="116"/>
        <v>202259.93901071246</v>
      </c>
      <c r="G273" s="149">
        <f t="shared" si="117"/>
        <v>195517.94104368874</v>
      </c>
      <c r="H273" s="149">
        <f t="shared" si="125"/>
        <v>6741.9979670237226</v>
      </c>
      <c r="I273" s="149">
        <f t="shared" si="126"/>
        <v>1060468.9177112798</v>
      </c>
      <c r="J273" s="147">
        <f t="shared" si="127"/>
        <v>4.4999999999999998E-2</v>
      </c>
      <c r="K273" s="175">
        <f t="shared" si="118"/>
        <v>3.8296430163020645E-3</v>
      </c>
      <c r="L273" s="149">
        <f t="shared" si="128"/>
        <v>150855.45519729287</v>
      </c>
      <c r="M273" s="149">
        <f t="shared" si="129"/>
        <v>1406842.3139522613</v>
      </c>
      <c r="N273" s="149">
        <f t="shared" si="130"/>
        <v>1211324.3729085727</v>
      </c>
      <c r="P273" s="149">
        <f t="shared" si="131"/>
        <v>0</v>
      </c>
      <c r="Q273" s="149">
        <f t="shared" si="132"/>
        <v>0</v>
      </c>
      <c r="R273" s="178">
        <f t="shared" si="133"/>
        <v>0</v>
      </c>
      <c r="S273" s="113">
        <f t="shared" si="134"/>
        <v>0</v>
      </c>
      <c r="T273" s="113">
        <f t="shared" si="119"/>
        <v>0</v>
      </c>
      <c r="U273" s="114">
        <f t="shared" si="135"/>
        <v>41.833333333333336</v>
      </c>
      <c r="V273" s="114">
        <f t="shared" si="136"/>
        <v>0</v>
      </c>
      <c r="W273" s="114">
        <f t="shared" si="137"/>
        <v>1791.8611111111113</v>
      </c>
      <c r="X273" s="114"/>
      <c r="Y273" s="149">
        <f t="shared" si="138"/>
        <v>0</v>
      </c>
      <c r="Z273" s="149">
        <f t="shared" si="139"/>
        <v>0</v>
      </c>
      <c r="AA273" s="178">
        <f t="shared" si="140"/>
        <v>0</v>
      </c>
      <c r="AB273" s="113">
        <f t="shared" si="141"/>
        <v>0</v>
      </c>
      <c r="AC273" s="113">
        <f t="shared" si="120"/>
        <v>0</v>
      </c>
      <c r="AD273" s="114">
        <f t="shared" si="142"/>
        <v>41.833333333333336</v>
      </c>
      <c r="AE273" s="114">
        <f t="shared" si="143"/>
        <v>0</v>
      </c>
      <c r="AF273" s="114">
        <f t="shared" si="144"/>
        <v>1791.8611111111113</v>
      </c>
      <c r="AG273" s="114"/>
      <c r="AH273" s="176">
        <f t="shared" si="145"/>
        <v>39240663.42923402</v>
      </c>
      <c r="AI273" s="176">
        <f t="shared" si="146"/>
        <v>195517.94104368921</v>
      </c>
      <c r="AJ273" s="178">
        <f t="shared" si="147"/>
        <v>1211324.3729085727</v>
      </c>
      <c r="AK273" s="113">
        <f t="shared" si="148"/>
        <v>1406842.3139522618</v>
      </c>
      <c r="AL273" s="113">
        <f t="shared" si="121"/>
        <v>421168.08756138285</v>
      </c>
      <c r="AM273" s="114">
        <f t="shared" si="149"/>
        <v>41.833333333333336</v>
      </c>
      <c r="AN273" s="114">
        <f t="shared" si="150"/>
        <v>4.1980144410818411E-3</v>
      </c>
      <c r="AO273" s="114">
        <f t="shared" si="151"/>
        <v>1791.8611111111113</v>
      </c>
    </row>
    <row r="274" spans="1:41" hidden="1" outlineLevel="1" x14ac:dyDescent="0.3">
      <c r="A274" s="146">
        <f t="shared" si="122"/>
        <v>252</v>
      </c>
      <c r="B274" s="147">
        <f t="shared" si="115"/>
        <v>33</v>
      </c>
      <c r="C274" s="147">
        <f t="shared" si="114"/>
        <v>327</v>
      </c>
      <c r="D274" s="149">
        <f t="shared" si="123"/>
        <v>38032761.850442685</v>
      </c>
      <c r="E274" s="149">
        <f t="shared" si="124"/>
        <v>1257893.0559743638</v>
      </c>
      <c r="F274" s="149">
        <f t="shared" si="116"/>
        <v>196203.31714616963</v>
      </c>
      <c r="G274" s="149">
        <f t="shared" si="117"/>
        <v>189663.20657463063</v>
      </c>
      <c r="H274" s="149">
        <f t="shared" si="125"/>
        <v>6540.1105715390004</v>
      </c>
      <c r="I274" s="149">
        <f t="shared" si="126"/>
        <v>1061689.7388281941</v>
      </c>
      <c r="J274" s="147">
        <f t="shared" si="127"/>
        <v>4.4999999999999998E-2</v>
      </c>
      <c r="K274" s="175">
        <f t="shared" si="118"/>
        <v>3.8296430163020645E-3</v>
      </c>
      <c r="L274" s="149">
        <f t="shared" si="128"/>
        <v>146211.83996304256</v>
      </c>
      <c r="M274" s="149">
        <f t="shared" si="129"/>
        <v>1397564.7853658674</v>
      </c>
      <c r="N274" s="149">
        <f t="shared" si="130"/>
        <v>1207901.5787912367</v>
      </c>
      <c r="P274" s="149">
        <f t="shared" si="131"/>
        <v>0</v>
      </c>
      <c r="Q274" s="149">
        <f t="shared" si="132"/>
        <v>0</v>
      </c>
      <c r="R274" s="178">
        <f t="shared" si="133"/>
        <v>0</v>
      </c>
      <c r="S274" s="113">
        <f t="shared" si="134"/>
        <v>0</v>
      </c>
      <c r="T274" s="113">
        <f t="shared" si="119"/>
        <v>0</v>
      </c>
      <c r="U274" s="114">
        <f t="shared" si="135"/>
        <v>42</v>
      </c>
      <c r="V274" s="114">
        <f t="shared" si="136"/>
        <v>0</v>
      </c>
      <c r="W274" s="114">
        <f t="shared" si="137"/>
        <v>1806</v>
      </c>
      <c r="X274" s="114"/>
      <c r="Y274" s="149">
        <f t="shared" si="138"/>
        <v>0</v>
      </c>
      <c r="Z274" s="149">
        <f t="shared" si="139"/>
        <v>0</v>
      </c>
      <c r="AA274" s="178">
        <f t="shared" si="140"/>
        <v>0</v>
      </c>
      <c r="AB274" s="113">
        <f t="shared" si="141"/>
        <v>0</v>
      </c>
      <c r="AC274" s="113">
        <f t="shared" si="120"/>
        <v>0</v>
      </c>
      <c r="AD274" s="114">
        <f t="shared" si="142"/>
        <v>42</v>
      </c>
      <c r="AE274" s="114">
        <f t="shared" si="143"/>
        <v>0</v>
      </c>
      <c r="AF274" s="114">
        <f t="shared" si="144"/>
        <v>1806</v>
      </c>
      <c r="AG274" s="114"/>
      <c r="AH274" s="176">
        <f t="shared" si="145"/>
        <v>38032761.850442782</v>
      </c>
      <c r="AI274" s="176">
        <f t="shared" si="146"/>
        <v>189663.2065746311</v>
      </c>
      <c r="AJ274" s="178">
        <f t="shared" si="147"/>
        <v>1207901.5787912367</v>
      </c>
      <c r="AK274" s="113">
        <f t="shared" si="148"/>
        <v>1397564.7853658679</v>
      </c>
      <c r="AL274" s="113">
        <f t="shared" si="121"/>
        <v>416385.09115096403</v>
      </c>
      <c r="AM274" s="114">
        <f t="shared" si="149"/>
        <v>42</v>
      </c>
      <c r="AN274" s="114">
        <f t="shared" si="150"/>
        <v>4.1503396798746438E-3</v>
      </c>
      <c r="AO274" s="114">
        <f t="shared" si="151"/>
        <v>1806</v>
      </c>
    </row>
    <row r="275" spans="1:41" hidden="1" outlineLevel="1" x14ac:dyDescent="0.3">
      <c r="A275" s="146">
        <f t="shared" si="122"/>
        <v>253</v>
      </c>
      <c r="B275" s="147">
        <f t="shared" si="115"/>
        <v>32</v>
      </c>
      <c r="C275" s="147">
        <f t="shared" si="114"/>
        <v>328</v>
      </c>
      <c r="D275" s="149">
        <f t="shared" si="123"/>
        <v>36828268.557651483</v>
      </c>
      <c r="E275" s="149">
        <f t="shared" si="124"/>
        <v>1253075.7746172966</v>
      </c>
      <c r="F275" s="149">
        <f t="shared" si="116"/>
        <v>190163.80925221342</v>
      </c>
      <c r="G275" s="149">
        <f t="shared" si="117"/>
        <v>183825.015610473</v>
      </c>
      <c r="H275" s="149">
        <f t="shared" si="125"/>
        <v>6338.7936417404271</v>
      </c>
      <c r="I275" s="149">
        <f t="shared" si="126"/>
        <v>1062911.9653650832</v>
      </c>
      <c r="J275" s="147">
        <f t="shared" si="127"/>
        <v>4.4999999999999998E-2</v>
      </c>
      <c r="K275" s="175">
        <f t="shared" si="118"/>
        <v>3.8296430163020645E-3</v>
      </c>
      <c r="L275" s="149">
        <f t="shared" si="128"/>
        <v>141581.32742612311</v>
      </c>
      <c r="M275" s="149">
        <f t="shared" si="129"/>
        <v>1388318.3084016794</v>
      </c>
      <c r="N275" s="149">
        <f t="shared" si="130"/>
        <v>1204493.2927912064</v>
      </c>
      <c r="P275" s="149">
        <f t="shared" si="131"/>
        <v>0</v>
      </c>
      <c r="Q275" s="149">
        <f t="shared" si="132"/>
        <v>0</v>
      </c>
      <c r="R275" s="178">
        <f t="shared" si="133"/>
        <v>0</v>
      </c>
      <c r="S275" s="113">
        <f t="shared" si="134"/>
        <v>0</v>
      </c>
      <c r="T275" s="113">
        <f t="shared" si="119"/>
        <v>0</v>
      </c>
      <c r="U275" s="114">
        <f t="shared" si="135"/>
        <v>42.166666666666664</v>
      </c>
      <c r="V275" s="114">
        <f t="shared" si="136"/>
        <v>0</v>
      </c>
      <c r="W275" s="114">
        <f t="shared" si="137"/>
        <v>1820.1944444444443</v>
      </c>
      <c r="X275" s="114"/>
      <c r="Y275" s="149">
        <f t="shared" si="138"/>
        <v>0</v>
      </c>
      <c r="Z275" s="149">
        <f t="shared" si="139"/>
        <v>0</v>
      </c>
      <c r="AA275" s="178">
        <f t="shared" si="140"/>
        <v>0</v>
      </c>
      <c r="AB275" s="113">
        <f t="shared" si="141"/>
        <v>0</v>
      </c>
      <c r="AC275" s="113">
        <f t="shared" si="120"/>
        <v>0</v>
      </c>
      <c r="AD275" s="114">
        <f t="shared" si="142"/>
        <v>42.166666666666664</v>
      </c>
      <c r="AE275" s="114">
        <f t="shared" si="143"/>
        <v>0</v>
      </c>
      <c r="AF275" s="114">
        <f t="shared" si="144"/>
        <v>1820.1944444444443</v>
      </c>
      <c r="AG275" s="114"/>
      <c r="AH275" s="176">
        <f t="shared" si="145"/>
        <v>36828268.557651579</v>
      </c>
      <c r="AI275" s="176">
        <f t="shared" si="146"/>
        <v>183825.01561047346</v>
      </c>
      <c r="AJ275" s="178">
        <f t="shared" si="147"/>
        <v>1204493.2927912064</v>
      </c>
      <c r="AK275" s="113">
        <f t="shared" si="148"/>
        <v>1388318.3084016799</v>
      </c>
      <c r="AL275" s="113">
        <f t="shared" si="121"/>
        <v>411647.4791405088</v>
      </c>
      <c r="AM275" s="114">
        <f t="shared" si="149"/>
        <v>42.166666666666664</v>
      </c>
      <c r="AN275" s="114">
        <f t="shared" si="150"/>
        <v>4.1031172899939411E-3</v>
      </c>
      <c r="AO275" s="114">
        <f t="shared" si="151"/>
        <v>1820.1944444444443</v>
      </c>
    </row>
    <row r="276" spans="1:41" hidden="1" outlineLevel="1" x14ac:dyDescent="0.3">
      <c r="A276" s="146">
        <f t="shared" si="122"/>
        <v>254</v>
      </c>
      <c r="B276" s="147">
        <f t="shared" si="115"/>
        <v>31</v>
      </c>
      <c r="C276" s="147">
        <f t="shared" si="114"/>
        <v>329</v>
      </c>
      <c r="D276" s="149">
        <f t="shared" si="123"/>
        <v>35627169.096692175</v>
      </c>
      <c r="E276" s="149">
        <f t="shared" si="124"/>
        <v>1248276.9417281363</v>
      </c>
      <c r="F276" s="149">
        <f t="shared" si="116"/>
        <v>184141.3427882574</v>
      </c>
      <c r="G276" s="149">
        <f t="shared" si="117"/>
        <v>178003.29802864883</v>
      </c>
      <c r="H276" s="149">
        <f t="shared" si="125"/>
        <v>6138.0447596085723</v>
      </c>
      <c r="I276" s="149">
        <f t="shared" si="126"/>
        <v>1064135.5989398789</v>
      </c>
      <c r="J276" s="147">
        <f t="shared" si="127"/>
        <v>4.4999999999999998E-2</v>
      </c>
      <c r="K276" s="175">
        <f t="shared" si="118"/>
        <v>3.8296430163020645E-3</v>
      </c>
      <c r="L276" s="149">
        <f t="shared" si="128"/>
        <v>136963.86201942837</v>
      </c>
      <c r="M276" s="149">
        <f t="shared" si="129"/>
        <v>1379102.758987956</v>
      </c>
      <c r="N276" s="149">
        <f t="shared" si="130"/>
        <v>1201099.4609593072</v>
      </c>
      <c r="P276" s="149">
        <f t="shared" si="131"/>
        <v>0</v>
      </c>
      <c r="Q276" s="149">
        <f t="shared" si="132"/>
        <v>0</v>
      </c>
      <c r="R276" s="178">
        <f t="shared" si="133"/>
        <v>0</v>
      </c>
      <c r="S276" s="113">
        <f t="shared" si="134"/>
        <v>0</v>
      </c>
      <c r="T276" s="113">
        <f t="shared" si="119"/>
        <v>0</v>
      </c>
      <c r="U276" s="114">
        <f t="shared" si="135"/>
        <v>42.333333333333336</v>
      </c>
      <c r="V276" s="114">
        <f t="shared" si="136"/>
        <v>0</v>
      </c>
      <c r="W276" s="114">
        <f t="shared" si="137"/>
        <v>1834.4444444444446</v>
      </c>
      <c r="X276" s="114"/>
      <c r="Y276" s="149">
        <f t="shared" si="138"/>
        <v>0</v>
      </c>
      <c r="Z276" s="149">
        <f t="shared" si="139"/>
        <v>0</v>
      </c>
      <c r="AA276" s="178">
        <f t="shared" si="140"/>
        <v>0</v>
      </c>
      <c r="AB276" s="113">
        <f t="shared" si="141"/>
        <v>0</v>
      </c>
      <c r="AC276" s="113">
        <f t="shared" si="120"/>
        <v>0</v>
      </c>
      <c r="AD276" s="114">
        <f t="shared" si="142"/>
        <v>42.333333333333336</v>
      </c>
      <c r="AE276" s="114">
        <f t="shared" si="143"/>
        <v>0</v>
      </c>
      <c r="AF276" s="114">
        <f t="shared" si="144"/>
        <v>1834.4444444444446</v>
      </c>
      <c r="AG276" s="114"/>
      <c r="AH276" s="176">
        <f t="shared" si="145"/>
        <v>35627169.096692272</v>
      </c>
      <c r="AI276" s="176">
        <f t="shared" si="146"/>
        <v>178003.2980286493</v>
      </c>
      <c r="AJ276" s="178">
        <f t="shared" si="147"/>
        <v>1201099.4609593072</v>
      </c>
      <c r="AK276" s="113">
        <f t="shared" si="148"/>
        <v>1379102.7589879564</v>
      </c>
      <c r="AL276" s="113">
        <f t="shared" si="121"/>
        <v>406954.84558377933</v>
      </c>
      <c r="AM276" s="114">
        <f t="shared" si="149"/>
        <v>42.333333333333336</v>
      </c>
      <c r="AN276" s="114">
        <f t="shared" si="150"/>
        <v>4.0563432251498549E-3</v>
      </c>
      <c r="AO276" s="114">
        <f t="shared" si="151"/>
        <v>1834.4444444444446</v>
      </c>
    </row>
    <row r="277" spans="1:41" hidden="1" outlineLevel="1" x14ac:dyDescent="0.3">
      <c r="A277" s="146">
        <f t="shared" si="122"/>
        <v>255</v>
      </c>
      <c r="B277" s="147">
        <f t="shared" si="115"/>
        <v>30</v>
      </c>
      <c r="C277" s="147">
        <f t="shared" si="114"/>
        <v>330</v>
      </c>
      <c r="D277" s="149">
        <f t="shared" si="123"/>
        <v>34429449.067137353</v>
      </c>
      <c r="E277" s="149">
        <f t="shared" si="124"/>
        <v>1243496.4866558362</v>
      </c>
      <c r="F277" s="149">
        <f t="shared" si="116"/>
        <v>178135.84548346087</v>
      </c>
      <c r="G277" s="149">
        <f t="shared" si="117"/>
        <v>172197.98396734553</v>
      </c>
      <c r="H277" s="149">
        <f t="shared" si="125"/>
        <v>5937.861516115343</v>
      </c>
      <c r="I277" s="149">
        <f t="shared" si="126"/>
        <v>1065360.6411723753</v>
      </c>
      <c r="J277" s="147">
        <f t="shared" si="127"/>
        <v>4.4999999999999998E-2</v>
      </c>
      <c r="K277" s="175">
        <f t="shared" si="118"/>
        <v>3.8296430163020645E-3</v>
      </c>
      <c r="L277" s="149">
        <f t="shared" si="128"/>
        <v>132359.38838245106</v>
      </c>
      <c r="M277" s="149">
        <f t="shared" si="129"/>
        <v>1369918.0135221719</v>
      </c>
      <c r="N277" s="149">
        <f t="shared" si="130"/>
        <v>1197720.0295548264</v>
      </c>
      <c r="P277" s="149">
        <f t="shared" si="131"/>
        <v>0</v>
      </c>
      <c r="Q277" s="149">
        <f t="shared" si="132"/>
        <v>0</v>
      </c>
      <c r="R277" s="178">
        <f t="shared" si="133"/>
        <v>0</v>
      </c>
      <c r="S277" s="113">
        <f t="shared" si="134"/>
        <v>0</v>
      </c>
      <c r="T277" s="113">
        <f t="shared" si="119"/>
        <v>0</v>
      </c>
      <c r="U277" s="114">
        <f t="shared" si="135"/>
        <v>42.5</v>
      </c>
      <c r="V277" s="114">
        <f t="shared" si="136"/>
        <v>0</v>
      </c>
      <c r="W277" s="114">
        <f t="shared" si="137"/>
        <v>1848.75</v>
      </c>
      <c r="X277" s="114"/>
      <c r="Y277" s="149">
        <f t="shared" si="138"/>
        <v>0</v>
      </c>
      <c r="Z277" s="149">
        <f t="shared" si="139"/>
        <v>0</v>
      </c>
      <c r="AA277" s="178">
        <f t="shared" si="140"/>
        <v>0</v>
      </c>
      <c r="AB277" s="113">
        <f t="shared" si="141"/>
        <v>0</v>
      </c>
      <c r="AC277" s="113">
        <f t="shared" si="120"/>
        <v>0</v>
      </c>
      <c r="AD277" s="114">
        <f t="shared" si="142"/>
        <v>42.5</v>
      </c>
      <c r="AE277" s="114">
        <f t="shared" si="143"/>
        <v>0</v>
      </c>
      <c r="AF277" s="114">
        <f t="shared" si="144"/>
        <v>1848.75</v>
      </c>
      <c r="AG277" s="114"/>
      <c r="AH277" s="176">
        <f t="shared" si="145"/>
        <v>34429449.067137443</v>
      </c>
      <c r="AI277" s="176">
        <f t="shared" si="146"/>
        <v>172197.98396734599</v>
      </c>
      <c r="AJ277" s="178">
        <f t="shared" si="147"/>
        <v>1197720.0295548264</v>
      </c>
      <c r="AK277" s="113">
        <f t="shared" si="148"/>
        <v>1369918.0135221723</v>
      </c>
      <c r="AL277" s="113">
        <f t="shared" si="121"/>
        <v>402306.78808388894</v>
      </c>
      <c r="AM277" s="114">
        <f t="shared" si="149"/>
        <v>42.5</v>
      </c>
      <c r="AN277" s="114">
        <f t="shared" si="150"/>
        <v>4.0100134744308511E-3</v>
      </c>
      <c r="AO277" s="114">
        <f t="shared" si="151"/>
        <v>1848.75</v>
      </c>
    </row>
    <row r="278" spans="1:41" hidden="1" outlineLevel="1" x14ac:dyDescent="0.3">
      <c r="A278" s="146">
        <f t="shared" si="122"/>
        <v>256</v>
      </c>
      <c r="B278" s="147">
        <f t="shared" si="115"/>
        <v>29</v>
      </c>
      <c r="C278" s="147">
        <f t="shared" ref="C278:C341" si="152">IF($A278&gt;$B$4,"",$B$11*$B$13-B278)</f>
        <v>331</v>
      </c>
      <c r="D278" s="149">
        <f t="shared" si="123"/>
        <v>33235094.122092634</v>
      </c>
      <c r="E278" s="149">
        <f t="shared" si="124"/>
        <v>1238734.3390199186</v>
      </c>
      <c r="F278" s="149">
        <f t="shared" si="116"/>
        <v>172147.24533568678</v>
      </c>
      <c r="G278" s="149">
        <f t="shared" si="117"/>
        <v>166409.00382449722</v>
      </c>
      <c r="H278" s="149">
        <f t="shared" si="125"/>
        <v>5738.2415111895534</v>
      </c>
      <c r="I278" s="149">
        <f t="shared" si="126"/>
        <v>1066587.0936842319</v>
      </c>
      <c r="J278" s="147">
        <f t="shared" si="127"/>
        <v>4.4999999999999998E-2</v>
      </c>
      <c r="K278" s="175">
        <f t="shared" si="118"/>
        <v>3.8296430163020645E-3</v>
      </c>
      <c r="L278" s="149">
        <f t="shared" si="128"/>
        <v>127767.85136048445</v>
      </c>
      <c r="M278" s="149">
        <f t="shared" si="129"/>
        <v>1360763.9488692135</v>
      </c>
      <c r="N278" s="149">
        <f t="shared" si="130"/>
        <v>1194354.9450447164</v>
      </c>
      <c r="P278" s="149">
        <f t="shared" si="131"/>
        <v>0</v>
      </c>
      <c r="Q278" s="149">
        <f t="shared" si="132"/>
        <v>0</v>
      </c>
      <c r="R278" s="178">
        <f t="shared" si="133"/>
        <v>0</v>
      </c>
      <c r="S278" s="113">
        <f t="shared" si="134"/>
        <v>0</v>
      </c>
      <c r="T278" s="113">
        <f t="shared" si="119"/>
        <v>0</v>
      </c>
      <c r="U278" s="114">
        <f t="shared" si="135"/>
        <v>42.666666666666664</v>
      </c>
      <c r="V278" s="114">
        <f t="shared" si="136"/>
        <v>0</v>
      </c>
      <c r="W278" s="114">
        <f t="shared" si="137"/>
        <v>1863.1111111111109</v>
      </c>
      <c r="X278" s="114"/>
      <c r="Y278" s="149">
        <f t="shared" si="138"/>
        <v>0</v>
      </c>
      <c r="Z278" s="149">
        <f t="shared" si="139"/>
        <v>0</v>
      </c>
      <c r="AA278" s="178">
        <f t="shared" si="140"/>
        <v>0</v>
      </c>
      <c r="AB278" s="113">
        <f t="shared" si="141"/>
        <v>0</v>
      </c>
      <c r="AC278" s="113">
        <f t="shared" si="120"/>
        <v>0</v>
      </c>
      <c r="AD278" s="114">
        <f t="shared" si="142"/>
        <v>42.666666666666664</v>
      </c>
      <c r="AE278" s="114">
        <f t="shared" si="143"/>
        <v>0</v>
      </c>
      <c r="AF278" s="114">
        <f t="shared" si="144"/>
        <v>1863.1111111111109</v>
      </c>
      <c r="AG278" s="114"/>
      <c r="AH278" s="176">
        <f t="shared" si="145"/>
        <v>33235094.122092728</v>
      </c>
      <c r="AI278" s="176">
        <f t="shared" si="146"/>
        <v>166409.00382449766</v>
      </c>
      <c r="AJ278" s="178">
        <f t="shared" si="147"/>
        <v>1194354.9450447164</v>
      </c>
      <c r="AK278" s="113">
        <f t="shared" si="148"/>
        <v>1360763.9488692139</v>
      </c>
      <c r="AL278" s="113">
        <f t="shared" si="121"/>
        <v>397702.90776255465</v>
      </c>
      <c r="AM278" s="114">
        <f t="shared" si="149"/>
        <v>42.666666666666664</v>
      </c>
      <c r="AN278" s="114">
        <f t="shared" si="150"/>
        <v>3.9641240619972531E-3</v>
      </c>
      <c r="AO278" s="114">
        <f t="shared" si="151"/>
        <v>1863.1111111111109</v>
      </c>
    </row>
    <row r="279" spans="1:41" hidden="1" outlineLevel="1" x14ac:dyDescent="0.3">
      <c r="A279" s="146">
        <f t="shared" si="122"/>
        <v>257</v>
      </c>
      <c r="B279" s="147">
        <f t="shared" ref="B279:B342" si="153">IF(A279&gt;$B$4,"",B$4-A279)</f>
        <v>28</v>
      </c>
      <c r="C279" s="147">
        <f t="shared" si="152"/>
        <v>332</v>
      </c>
      <c r="D279" s="149">
        <f t="shared" si="123"/>
        <v>32044089.967989832</v>
      </c>
      <c r="E279" s="149">
        <f t="shared" si="124"/>
        <v>1233990.4287094374</v>
      </c>
      <c r="F279" s="149">
        <f t="shared" ref="F279:F342" si="154">IF(A279&gt;$B$4,"",D278*$B$15)</f>
        <v>166175.47061046318</v>
      </c>
      <c r="G279" s="149">
        <f t="shared" ref="G279:G342" si="155">IF(A279&gt;$B$4,"",D278*$B$16)</f>
        <v>160636.28825678109</v>
      </c>
      <c r="H279" s="149">
        <f t="shared" si="125"/>
        <v>5539.1823536820884</v>
      </c>
      <c r="I279" s="149">
        <f t="shared" si="126"/>
        <v>1067814.9580989741</v>
      </c>
      <c r="J279" s="147">
        <f t="shared" si="127"/>
        <v>4.4999999999999998E-2</v>
      </c>
      <c r="K279" s="175">
        <f t="shared" ref="K279:K342" si="156">IF(A279&gt;$B$4,"",1-(1-J279)^(1/$B$11))</f>
        <v>3.8296430163020645E-3</v>
      </c>
      <c r="L279" s="149">
        <f t="shared" si="128"/>
        <v>123189.19600382724</v>
      </c>
      <c r="M279" s="149">
        <f t="shared" si="129"/>
        <v>1351640.4423595825</v>
      </c>
      <c r="N279" s="149">
        <f t="shared" si="130"/>
        <v>1191004.1541028013</v>
      </c>
      <c r="P279" s="149">
        <f t="shared" si="131"/>
        <v>0</v>
      </c>
      <c r="Q279" s="149">
        <f t="shared" si="132"/>
        <v>0</v>
      </c>
      <c r="R279" s="178">
        <f t="shared" si="133"/>
        <v>0</v>
      </c>
      <c r="S279" s="113">
        <f t="shared" si="134"/>
        <v>0</v>
      </c>
      <c r="T279" s="113">
        <f t="shared" ref="T279:T342" si="157">IF(A279&gt;$B$4,"",S279/(1+$B$14)^(A279/$B$11*$B$8))</f>
        <v>0</v>
      </c>
      <c r="U279" s="114">
        <f t="shared" si="135"/>
        <v>42.833333333333336</v>
      </c>
      <c r="V279" s="114">
        <f t="shared" si="136"/>
        <v>0</v>
      </c>
      <c r="W279" s="114">
        <f t="shared" si="137"/>
        <v>1877.5277777777781</v>
      </c>
      <c r="X279" s="114"/>
      <c r="Y279" s="149">
        <f t="shared" si="138"/>
        <v>0</v>
      </c>
      <c r="Z279" s="149">
        <f t="shared" si="139"/>
        <v>0</v>
      </c>
      <c r="AA279" s="178">
        <f t="shared" si="140"/>
        <v>0</v>
      </c>
      <c r="AB279" s="113">
        <f t="shared" si="141"/>
        <v>0</v>
      </c>
      <c r="AC279" s="113">
        <f t="shared" ref="AC279:AC342" si="158">IF(A279&gt;$B$4,"",AB279/(1+$B$14)^(A279/$B$11*$B$8))</f>
        <v>0</v>
      </c>
      <c r="AD279" s="114">
        <f t="shared" si="142"/>
        <v>42.833333333333336</v>
      </c>
      <c r="AE279" s="114">
        <f t="shared" si="143"/>
        <v>0</v>
      </c>
      <c r="AF279" s="114">
        <f t="shared" si="144"/>
        <v>1877.5277777777781</v>
      </c>
      <c r="AG279" s="114"/>
      <c r="AH279" s="176">
        <f t="shared" si="145"/>
        <v>32044089.967989925</v>
      </c>
      <c r="AI279" s="176">
        <f t="shared" si="146"/>
        <v>160636.28825678152</v>
      </c>
      <c r="AJ279" s="178">
        <f t="shared" si="147"/>
        <v>1191004.1541028013</v>
      </c>
      <c r="AK279" s="113">
        <f t="shared" si="148"/>
        <v>1351640.442359583</v>
      </c>
      <c r="AL279" s="113">
        <f t="shared" ref="AL279:AL342" si="159">IF(A279&gt;$B$4,"",AK279/(1+$B$14)^(A279/$B$11*$B$8))</f>
        <v>393142.80922961654</v>
      </c>
      <c r="AM279" s="114">
        <f t="shared" si="149"/>
        <v>42.833333333333336</v>
      </c>
      <c r="AN279" s="114">
        <f t="shared" si="150"/>
        <v>3.9186710467774329E-3</v>
      </c>
      <c r="AO279" s="114">
        <f t="shared" si="151"/>
        <v>1877.5277777777781</v>
      </c>
    </row>
    <row r="280" spans="1:41" hidden="1" outlineLevel="1" x14ac:dyDescent="0.3">
      <c r="A280" s="146">
        <f t="shared" ref="A280:A343" si="160">A279+1</f>
        <v>258</v>
      </c>
      <c r="B280" s="147">
        <f t="shared" si="153"/>
        <v>27</v>
      </c>
      <c r="C280" s="147">
        <f t="shared" si="152"/>
        <v>333</v>
      </c>
      <c r="D280" s="149">
        <f t="shared" ref="D280:D343" si="161">IF(A280&gt;$B$4,"",D279-I280-L280)</f>
        <v>30856422.364380844</v>
      </c>
      <c r="E280" s="149">
        <f t="shared" ref="E280:E343" si="162">IF(A280&gt;$B$4,"",MIN(E279*(1-K279),D279*(1+$B$15)))</f>
        <v>1229264.6858819467</v>
      </c>
      <c r="F280" s="149">
        <f t="shared" si="154"/>
        <v>160220.44983994917</v>
      </c>
      <c r="G280" s="149">
        <f t="shared" si="155"/>
        <v>154879.76817861752</v>
      </c>
      <c r="H280" s="149">
        <f t="shared" ref="H280:H343" si="163">IF(A280&gt;$B$4,"",F280-G280)</f>
        <v>5340.6816613316478</v>
      </c>
      <c r="I280" s="149">
        <f t="shared" ref="I280:I343" si="164">IF(A280&gt;$B$4,"",E280-F280)</f>
        <v>1069044.2360419976</v>
      </c>
      <c r="J280" s="147">
        <f t="shared" ref="J280:J343" si="165">IF(A280&gt;$B$4,"",$B$9/100*MIN(C280/30,1)*0.06)</f>
        <v>4.4999999999999998E-2</v>
      </c>
      <c r="K280" s="175">
        <f t="shared" si="156"/>
        <v>3.8296430163020645E-3</v>
      </c>
      <c r="L280" s="149">
        <f t="shared" ref="L280:L343" si="166">IF(A280&gt;$B$4,"",(D279-I280)*K280)</f>
        <v>118623.3675669911</v>
      </c>
      <c r="M280" s="149">
        <f t="shared" ref="M280:M343" si="167">IF(A280&gt;$B$4,"",G280+I280+L280)</f>
        <v>1342547.3717876063</v>
      </c>
      <c r="N280" s="149">
        <f t="shared" ref="N280:N343" si="168">IF($A280&gt;$B$4,"",I280+L280)</f>
        <v>1187667.6036089887</v>
      </c>
      <c r="P280" s="149">
        <f t="shared" ref="P280:P343" si="169">IF($A280&gt;$B$4,"",MAX(0,P279-R280))</f>
        <v>0</v>
      </c>
      <c r="Q280" s="149">
        <f t="shared" ref="Q280:Q343" si="170">IF($A280&gt;$B$4,"",IF(P279&gt;0,$H$6*P279,0))</f>
        <v>0</v>
      </c>
      <c r="R280" s="178">
        <f t="shared" ref="R280:R343" si="171">IF($A280&gt;$B$4,"",MIN(P279,$N280+AI280))</f>
        <v>0</v>
      </c>
      <c r="S280" s="113">
        <f t="shared" ref="S280:S343" si="172">IF($A280&gt;$B$4,"",Q280+R280)</f>
        <v>0</v>
      </c>
      <c r="T280" s="113">
        <f t="shared" si="157"/>
        <v>0</v>
      </c>
      <c r="U280" s="114">
        <f t="shared" ref="U280:U343" si="173">IF($A280&gt;$B$4,"",A280/6)</f>
        <v>43</v>
      </c>
      <c r="V280" s="114">
        <f t="shared" ref="V280:V343" si="174">IF($A280&gt;$B$4,"",T280/$T$21)</f>
        <v>0</v>
      </c>
      <c r="W280" s="114">
        <f t="shared" ref="W280:W343" si="175">IF($A280&gt;$B$4,"",U280*(U280+1))</f>
        <v>1892</v>
      </c>
      <c r="X280" s="114"/>
      <c r="Y280" s="149">
        <f t="shared" ref="Y280:Y343" si="176">IF($A280&gt;$B$4,"",MAX(0,Y279-AA280))</f>
        <v>0</v>
      </c>
      <c r="Z280" s="149">
        <f t="shared" ref="Z280:Z343" si="177">IF($A280&gt;$B$4,"",IF(Y279&gt;0,$H$7*Y279,0))</f>
        <v>0</v>
      </c>
      <c r="AA280" s="178">
        <f t="shared" ref="AA280:AA343" si="178">IF($A280&gt;$B$4,"",IF(P280&gt;0,0,MIN(Y279,$N280-R280+AI280)))</f>
        <v>0</v>
      </c>
      <c r="AB280" s="113">
        <f t="shared" ref="AB280:AB343" si="179">IF($A280&gt;$B$4,"",Z280+AA280)</f>
        <v>0</v>
      </c>
      <c r="AC280" s="113">
        <f t="shared" si="158"/>
        <v>0</v>
      </c>
      <c r="AD280" s="114">
        <f t="shared" ref="AD280:AD343" si="180">IF($A280&gt;$B$4,"",A280/6)</f>
        <v>43</v>
      </c>
      <c r="AE280" s="114">
        <f t="shared" ref="AE280:AE343" si="181">IF($A280&gt;$B$4,"",AC280/$AC$21)</f>
        <v>0</v>
      </c>
      <c r="AF280" s="114">
        <f t="shared" ref="AF280:AF343" si="182">IF($A280&gt;$B$4,"",AD280*(AD280+1))</f>
        <v>1892</v>
      </c>
      <c r="AG280" s="114"/>
      <c r="AH280" s="176">
        <f t="shared" ref="AH280:AH343" si="183">IF($A280&gt;$B$4,"",MAX(0,AH279-AJ280))</f>
        <v>30856422.364380937</v>
      </c>
      <c r="AI280" s="176">
        <f t="shared" ref="AI280:AI343" si="184">IF($A280&gt;$B$4,"",IF(AH279&gt;0,$H$8*AH279,0))</f>
        <v>154879.76817861799</v>
      </c>
      <c r="AJ280" s="178">
        <f t="shared" ref="AJ280:AJ343" si="185">IF($A280&gt;$B$4,"",IF(Y280&gt;0,-AI280,MIN(AH279,$N280-AA280)))</f>
        <v>1187667.6036089887</v>
      </c>
      <c r="AK280" s="113">
        <f t="shared" ref="AK280:AK343" si="186">IF($A280&gt;$B$4,"",AI280+AJ280)</f>
        <v>1342547.3717876067</v>
      </c>
      <c r="AL280" s="113">
        <f t="shared" si="159"/>
        <v>388626.10055281897</v>
      </c>
      <c r="AM280" s="114">
        <f t="shared" ref="AM280:AM343" si="187">IF($A280&gt;$B$4,"",A280/6)</f>
        <v>43</v>
      </c>
      <c r="AN280" s="114">
        <f t="shared" ref="AN280:AN343" si="188">IF($A280&gt;$B$4,"",AL280/$AL$21)</f>
        <v>3.873650522166597E-3</v>
      </c>
      <c r="AO280" s="114">
        <f t="shared" ref="AO280:AO343" si="189">IF($A280&gt;$B$4,"",AM280*(AM280+1))</f>
        <v>1892</v>
      </c>
    </row>
    <row r="281" spans="1:41" hidden="1" outlineLevel="1" x14ac:dyDescent="0.3">
      <c r="A281" s="146">
        <f t="shared" si="160"/>
        <v>259</v>
      </c>
      <c r="B281" s="147">
        <f t="shared" si="153"/>
        <v>26</v>
      </c>
      <c r="C281" s="147">
        <f t="shared" si="152"/>
        <v>334</v>
      </c>
      <c r="D281" s="149">
        <f t="shared" si="161"/>
        <v>29672077.123732366</v>
      </c>
      <c r="E281" s="149">
        <f t="shared" si="162"/>
        <v>1224557.0409624721</v>
      </c>
      <c r="F281" s="149">
        <f t="shared" si="154"/>
        <v>154282.11182190423</v>
      </c>
      <c r="G281" s="149">
        <f t="shared" si="155"/>
        <v>149139.37476117408</v>
      </c>
      <c r="H281" s="149">
        <f t="shared" si="163"/>
        <v>5142.7370607301418</v>
      </c>
      <c r="I281" s="149">
        <f t="shared" si="164"/>
        <v>1070274.9291405678</v>
      </c>
      <c r="J281" s="147">
        <f t="shared" si="165"/>
        <v>4.4999999999999998E-2</v>
      </c>
      <c r="K281" s="175">
        <f t="shared" si="156"/>
        <v>3.8296430163020645E-3</v>
      </c>
      <c r="L281" s="149">
        <f t="shared" si="166"/>
        <v>114070.31150791157</v>
      </c>
      <c r="M281" s="149">
        <f t="shared" si="167"/>
        <v>1333484.6154096534</v>
      </c>
      <c r="N281" s="149">
        <f t="shared" si="168"/>
        <v>1184345.2406484794</v>
      </c>
      <c r="P281" s="149">
        <f t="shared" si="169"/>
        <v>0</v>
      </c>
      <c r="Q281" s="149">
        <f t="shared" si="170"/>
        <v>0</v>
      </c>
      <c r="R281" s="178">
        <f t="shared" si="171"/>
        <v>0</v>
      </c>
      <c r="S281" s="113">
        <f t="shared" si="172"/>
        <v>0</v>
      </c>
      <c r="T281" s="113">
        <f t="shared" si="157"/>
        <v>0</v>
      </c>
      <c r="U281" s="114">
        <f t="shared" si="173"/>
        <v>43.166666666666664</v>
      </c>
      <c r="V281" s="114">
        <f t="shared" si="174"/>
        <v>0</v>
      </c>
      <c r="W281" s="114">
        <f t="shared" si="175"/>
        <v>1906.5277777777776</v>
      </c>
      <c r="X281" s="114"/>
      <c r="Y281" s="149">
        <f t="shared" si="176"/>
        <v>0</v>
      </c>
      <c r="Z281" s="149">
        <f t="shared" si="177"/>
        <v>0</v>
      </c>
      <c r="AA281" s="178">
        <f t="shared" si="178"/>
        <v>0</v>
      </c>
      <c r="AB281" s="113">
        <f t="shared" si="179"/>
        <v>0</v>
      </c>
      <c r="AC281" s="113">
        <f t="shared" si="158"/>
        <v>0</v>
      </c>
      <c r="AD281" s="114">
        <f t="shared" si="180"/>
        <v>43.166666666666664</v>
      </c>
      <c r="AE281" s="114">
        <f t="shared" si="181"/>
        <v>0</v>
      </c>
      <c r="AF281" s="114">
        <f t="shared" si="182"/>
        <v>1906.5277777777776</v>
      </c>
      <c r="AG281" s="114"/>
      <c r="AH281" s="176">
        <f t="shared" si="183"/>
        <v>29672077.123732459</v>
      </c>
      <c r="AI281" s="176">
        <f t="shared" si="184"/>
        <v>149139.37476117455</v>
      </c>
      <c r="AJ281" s="178">
        <f t="shared" si="185"/>
        <v>1184345.2406484794</v>
      </c>
      <c r="AK281" s="113">
        <f t="shared" si="186"/>
        <v>1333484.6154096541</v>
      </c>
      <c r="AL281" s="113">
        <f t="shared" si="159"/>
        <v>384152.39322785265</v>
      </c>
      <c r="AM281" s="114">
        <f t="shared" si="187"/>
        <v>43.166666666666664</v>
      </c>
      <c r="AN281" s="114">
        <f t="shared" si="188"/>
        <v>3.8290586157281848E-3</v>
      </c>
      <c r="AO281" s="114">
        <f t="shared" si="189"/>
        <v>1906.5277777777776</v>
      </c>
    </row>
    <row r="282" spans="1:41" hidden="1" outlineLevel="1" x14ac:dyDescent="0.3">
      <c r="A282" s="146">
        <f t="shared" si="160"/>
        <v>260</v>
      </c>
      <c r="B282" s="147">
        <f t="shared" si="153"/>
        <v>25</v>
      </c>
      <c r="C282" s="147">
        <f t="shared" si="152"/>
        <v>335</v>
      </c>
      <c r="D282" s="149">
        <f t="shared" si="161"/>
        <v>28491040.111221381</v>
      </c>
      <c r="E282" s="149">
        <f t="shared" si="162"/>
        <v>1219867.4246424867</v>
      </c>
      <c r="F282" s="149">
        <f t="shared" si="154"/>
        <v>148360.38561866182</v>
      </c>
      <c r="G282" s="149">
        <f t="shared" si="155"/>
        <v>143415.03943137309</v>
      </c>
      <c r="H282" s="149">
        <f t="shared" si="163"/>
        <v>4945.3461872887274</v>
      </c>
      <c r="I282" s="149">
        <f t="shared" si="164"/>
        <v>1071507.039023825</v>
      </c>
      <c r="J282" s="147">
        <f t="shared" si="165"/>
        <v>4.4999999999999998E-2</v>
      </c>
      <c r="K282" s="175">
        <f t="shared" si="156"/>
        <v>3.8296430163020645E-3</v>
      </c>
      <c r="L282" s="149">
        <f t="shared" si="166"/>
        <v>109529.97348716181</v>
      </c>
      <c r="M282" s="149">
        <f t="shared" si="167"/>
        <v>1324452.0519423599</v>
      </c>
      <c r="N282" s="149">
        <f t="shared" si="168"/>
        <v>1181037.0125109868</v>
      </c>
      <c r="P282" s="149">
        <f t="shared" si="169"/>
        <v>0</v>
      </c>
      <c r="Q282" s="149">
        <f t="shared" si="170"/>
        <v>0</v>
      </c>
      <c r="R282" s="178">
        <f t="shared" si="171"/>
        <v>0</v>
      </c>
      <c r="S282" s="113">
        <f t="shared" si="172"/>
        <v>0</v>
      </c>
      <c r="T282" s="113">
        <f t="shared" si="157"/>
        <v>0</v>
      </c>
      <c r="U282" s="114">
        <f t="shared" si="173"/>
        <v>43.333333333333336</v>
      </c>
      <c r="V282" s="114">
        <f t="shared" si="174"/>
        <v>0</v>
      </c>
      <c r="W282" s="114">
        <f t="shared" si="175"/>
        <v>1921.1111111111113</v>
      </c>
      <c r="X282" s="114"/>
      <c r="Y282" s="149">
        <f t="shared" si="176"/>
        <v>0</v>
      </c>
      <c r="Z282" s="149">
        <f t="shared" si="177"/>
        <v>0</v>
      </c>
      <c r="AA282" s="178">
        <f t="shared" si="178"/>
        <v>0</v>
      </c>
      <c r="AB282" s="113">
        <f t="shared" si="179"/>
        <v>0</v>
      </c>
      <c r="AC282" s="113">
        <f t="shared" si="158"/>
        <v>0</v>
      </c>
      <c r="AD282" s="114">
        <f t="shared" si="180"/>
        <v>43.333333333333336</v>
      </c>
      <c r="AE282" s="114">
        <f t="shared" si="181"/>
        <v>0</v>
      </c>
      <c r="AF282" s="114">
        <f t="shared" si="182"/>
        <v>1921.1111111111113</v>
      </c>
      <c r="AG282" s="114"/>
      <c r="AH282" s="176">
        <f t="shared" si="183"/>
        <v>28491040.111221474</v>
      </c>
      <c r="AI282" s="176">
        <f t="shared" si="184"/>
        <v>143415.03943137356</v>
      </c>
      <c r="AJ282" s="178">
        <f t="shared" si="185"/>
        <v>1181037.0125109868</v>
      </c>
      <c r="AK282" s="113">
        <f t="shared" si="186"/>
        <v>1324452.0519423604</v>
      </c>
      <c r="AL282" s="113">
        <f t="shared" si="159"/>
        <v>379721.3021486564</v>
      </c>
      <c r="AM282" s="114">
        <f t="shared" si="187"/>
        <v>43.333333333333336</v>
      </c>
      <c r="AN282" s="114">
        <f t="shared" si="188"/>
        <v>3.7848914888978461E-3</v>
      </c>
      <c r="AO282" s="114">
        <f t="shared" si="189"/>
        <v>1921.1111111111113</v>
      </c>
    </row>
    <row r="283" spans="1:41" hidden="1" outlineLevel="1" x14ac:dyDescent="0.3">
      <c r="A283" s="146">
        <f t="shared" si="160"/>
        <v>261</v>
      </c>
      <c r="B283" s="147">
        <f t="shared" si="153"/>
        <v>24</v>
      </c>
      <c r="C283" s="147">
        <f t="shared" si="152"/>
        <v>336</v>
      </c>
      <c r="D283" s="149">
        <f t="shared" si="161"/>
        <v>27313297.244531427</v>
      </c>
      <c r="E283" s="149">
        <f t="shared" si="162"/>
        <v>1215195.7678788903</v>
      </c>
      <c r="F283" s="149">
        <f t="shared" si="154"/>
        <v>142455.20055610689</v>
      </c>
      <c r="G283" s="149">
        <f t="shared" si="155"/>
        <v>137706.69387090334</v>
      </c>
      <c r="H283" s="149">
        <f t="shared" si="163"/>
        <v>4748.5066852035525</v>
      </c>
      <c r="I283" s="149">
        <f t="shared" si="164"/>
        <v>1072740.5673227834</v>
      </c>
      <c r="J283" s="147">
        <f t="shared" si="165"/>
        <v>4.4999999999999998E-2</v>
      </c>
      <c r="K283" s="175">
        <f t="shared" si="156"/>
        <v>3.8296430163020645E-3</v>
      </c>
      <c r="L283" s="149">
        <f t="shared" si="166"/>
        <v>105002.29936716934</v>
      </c>
      <c r="M283" s="149">
        <f t="shared" si="167"/>
        <v>1315449.560560856</v>
      </c>
      <c r="N283" s="149">
        <f t="shared" si="168"/>
        <v>1177742.8666899528</v>
      </c>
      <c r="P283" s="149">
        <f t="shared" si="169"/>
        <v>0</v>
      </c>
      <c r="Q283" s="149">
        <f t="shared" si="170"/>
        <v>0</v>
      </c>
      <c r="R283" s="178">
        <f t="shared" si="171"/>
        <v>0</v>
      </c>
      <c r="S283" s="113">
        <f t="shared" si="172"/>
        <v>0</v>
      </c>
      <c r="T283" s="113">
        <f t="shared" si="157"/>
        <v>0</v>
      </c>
      <c r="U283" s="114">
        <f t="shared" si="173"/>
        <v>43.5</v>
      </c>
      <c r="V283" s="114">
        <f t="shared" si="174"/>
        <v>0</v>
      </c>
      <c r="W283" s="114">
        <f t="shared" si="175"/>
        <v>1935.75</v>
      </c>
      <c r="X283" s="114"/>
      <c r="Y283" s="149">
        <f t="shared" si="176"/>
        <v>0</v>
      </c>
      <c r="Z283" s="149">
        <f t="shared" si="177"/>
        <v>0</v>
      </c>
      <c r="AA283" s="178">
        <f t="shared" si="178"/>
        <v>0</v>
      </c>
      <c r="AB283" s="113">
        <f t="shared" si="179"/>
        <v>0</v>
      </c>
      <c r="AC283" s="113">
        <f t="shared" si="158"/>
        <v>0</v>
      </c>
      <c r="AD283" s="114">
        <f t="shared" si="180"/>
        <v>43.5</v>
      </c>
      <c r="AE283" s="114">
        <f t="shared" si="181"/>
        <v>0</v>
      </c>
      <c r="AF283" s="114">
        <f t="shared" si="182"/>
        <v>1935.75</v>
      </c>
      <c r="AG283" s="114"/>
      <c r="AH283" s="176">
        <f t="shared" si="183"/>
        <v>27313297.24453152</v>
      </c>
      <c r="AI283" s="176">
        <f t="shared" si="184"/>
        <v>137706.69387090381</v>
      </c>
      <c r="AJ283" s="178">
        <f t="shared" si="185"/>
        <v>1177742.8666899528</v>
      </c>
      <c r="AK283" s="113">
        <f t="shared" si="186"/>
        <v>1315449.5605608565</v>
      </c>
      <c r="AL283" s="113">
        <f t="shared" si="159"/>
        <v>375332.44557797327</v>
      </c>
      <c r="AM283" s="114">
        <f t="shared" si="187"/>
        <v>43.5</v>
      </c>
      <c r="AN283" s="114">
        <f t="shared" si="188"/>
        <v>3.7411453366899597E-3</v>
      </c>
      <c r="AO283" s="114">
        <f t="shared" si="189"/>
        <v>1935.75</v>
      </c>
    </row>
    <row r="284" spans="1:41" hidden="1" outlineLevel="1" x14ac:dyDescent="0.3">
      <c r="A284" s="146">
        <f t="shared" si="160"/>
        <v>262</v>
      </c>
      <c r="B284" s="147">
        <f t="shared" si="153"/>
        <v>23</v>
      </c>
      <c r="C284" s="147">
        <f t="shared" si="152"/>
        <v>337</v>
      </c>
      <c r="D284" s="149">
        <f t="shared" si="161"/>
        <v>26138834.493649654</v>
      </c>
      <c r="E284" s="149">
        <f t="shared" si="162"/>
        <v>1210542.001892993</v>
      </c>
      <c r="F284" s="149">
        <f t="shared" si="154"/>
        <v>136566.48622265714</v>
      </c>
      <c r="G284" s="149">
        <f t="shared" si="155"/>
        <v>132014.27001523523</v>
      </c>
      <c r="H284" s="149">
        <f t="shared" si="163"/>
        <v>4552.2162074219086</v>
      </c>
      <c r="I284" s="149">
        <f t="shared" si="164"/>
        <v>1073975.5156703359</v>
      </c>
      <c r="J284" s="147">
        <f t="shared" si="165"/>
        <v>4.4999999999999998E-2</v>
      </c>
      <c r="K284" s="175">
        <f t="shared" si="156"/>
        <v>3.8296430163020645E-3</v>
      </c>
      <c r="L284" s="149">
        <f t="shared" si="166"/>
        <v>100487.23521143588</v>
      </c>
      <c r="M284" s="149">
        <f t="shared" si="167"/>
        <v>1306477.0208970071</v>
      </c>
      <c r="N284" s="149">
        <f t="shared" si="168"/>
        <v>1174462.7508817718</v>
      </c>
      <c r="P284" s="149">
        <f t="shared" si="169"/>
        <v>0</v>
      </c>
      <c r="Q284" s="149">
        <f t="shared" si="170"/>
        <v>0</v>
      </c>
      <c r="R284" s="178">
        <f t="shared" si="171"/>
        <v>0</v>
      </c>
      <c r="S284" s="113">
        <f t="shared" si="172"/>
        <v>0</v>
      </c>
      <c r="T284" s="113">
        <f t="shared" si="157"/>
        <v>0</v>
      </c>
      <c r="U284" s="114">
        <f t="shared" si="173"/>
        <v>43.666666666666664</v>
      </c>
      <c r="V284" s="114">
        <f t="shared" si="174"/>
        <v>0</v>
      </c>
      <c r="W284" s="114">
        <f t="shared" si="175"/>
        <v>1950.4444444444443</v>
      </c>
      <c r="X284" s="114"/>
      <c r="Y284" s="149">
        <f t="shared" si="176"/>
        <v>0</v>
      </c>
      <c r="Z284" s="149">
        <f t="shared" si="177"/>
        <v>0</v>
      </c>
      <c r="AA284" s="178">
        <f t="shared" si="178"/>
        <v>0</v>
      </c>
      <c r="AB284" s="113">
        <f t="shared" si="179"/>
        <v>0</v>
      </c>
      <c r="AC284" s="113">
        <f t="shared" si="158"/>
        <v>0</v>
      </c>
      <c r="AD284" s="114">
        <f t="shared" si="180"/>
        <v>43.666666666666664</v>
      </c>
      <c r="AE284" s="114">
        <f t="shared" si="181"/>
        <v>0</v>
      </c>
      <c r="AF284" s="114">
        <f t="shared" si="182"/>
        <v>1950.4444444444443</v>
      </c>
      <c r="AG284" s="114"/>
      <c r="AH284" s="176">
        <f t="shared" si="183"/>
        <v>26138834.493649747</v>
      </c>
      <c r="AI284" s="176">
        <f t="shared" si="184"/>
        <v>132014.2700152357</v>
      </c>
      <c r="AJ284" s="178">
        <f t="shared" si="185"/>
        <v>1174462.7508817718</v>
      </c>
      <c r="AK284" s="113">
        <f t="shared" si="186"/>
        <v>1306477.0208970075</v>
      </c>
      <c r="AL284" s="113">
        <f t="shared" si="159"/>
        <v>370985.44511816266</v>
      </c>
      <c r="AM284" s="114">
        <f t="shared" si="187"/>
        <v>43.666666666666664</v>
      </c>
      <c r="AN284" s="114">
        <f t="shared" si="188"/>
        <v>3.6978163874067005E-3</v>
      </c>
      <c r="AO284" s="114">
        <f t="shared" si="189"/>
        <v>1950.4444444444443</v>
      </c>
    </row>
    <row r="285" spans="1:41" hidden="1" outlineLevel="1" x14ac:dyDescent="0.3">
      <c r="A285" s="146">
        <f t="shared" si="160"/>
        <v>263</v>
      </c>
      <c r="B285" s="147">
        <f t="shared" si="153"/>
        <v>22</v>
      </c>
      <c r="C285" s="147">
        <f t="shared" si="152"/>
        <v>338</v>
      </c>
      <c r="D285" s="149">
        <f t="shared" si="161"/>
        <v>24967637.880664639</v>
      </c>
      <c r="E285" s="149">
        <f t="shared" si="162"/>
        <v>1205906.0581695032</v>
      </c>
      <c r="F285" s="149">
        <f t="shared" si="154"/>
        <v>130694.17246824827</v>
      </c>
      <c r="G285" s="149">
        <f t="shared" si="155"/>
        <v>126337.70005264001</v>
      </c>
      <c r="H285" s="149">
        <f t="shared" si="163"/>
        <v>4356.4724156082666</v>
      </c>
      <c r="I285" s="149">
        <f t="shared" si="164"/>
        <v>1075211.8857012549</v>
      </c>
      <c r="J285" s="147">
        <f t="shared" si="165"/>
        <v>4.4999999999999998E-2</v>
      </c>
      <c r="K285" s="175">
        <f t="shared" si="156"/>
        <v>3.8296430163020645E-3</v>
      </c>
      <c r="L285" s="149">
        <f t="shared" si="166"/>
        <v>95984.727283760134</v>
      </c>
      <c r="M285" s="149">
        <f t="shared" si="167"/>
        <v>1297534.3130376551</v>
      </c>
      <c r="N285" s="149">
        <f t="shared" si="168"/>
        <v>1171196.6129850151</v>
      </c>
      <c r="P285" s="149">
        <f t="shared" si="169"/>
        <v>0</v>
      </c>
      <c r="Q285" s="149">
        <f t="shared" si="170"/>
        <v>0</v>
      </c>
      <c r="R285" s="178">
        <f t="shared" si="171"/>
        <v>0</v>
      </c>
      <c r="S285" s="113">
        <f t="shared" si="172"/>
        <v>0</v>
      </c>
      <c r="T285" s="113">
        <f t="shared" si="157"/>
        <v>0</v>
      </c>
      <c r="U285" s="114">
        <f t="shared" si="173"/>
        <v>43.833333333333336</v>
      </c>
      <c r="V285" s="114">
        <f t="shared" si="174"/>
        <v>0</v>
      </c>
      <c r="W285" s="114">
        <f t="shared" si="175"/>
        <v>1965.1944444444446</v>
      </c>
      <c r="X285" s="114"/>
      <c r="Y285" s="149">
        <f t="shared" si="176"/>
        <v>0</v>
      </c>
      <c r="Z285" s="149">
        <f t="shared" si="177"/>
        <v>0</v>
      </c>
      <c r="AA285" s="178">
        <f t="shared" si="178"/>
        <v>0</v>
      </c>
      <c r="AB285" s="113">
        <f t="shared" si="179"/>
        <v>0</v>
      </c>
      <c r="AC285" s="113">
        <f t="shared" si="158"/>
        <v>0</v>
      </c>
      <c r="AD285" s="114">
        <f t="shared" si="180"/>
        <v>43.833333333333336</v>
      </c>
      <c r="AE285" s="114">
        <f t="shared" si="181"/>
        <v>0</v>
      </c>
      <c r="AF285" s="114">
        <f t="shared" si="182"/>
        <v>1965.1944444444446</v>
      </c>
      <c r="AG285" s="114"/>
      <c r="AH285" s="176">
        <f t="shared" si="183"/>
        <v>24967637.880664732</v>
      </c>
      <c r="AI285" s="176">
        <f t="shared" si="184"/>
        <v>126337.70005264044</v>
      </c>
      <c r="AJ285" s="178">
        <f t="shared" si="185"/>
        <v>1171196.6129850151</v>
      </c>
      <c r="AK285" s="113">
        <f t="shared" si="186"/>
        <v>1297534.3130376555</v>
      </c>
      <c r="AL285" s="113">
        <f t="shared" si="159"/>
        <v>366679.92568226327</v>
      </c>
      <c r="AM285" s="114">
        <f t="shared" si="187"/>
        <v>43.833333333333336</v>
      </c>
      <c r="AN285" s="114">
        <f t="shared" si="188"/>
        <v>3.6549009023496095E-3</v>
      </c>
      <c r="AO285" s="114">
        <f t="shared" si="189"/>
        <v>1965.1944444444446</v>
      </c>
    </row>
    <row r="286" spans="1:41" hidden="1" outlineLevel="1" x14ac:dyDescent="0.3">
      <c r="A286" s="146">
        <f t="shared" si="160"/>
        <v>264</v>
      </c>
      <c r="B286" s="147">
        <f t="shared" si="153"/>
        <v>21</v>
      </c>
      <c r="C286" s="147">
        <f t="shared" si="152"/>
        <v>339</v>
      </c>
      <c r="D286" s="149">
        <f t="shared" si="161"/>
        <v>23799693.47956498</v>
      </c>
      <c r="E286" s="149">
        <f t="shared" si="162"/>
        <v>1201287.868455518</v>
      </c>
      <c r="F286" s="149">
        <f t="shared" si="154"/>
        <v>124838.18940332319</v>
      </c>
      <c r="G286" s="149">
        <f t="shared" si="155"/>
        <v>120676.91642321243</v>
      </c>
      <c r="H286" s="149">
        <f t="shared" si="163"/>
        <v>4161.2729801107635</v>
      </c>
      <c r="I286" s="149">
        <f t="shared" si="164"/>
        <v>1076449.6790521948</v>
      </c>
      <c r="J286" s="147">
        <f t="shared" si="165"/>
        <v>4.4999999999999998E-2</v>
      </c>
      <c r="K286" s="175">
        <f t="shared" si="156"/>
        <v>3.8296430163020645E-3</v>
      </c>
      <c r="L286" s="149">
        <f t="shared" si="166"/>
        <v>91494.722047463365</v>
      </c>
      <c r="M286" s="149">
        <f t="shared" si="167"/>
        <v>1288621.3175228706</v>
      </c>
      <c r="N286" s="149">
        <f t="shared" si="168"/>
        <v>1167944.4010996581</v>
      </c>
      <c r="P286" s="149">
        <f t="shared" si="169"/>
        <v>0</v>
      </c>
      <c r="Q286" s="149">
        <f t="shared" si="170"/>
        <v>0</v>
      </c>
      <c r="R286" s="178">
        <f t="shared" si="171"/>
        <v>0</v>
      </c>
      <c r="S286" s="113">
        <f t="shared" si="172"/>
        <v>0</v>
      </c>
      <c r="T286" s="113">
        <f t="shared" si="157"/>
        <v>0</v>
      </c>
      <c r="U286" s="114">
        <f t="shared" si="173"/>
        <v>44</v>
      </c>
      <c r="V286" s="114">
        <f t="shared" si="174"/>
        <v>0</v>
      </c>
      <c r="W286" s="114">
        <f t="shared" si="175"/>
        <v>1980</v>
      </c>
      <c r="X286" s="114"/>
      <c r="Y286" s="149">
        <f t="shared" si="176"/>
        <v>0</v>
      </c>
      <c r="Z286" s="149">
        <f t="shared" si="177"/>
        <v>0</v>
      </c>
      <c r="AA286" s="178">
        <f t="shared" si="178"/>
        <v>0</v>
      </c>
      <c r="AB286" s="113">
        <f t="shared" si="179"/>
        <v>0</v>
      </c>
      <c r="AC286" s="113">
        <f t="shared" si="158"/>
        <v>0</v>
      </c>
      <c r="AD286" s="114">
        <f t="shared" si="180"/>
        <v>44</v>
      </c>
      <c r="AE286" s="114">
        <f t="shared" si="181"/>
        <v>0</v>
      </c>
      <c r="AF286" s="114">
        <f t="shared" si="182"/>
        <v>1980</v>
      </c>
      <c r="AG286" s="114"/>
      <c r="AH286" s="176">
        <f t="shared" si="183"/>
        <v>23799693.479565073</v>
      </c>
      <c r="AI286" s="176">
        <f t="shared" si="184"/>
        <v>120676.91642321288</v>
      </c>
      <c r="AJ286" s="178">
        <f t="shared" si="185"/>
        <v>1167944.4010996581</v>
      </c>
      <c r="AK286" s="113">
        <f t="shared" si="186"/>
        <v>1288621.3175228711</v>
      </c>
      <c r="AL286" s="113">
        <f t="shared" si="159"/>
        <v>362415.51546530565</v>
      </c>
      <c r="AM286" s="114">
        <f t="shared" si="187"/>
        <v>44</v>
      </c>
      <c r="AN286" s="114">
        <f t="shared" si="188"/>
        <v>3.612395175533648E-3</v>
      </c>
      <c r="AO286" s="114">
        <f t="shared" si="189"/>
        <v>1980</v>
      </c>
    </row>
    <row r="287" spans="1:41" hidden="1" outlineLevel="1" x14ac:dyDescent="0.3">
      <c r="A287" s="146">
        <f t="shared" si="160"/>
        <v>265</v>
      </c>
      <c r="B287" s="147">
        <f t="shared" si="153"/>
        <v>20</v>
      </c>
      <c r="C287" s="147">
        <f t="shared" si="152"/>
        <v>340</v>
      </c>
      <c r="D287" s="149">
        <f t="shared" si="161"/>
        <v>22634987.416038666</v>
      </c>
      <c r="E287" s="149">
        <f t="shared" si="162"/>
        <v>1196687.364759519</v>
      </c>
      <c r="F287" s="149">
        <f t="shared" si="154"/>
        <v>118998.4673978249</v>
      </c>
      <c r="G287" s="149">
        <f t="shared" si="155"/>
        <v>115031.8518178974</v>
      </c>
      <c r="H287" s="149">
        <f t="shared" si="163"/>
        <v>3966.6155799275002</v>
      </c>
      <c r="I287" s="149">
        <f t="shared" si="164"/>
        <v>1077688.8973616941</v>
      </c>
      <c r="J287" s="147">
        <f t="shared" si="165"/>
        <v>4.4999999999999998E-2</v>
      </c>
      <c r="K287" s="175">
        <f t="shared" si="156"/>
        <v>3.8296430163020645E-3</v>
      </c>
      <c r="L287" s="149">
        <f t="shared" si="166"/>
        <v>87017.16616461832</v>
      </c>
      <c r="M287" s="149">
        <f t="shared" si="167"/>
        <v>1279737.9153442096</v>
      </c>
      <c r="N287" s="149">
        <f t="shared" si="168"/>
        <v>1164706.0635263124</v>
      </c>
      <c r="P287" s="149">
        <f t="shared" si="169"/>
        <v>0</v>
      </c>
      <c r="Q287" s="149">
        <f t="shared" si="170"/>
        <v>0</v>
      </c>
      <c r="R287" s="178">
        <f t="shared" si="171"/>
        <v>0</v>
      </c>
      <c r="S287" s="113">
        <f t="shared" si="172"/>
        <v>0</v>
      </c>
      <c r="T287" s="113">
        <f t="shared" si="157"/>
        <v>0</v>
      </c>
      <c r="U287" s="114">
        <f t="shared" si="173"/>
        <v>44.166666666666664</v>
      </c>
      <c r="V287" s="114">
        <f t="shared" si="174"/>
        <v>0</v>
      </c>
      <c r="W287" s="114">
        <f t="shared" si="175"/>
        <v>1994.8611111111109</v>
      </c>
      <c r="X287" s="114"/>
      <c r="Y287" s="149">
        <f t="shared" si="176"/>
        <v>0</v>
      </c>
      <c r="Z287" s="149">
        <f t="shared" si="177"/>
        <v>0</v>
      </c>
      <c r="AA287" s="178">
        <f t="shared" si="178"/>
        <v>0</v>
      </c>
      <c r="AB287" s="113">
        <f t="shared" si="179"/>
        <v>0</v>
      </c>
      <c r="AC287" s="113">
        <f t="shared" si="158"/>
        <v>0</v>
      </c>
      <c r="AD287" s="114">
        <f t="shared" si="180"/>
        <v>44.166666666666664</v>
      </c>
      <c r="AE287" s="114">
        <f t="shared" si="181"/>
        <v>0</v>
      </c>
      <c r="AF287" s="114">
        <f t="shared" si="182"/>
        <v>1994.8611111111109</v>
      </c>
      <c r="AG287" s="114"/>
      <c r="AH287" s="176">
        <f t="shared" si="183"/>
        <v>22634987.416038759</v>
      </c>
      <c r="AI287" s="176">
        <f t="shared" si="184"/>
        <v>115031.85181789786</v>
      </c>
      <c r="AJ287" s="178">
        <f t="shared" si="185"/>
        <v>1164706.0635263124</v>
      </c>
      <c r="AK287" s="113">
        <f t="shared" si="186"/>
        <v>1279737.9153442101</v>
      </c>
      <c r="AL287" s="113">
        <f t="shared" si="159"/>
        <v>358191.84591587301</v>
      </c>
      <c r="AM287" s="114">
        <f t="shared" si="187"/>
        <v>44.166666666666664</v>
      </c>
      <c r="AN287" s="114">
        <f t="shared" si="188"/>
        <v>3.5702955334037307E-3</v>
      </c>
      <c r="AO287" s="114">
        <f t="shared" si="189"/>
        <v>1994.8611111111109</v>
      </c>
    </row>
    <row r="288" spans="1:41" hidden="1" outlineLevel="1" x14ac:dyDescent="0.3">
      <c r="A288" s="146">
        <f t="shared" si="160"/>
        <v>266</v>
      </c>
      <c r="B288" s="147">
        <f t="shared" si="153"/>
        <v>19</v>
      </c>
      <c r="C288" s="147">
        <f t="shared" si="152"/>
        <v>341</v>
      </c>
      <c r="D288" s="149">
        <f t="shared" si="161"/>
        <v>21473505.867273208</v>
      </c>
      <c r="E288" s="149">
        <f t="shared" si="162"/>
        <v>1192104.4793503708</v>
      </c>
      <c r="F288" s="149">
        <f t="shared" si="154"/>
        <v>113174.93708019333</v>
      </c>
      <c r="G288" s="149">
        <f t="shared" si="155"/>
        <v>109402.43917752022</v>
      </c>
      <c r="H288" s="149">
        <f t="shared" si="163"/>
        <v>3772.4979026731016</v>
      </c>
      <c r="I288" s="149">
        <f t="shared" si="164"/>
        <v>1078929.5422701775</v>
      </c>
      <c r="J288" s="147">
        <f t="shared" si="165"/>
        <v>4.4999999999999998E-2</v>
      </c>
      <c r="K288" s="175">
        <f t="shared" si="156"/>
        <v>3.8296430163020645E-3</v>
      </c>
      <c r="L288" s="149">
        <f t="shared" si="166"/>
        <v>82552.006495280628</v>
      </c>
      <c r="M288" s="149">
        <f t="shared" si="167"/>
        <v>1270883.9879429783</v>
      </c>
      <c r="N288" s="149">
        <f t="shared" si="168"/>
        <v>1161481.5487654582</v>
      </c>
      <c r="P288" s="149">
        <f t="shared" si="169"/>
        <v>0</v>
      </c>
      <c r="Q288" s="149">
        <f t="shared" si="170"/>
        <v>0</v>
      </c>
      <c r="R288" s="178">
        <f t="shared" si="171"/>
        <v>0</v>
      </c>
      <c r="S288" s="113">
        <f t="shared" si="172"/>
        <v>0</v>
      </c>
      <c r="T288" s="113">
        <f t="shared" si="157"/>
        <v>0</v>
      </c>
      <c r="U288" s="114">
        <f t="shared" si="173"/>
        <v>44.333333333333336</v>
      </c>
      <c r="V288" s="114">
        <f t="shared" si="174"/>
        <v>0</v>
      </c>
      <c r="W288" s="114">
        <f t="shared" si="175"/>
        <v>2009.7777777777781</v>
      </c>
      <c r="X288" s="114"/>
      <c r="Y288" s="149">
        <f t="shared" si="176"/>
        <v>0</v>
      </c>
      <c r="Z288" s="149">
        <f t="shared" si="177"/>
        <v>0</v>
      </c>
      <c r="AA288" s="178">
        <f t="shared" si="178"/>
        <v>0</v>
      </c>
      <c r="AB288" s="113">
        <f t="shared" si="179"/>
        <v>0</v>
      </c>
      <c r="AC288" s="113">
        <f t="shared" si="158"/>
        <v>0</v>
      </c>
      <c r="AD288" s="114">
        <f t="shared" si="180"/>
        <v>44.333333333333336</v>
      </c>
      <c r="AE288" s="114">
        <f t="shared" si="181"/>
        <v>0</v>
      </c>
      <c r="AF288" s="114">
        <f t="shared" si="182"/>
        <v>2009.7777777777781</v>
      </c>
      <c r="AG288" s="114"/>
      <c r="AH288" s="176">
        <f t="shared" si="183"/>
        <v>21473505.867273301</v>
      </c>
      <c r="AI288" s="176">
        <f t="shared" si="184"/>
        <v>109402.43917752068</v>
      </c>
      <c r="AJ288" s="178">
        <f t="shared" si="185"/>
        <v>1161481.5487654582</v>
      </c>
      <c r="AK288" s="113">
        <f t="shared" si="186"/>
        <v>1270883.9879429787</v>
      </c>
      <c r="AL288" s="113">
        <f t="shared" si="159"/>
        <v>354008.55170790723</v>
      </c>
      <c r="AM288" s="114">
        <f t="shared" si="187"/>
        <v>44.333333333333336</v>
      </c>
      <c r="AN288" s="114">
        <f t="shared" si="188"/>
        <v>3.5285983345536994E-3</v>
      </c>
      <c r="AO288" s="114">
        <f t="shared" si="189"/>
        <v>2009.7777777777781</v>
      </c>
    </row>
    <row r="289" spans="1:41" hidden="1" outlineLevel="1" x14ac:dyDescent="0.3">
      <c r="A289" s="146">
        <f t="shared" si="160"/>
        <v>267</v>
      </c>
      <c r="B289" s="147">
        <f t="shared" si="153"/>
        <v>18</v>
      </c>
      <c r="C289" s="147">
        <f t="shared" si="152"/>
        <v>342</v>
      </c>
      <c r="D289" s="149">
        <f t="shared" si="161"/>
        <v>20315235.061756525</v>
      </c>
      <c r="E289" s="149">
        <f t="shared" si="162"/>
        <v>1187539.1447563244</v>
      </c>
      <c r="F289" s="149">
        <f t="shared" si="154"/>
        <v>107367.52933636605</v>
      </c>
      <c r="G289" s="149">
        <f t="shared" si="155"/>
        <v>103788.61169182051</v>
      </c>
      <c r="H289" s="149">
        <f t="shared" si="163"/>
        <v>3578.9176445455378</v>
      </c>
      <c r="I289" s="149">
        <f t="shared" si="164"/>
        <v>1080171.6154199583</v>
      </c>
      <c r="J289" s="147">
        <f t="shared" si="165"/>
        <v>4.4999999999999998E-2</v>
      </c>
      <c r="K289" s="175">
        <f t="shared" si="156"/>
        <v>3.8296430163020645E-3</v>
      </c>
      <c r="L289" s="149">
        <f t="shared" si="166"/>
        <v>78099.190096723483</v>
      </c>
      <c r="M289" s="149">
        <f t="shared" si="167"/>
        <v>1262059.4172085021</v>
      </c>
      <c r="N289" s="149">
        <f t="shared" si="168"/>
        <v>1158270.8055166816</v>
      </c>
      <c r="P289" s="149">
        <f t="shared" si="169"/>
        <v>0</v>
      </c>
      <c r="Q289" s="149">
        <f t="shared" si="170"/>
        <v>0</v>
      </c>
      <c r="R289" s="178">
        <f t="shared" si="171"/>
        <v>0</v>
      </c>
      <c r="S289" s="113">
        <f t="shared" si="172"/>
        <v>0</v>
      </c>
      <c r="T289" s="113">
        <f t="shared" si="157"/>
        <v>0</v>
      </c>
      <c r="U289" s="114">
        <f t="shared" si="173"/>
        <v>44.5</v>
      </c>
      <c r="V289" s="114">
        <f t="shared" si="174"/>
        <v>0</v>
      </c>
      <c r="W289" s="114">
        <f t="shared" si="175"/>
        <v>2024.75</v>
      </c>
      <c r="X289" s="114"/>
      <c r="Y289" s="149">
        <f t="shared" si="176"/>
        <v>0</v>
      </c>
      <c r="Z289" s="149">
        <f t="shared" si="177"/>
        <v>0</v>
      </c>
      <c r="AA289" s="178">
        <f t="shared" si="178"/>
        <v>0</v>
      </c>
      <c r="AB289" s="113">
        <f t="shared" si="179"/>
        <v>0</v>
      </c>
      <c r="AC289" s="113">
        <f t="shared" si="158"/>
        <v>0</v>
      </c>
      <c r="AD289" s="114">
        <f t="shared" si="180"/>
        <v>44.5</v>
      </c>
      <c r="AE289" s="114">
        <f t="shared" si="181"/>
        <v>0</v>
      </c>
      <c r="AF289" s="114">
        <f t="shared" si="182"/>
        <v>2024.75</v>
      </c>
      <c r="AG289" s="114"/>
      <c r="AH289" s="176">
        <f t="shared" si="183"/>
        <v>20315235.061756618</v>
      </c>
      <c r="AI289" s="176">
        <f t="shared" si="184"/>
        <v>103788.61169182096</v>
      </c>
      <c r="AJ289" s="178">
        <f t="shared" si="185"/>
        <v>1158270.8055166816</v>
      </c>
      <c r="AK289" s="113">
        <f t="shared" si="186"/>
        <v>1262059.4172085025</v>
      </c>
      <c r="AL289" s="113">
        <f t="shared" si="159"/>
        <v>349865.27071275742</v>
      </c>
      <c r="AM289" s="114">
        <f t="shared" si="187"/>
        <v>44.5</v>
      </c>
      <c r="AN289" s="114">
        <f t="shared" si="188"/>
        <v>3.4872999694477162E-3</v>
      </c>
      <c r="AO289" s="114">
        <f t="shared" si="189"/>
        <v>2024.75</v>
      </c>
    </row>
    <row r="290" spans="1:41" hidden="1" outlineLevel="1" x14ac:dyDescent="0.3">
      <c r="A290" s="146">
        <f t="shared" si="160"/>
        <v>268</v>
      </c>
      <c r="B290" s="147">
        <f t="shared" si="153"/>
        <v>17</v>
      </c>
      <c r="C290" s="147">
        <f t="shared" si="152"/>
        <v>343</v>
      </c>
      <c r="D290" s="149">
        <f t="shared" si="161"/>
        <v>19160161.27907861</v>
      </c>
      <c r="E290" s="149">
        <f t="shared" si="162"/>
        <v>1182991.2937640229</v>
      </c>
      <c r="F290" s="149">
        <f t="shared" si="154"/>
        <v>101576.17530878262</v>
      </c>
      <c r="G290" s="149">
        <f t="shared" si="155"/>
        <v>98190.30279848988</v>
      </c>
      <c r="H290" s="149">
        <f t="shared" si="163"/>
        <v>3385.8725102927419</v>
      </c>
      <c r="I290" s="149">
        <f t="shared" si="164"/>
        <v>1081415.1184552403</v>
      </c>
      <c r="J290" s="147">
        <f t="shared" si="165"/>
        <v>4.4999999999999998E-2</v>
      </c>
      <c r="K290" s="175">
        <f t="shared" si="156"/>
        <v>3.8296430163020645E-3</v>
      </c>
      <c r="L290" s="149">
        <f t="shared" si="166"/>
        <v>73658.664222675143</v>
      </c>
      <c r="M290" s="149">
        <f t="shared" si="167"/>
        <v>1253264.0854764052</v>
      </c>
      <c r="N290" s="149">
        <f t="shared" si="168"/>
        <v>1155073.7826779154</v>
      </c>
      <c r="P290" s="149">
        <f t="shared" si="169"/>
        <v>0</v>
      </c>
      <c r="Q290" s="149">
        <f t="shared" si="170"/>
        <v>0</v>
      </c>
      <c r="R290" s="178">
        <f t="shared" si="171"/>
        <v>0</v>
      </c>
      <c r="S290" s="113">
        <f t="shared" si="172"/>
        <v>0</v>
      </c>
      <c r="T290" s="113">
        <f t="shared" si="157"/>
        <v>0</v>
      </c>
      <c r="U290" s="114">
        <f t="shared" si="173"/>
        <v>44.666666666666664</v>
      </c>
      <c r="V290" s="114">
        <f t="shared" si="174"/>
        <v>0</v>
      </c>
      <c r="W290" s="114">
        <f t="shared" si="175"/>
        <v>2039.7777777777776</v>
      </c>
      <c r="X290" s="114"/>
      <c r="Y290" s="149">
        <f t="shared" si="176"/>
        <v>0</v>
      </c>
      <c r="Z290" s="149">
        <f t="shared" si="177"/>
        <v>0</v>
      </c>
      <c r="AA290" s="178">
        <f t="shared" si="178"/>
        <v>0</v>
      </c>
      <c r="AB290" s="113">
        <f t="shared" si="179"/>
        <v>0</v>
      </c>
      <c r="AC290" s="113">
        <f t="shared" si="158"/>
        <v>0</v>
      </c>
      <c r="AD290" s="114">
        <f t="shared" si="180"/>
        <v>44.666666666666664</v>
      </c>
      <c r="AE290" s="114">
        <f t="shared" si="181"/>
        <v>0</v>
      </c>
      <c r="AF290" s="114">
        <f t="shared" si="182"/>
        <v>2039.7777777777776</v>
      </c>
      <c r="AG290" s="114"/>
      <c r="AH290" s="176">
        <f t="shared" si="183"/>
        <v>19160161.279078703</v>
      </c>
      <c r="AI290" s="176">
        <f t="shared" si="184"/>
        <v>98190.302798490331</v>
      </c>
      <c r="AJ290" s="178">
        <f t="shared" si="185"/>
        <v>1155073.7826779154</v>
      </c>
      <c r="AK290" s="113">
        <f t="shared" si="186"/>
        <v>1253264.0854764057</v>
      </c>
      <c r="AL290" s="113">
        <f t="shared" si="159"/>
        <v>345761.64397147152</v>
      </c>
      <c r="AM290" s="114">
        <f t="shared" si="187"/>
        <v>44.666666666666664</v>
      </c>
      <c r="AN290" s="114">
        <f t="shared" si="188"/>
        <v>3.4463968601440771E-3</v>
      </c>
      <c r="AO290" s="114">
        <f t="shared" si="189"/>
        <v>2039.7777777777776</v>
      </c>
    </row>
    <row r="291" spans="1:41" hidden="1" outlineLevel="1" x14ac:dyDescent="0.3">
      <c r="A291" s="146">
        <f t="shared" si="160"/>
        <v>269</v>
      </c>
      <c r="B291" s="147">
        <f t="shared" si="153"/>
        <v>16</v>
      </c>
      <c r="C291" s="147">
        <f t="shared" si="152"/>
        <v>344</v>
      </c>
      <c r="D291" s="149">
        <f t="shared" si="161"/>
        <v>18008270.84973393</v>
      </c>
      <c r="E291" s="149">
        <f t="shared" si="162"/>
        <v>1178460.8594175132</v>
      </c>
      <c r="F291" s="149">
        <f t="shared" si="154"/>
        <v>95800.806395393054</v>
      </c>
      <c r="G291" s="149">
        <f t="shared" si="155"/>
        <v>92607.446182213287</v>
      </c>
      <c r="H291" s="149">
        <f t="shared" si="163"/>
        <v>3193.360213179767</v>
      </c>
      <c r="I291" s="149">
        <f t="shared" si="164"/>
        <v>1082660.0530221201</v>
      </c>
      <c r="J291" s="147">
        <f t="shared" si="165"/>
        <v>4.4999999999999998E-2</v>
      </c>
      <c r="K291" s="175">
        <f t="shared" si="156"/>
        <v>3.8296430163020645E-3</v>
      </c>
      <c r="L291" s="149">
        <f t="shared" si="166"/>
        <v>69230.376322559241</v>
      </c>
      <c r="M291" s="149">
        <f t="shared" si="167"/>
        <v>1244497.8755268927</v>
      </c>
      <c r="N291" s="149">
        <f t="shared" si="168"/>
        <v>1151890.4293446795</v>
      </c>
      <c r="P291" s="149">
        <f t="shared" si="169"/>
        <v>0</v>
      </c>
      <c r="Q291" s="149">
        <f t="shared" si="170"/>
        <v>0</v>
      </c>
      <c r="R291" s="178">
        <f t="shared" si="171"/>
        <v>0</v>
      </c>
      <c r="S291" s="113">
        <f t="shared" si="172"/>
        <v>0</v>
      </c>
      <c r="T291" s="113">
        <f t="shared" si="157"/>
        <v>0</v>
      </c>
      <c r="U291" s="114">
        <f t="shared" si="173"/>
        <v>44.833333333333336</v>
      </c>
      <c r="V291" s="114">
        <f t="shared" si="174"/>
        <v>0</v>
      </c>
      <c r="W291" s="114">
        <f t="shared" si="175"/>
        <v>2054.8611111111113</v>
      </c>
      <c r="X291" s="114"/>
      <c r="Y291" s="149">
        <f t="shared" si="176"/>
        <v>0</v>
      </c>
      <c r="Z291" s="149">
        <f t="shared" si="177"/>
        <v>0</v>
      </c>
      <c r="AA291" s="178">
        <f t="shared" si="178"/>
        <v>0</v>
      </c>
      <c r="AB291" s="113">
        <f t="shared" si="179"/>
        <v>0</v>
      </c>
      <c r="AC291" s="113">
        <f t="shared" si="158"/>
        <v>0</v>
      </c>
      <c r="AD291" s="114">
        <f t="shared" si="180"/>
        <v>44.833333333333336</v>
      </c>
      <c r="AE291" s="114">
        <f t="shared" si="181"/>
        <v>0</v>
      </c>
      <c r="AF291" s="114">
        <f t="shared" si="182"/>
        <v>2054.8611111111113</v>
      </c>
      <c r="AG291" s="114"/>
      <c r="AH291" s="176">
        <f t="shared" si="183"/>
        <v>18008270.849734023</v>
      </c>
      <c r="AI291" s="176">
        <f t="shared" si="184"/>
        <v>92607.446182213738</v>
      </c>
      <c r="AJ291" s="178">
        <f t="shared" si="185"/>
        <v>1151890.4293446795</v>
      </c>
      <c r="AK291" s="113">
        <f t="shared" si="186"/>
        <v>1244497.8755268932</v>
      </c>
      <c r="AL291" s="113">
        <f t="shared" si="159"/>
        <v>341697.31566732458</v>
      </c>
      <c r="AM291" s="114">
        <f t="shared" si="187"/>
        <v>44.833333333333336</v>
      </c>
      <c r="AN291" s="114">
        <f t="shared" si="188"/>
        <v>3.405885460021389E-3</v>
      </c>
      <c r="AO291" s="114">
        <f t="shared" si="189"/>
        <v>2054.8611111111113</v>
      </c>
    </row>
    <row r="292" spans="1:41" hidden="1" outlineLevel="1" x14ac:dyDescent="0.3">
      <c r="A292" s="146">
        <f t="shared" si="160"/>
        <v>270</v>
      </c>
      <c r="B292" s="147">
        <f t="shared" si="153"/>
        <v>15</v>
      </c>
      <c r="C292" s="147">
        <f t="shared" si="152"/>
        <v>345</v>
      </c>
      <c r="D292" s="149">
        <f t="shared" si="161"/>
        <v>16859550.154924601</v>
      </c>
      <c r="E292" s="149">
        <f t="shared" si="162"/>
        <v>1173947.7750172596</v>
      </c>
      <c r="F292" s="149">
        <f t="shared" si="154"/>
        <v>90041.354248669653</v>
      </c>
      <c r="G292" s="149">
        <f t="shared" si="155"/>
        <v>87039.975773714003</v>
      </c>
      <c r="H292" s="149">
        <f t="shared" si="163"/>
        <v>3001.3784749556507</v>
      </c>
      <c r="I292" s="149">
        <f t="shared" si="164"/>
        <v>1083906.4207685899</v>
      </c>
      <c r="J292" s="147">
        <f t="shared" si="165"/>
        <v>4.4999999999999998E-2</v>
      </c>
      <c r="K292" s="175">
        <f t="shared" si="156"/>
        <v>3.8296430163020645E-3</v>
      </c>
      <c r="L292" s="149">
        <f t="shared" si="166"/>
        <v>64814.274040738193</v>
      </c>
      <c r="M292" s="149">
        <f t="shared" si="167"/>
        <v>1235760.6705830421</v>
      </c>
      <c r="N292" s="149">
        <f t="shared" si="168"/>
        <v>1148720.6948093281</v>
      </c>
      <c r="P292" s="149">
        <f t="shared" si="169"/>
        <v>0</v>
      </c>
      <c r="Q292" s="149">
        <f t="shared" si="170"/>
        <v>0</v>
      </c>
      <c r="R292" s="178">
        <f t="shared" si="171"/>
        <v>0</v>
      </c>
      <c r="S292" s="113">
        <f t="shared" si="172"/>
        <v>0</v>
      </c>
      <c r="T292" s="113">
        <f t="shared" si="157"/>
        <v>0</v>
      </c>
      <c r="U292" s="114">
        <f t="shared" si="173"/>
        <v>45</v>
      </c>
      <c r="V292" s="114">
        <f t="shared" si="174"/>
        <v>0</v>
      </c>
      <c r="W292" s="114">
        <f t="shared" si="175"/>
        <v>2070</v>
      </c>
      <c r="X292" s="114"/>
      <c r="Y292" s="149">
        <f t="shared" si="176"/>
        <v>0</v>
      </c>
      <c r="Z292" s="149">
        <f t="shared" si="177"/>
        <v>0</v>
      </c>
      <c r="AA292" s="178">
        <f t="shared" si="178"/>
        <v>0</v>
      </c>
      <c r="AB292" s="113">
        <f t="shared" si="179"/>
        <v>0</v>
      </c>
      <c r="AC292" s="113">
        <f t="shared" si="158"/>
        <v>0</v>
      </c>
      <c r="AD292" s="114">
        <f t="shared" si="180"/>
        <v>45</v>
      </c>
      <c r="AE292" s="114">
        <f t="shared" si="181"/>
        <v>0</v>
      </c>
      <c r="AF292" s="114">
        <f t="shared" si="182"/>
        <v>2070</v>
      </c>
      <c r="AG292" s="114"/>
      <c r="AH292" s="176">
        <f t="shared" si="183"/>
        <v>16859550.154924694</v>
      </c>
      <c r="AI292" s="176">
        <f t="shared" si="184"/>
        <v>87039.975773714454</v>
      </c>
      <c r="AJ292" s="178">
        <f t="shared" si="185"/>
        <v>1148720.6948093281</v>
      </c>
      <c r="AK292" s="113">
        <f t="shared" si="186"/>
        <v>1235760.6705830425</v>
      </c>
      <c r="AL292" s="113">
        <f t="shared" si="159"/>
        <v>337671.93309858657</v>
      </c>
      <c r="AM292" s="114">
        <f t="shared" si="187"/>
        <v>45</v>
      </c>
      <c r="AN292" s="114">
        <f t="shared" si="188"/>
        <v>3.3657622535071289E-3</v>
      </c>
      <c r="AO292" s="114">
        <f t="shared" si="189"/>
        <v>2070</v>
      </c>
    </row>
    <row r="293" spans="1:41" hidden="1" outlineLevel="1" x14ac:dyDescent="0.3">
      <c r="A293" s="146">
        <f t="shared" si="160"/>
        <v>271</v>
      </c>
      <c r="B293" s="147">
        <f t="shared" si="153"/>
        <v>14</v>
      </c>
      <c r="C293" s="147">
        <f t="shared" si="152"/>
        <v>346</v>
      </c>
      <c r="D293" s="149">
        <f t="shared" si="161"/>
        <v>15713985.626364304</v>
      </c>
      <c r="E293" s="149">
        <f t="shared" si="162"/>
        <v>1169451.9741191615</v>
      </c>
      <c r="F293" s="149">
        <f t="shared" si="154"/>
        <v>84297.750774623011</v>
      </c>
      <c r="G293" s="149">
        <f t="shared" si="155"/>
        <v>81487.82574880225</v>
      </c>
      <c r="H293" s="149">
        <f t="shared" si="163"/>
        <v>2809.9250258207612</v>
      </c>
      <c r="I293" s="149">
        <f t="shared" si="164"/>
        <v>1085154.2233445384</v>
      </c>
      <c r="J293" s="147">
        <f t="shared" si="165"/>
        <v>4.4999999999999998E-2</v>
      </c>
      <c r="K293" s="175">
        <f t="shared" si="156"/>
        <v>3.8296430163020645E-3</v>
      </c>
      <c r="L293" s="149">
        <f t="shared" si="166"/>
        <v>60410.30521575929</v>
      </c>
      <c r="M293" s="149">
        <f t="shared" si="167"/>
        <v>1227052.3543090997</v>
      </c>
      <c r="N293" s="149">
        <f t="shared" si="168"/>
        <v>1145564.5285602976</v>
      </c>
      <c r="P293" s="149">
        <f t="shared" si="169"/>
        <v>0</v>
      </c>
      <c r="Q293" s="149">
        <f t="shared" si="170"/>
        <v>0</v>
      </c>
      <c r="R293" s="178">
        <f t="shared" si="171"/>
        <v>0</v>
      </c>
      <c r="S293" s="113">
        <f t="shared" si="172"/>
        <v>0</v>
      </c>
      <c r="T293" s="113">
        <f t="shared" si="157"/>
        <v>0</v>
      </c>
      <c r="U293" s="114">
        <f t="shared" si="173"/>
        <v>45.166666666666664</v>
      </c>
      <c r="V293" s="114">
        <f t="shared" si="174"/>
        <v>0</v>
      </c>
      <c r="W293" s="114">
        <f t="shared" si="175"/>
        <v>2085.1944444444443</v>
      </c>
      <c r="X293" s="114"/>
      <c r="Y293" s="149">
        <f t="shared" si="176"/>
        <v>0</v>
      </c>
      <c r="Z293" s="149">
        <f t="shared" si="177"/>
        <v>0</v>
      </c>
      <c r="AA293" s="178">
        <f t="shared" si="178"/>
        <v>0</v>
      </c>
      <c r="AB293" s="113">
        <f t="shared" si="179"/>
        <v>0</v>
      </c>
      <c r="AC293" s="113">
        <f t="shared" si="158"/>
        <v>0</v>
      </c>
      <c r="AD293" s="114">
        <f t="shared" si="180"/>
        <v>45.166666666666664</v>
      </c>
      <c r="AE293" s="114">
        <f t="shared" si="181"/>
        <v>0</v>
      </c>
      <c r="AF293" s="114">
        <f t="shared" si="182"/>
        <v>2085.1944444444443</v>
      </c>
      <c r="AG293" s="114"/>
      <c r="AH293" s="176">
        <f t="shared" si="183"/>
        <v>15713985.626364397</v>
      </c>
      <c r="AI293" s="176">
        <f t="shared" si="184"/>
        <v>81487.825748802701</v>
      </c>
      <c r="AJ293" s="178">
        <f t="shared" si="185"/>
        <v>1145564.5285602976</v>
      </c>
      <c r="AK293" s="113">
        <f t="shared" si="186"/>
        <v>1227052.3543091002</v>
      </c>
      <c r="AL293" s="113">
        <f t="shared" si="159"/>
        <v>333685.14665152377</v>
      </c>
      <c r="AM293" s="114">
        <f t="shared" si="187"/>
        <v>45.166666666666664</v>
      </c>
      <c r="AN293" s="114">
        <f t="shared" si="188"/>
        <v>3.3260237558085355E-3</v>
      </c>
      <c r="AO293" s="114">
        <f t="shared" si="189"/>
        <v>2085.1944444444443</v>
      </c>
    </row>
    <row r="294" spans="1:41" hidden="1" outlineLevel="1" x14ac:dyDescent="0.3">
      <c r="A294" s="146">
        <f t="shared" si="160"/>
        <v>272</v>
      </c>
      <c r="B294" s="147">
        <f t="shared" si="153"/>
        <v>13</v>
      </c>
      <c r="C294" s="147">
        <f t="shared" si="152"/>
        <v>347</v>
      </c>
      <c r="D294" s="149">
        <f t="shared" si="161"/>
        <v>14571563.746082947</v>
      </c>
      <c r="E294" s="149">
        <f t="shared" si="162"/>
        <v>1164973.3905335753</v>
      </c>
      <c r="F294" s="149">
        <f t="shared" si="154"/>
        <v>78569.928131821522</v>
      </c>
      <c r="G294" s="149">
        <f t="shared" si="155"/>
        <v>75950.930527427467</v>
      </c>
      <c r="H294" s="149">
        <f t="shared" si="163"/>
        <v>2618.9976043940551</v>
      </c>
      <c r="I294" s="149">
        <f t="shared" si="164"/>
        <v>1086403.4624017538</v>
      </c>
      <c r="J294" s="147">
        <f t="shared" si="165"/>
        <v>4.4999999999999998E-2</v>
      </c>
      <c r="K294" s="175">
        <f t="shared" si="156"/>
        <v>3.8296430163020645E-3</v>
      </c>
      <c r="L294" s="149">
        <f t="shared" si="166"/>
        <v>56018.417879603825</v>
      </c>
      <c r="M294" s="149">
        <f t="shared" si="167"/>
        <v>1218372.810808785</v>
      </c>
      <c r="N294" s="149">
        <f t="shared" si="168"/>
        <v>1142421.8802813576</v>
      </c>
      <c r="P294" s="149">
        <f t="shared" si="169"/>
        <v>0</v>
      </c>
      <c r="Q294" s="149">
        <f t="shared" si="170"/>
        <v>0</v>
      </c>
      <c r="R294" s="178">
        <f t="shared" si="171"/>
        <v>0</v>
      </c>
      <c r="S294" s="113">
        <f t="shared" si="172"/>
        <v>0</v>
      </c>
      <c r="T294" s="113">
        <f t="shared" si="157"/>
        <v>0</v>
      </c>
      <c r="U294" s="114">
        <f t="shared" si="173"/>
        <v>45.333333333333336</v>
      </c>
      <c r="V294" s="114">
        <f t="shared" si="174"/>
        <v>0</v>
      </c>
      <c r="W294" s="114">
        <f t="shared" si="175"/>
        <v>2100.4444444444448</v>
      </c>
      <c r="X294" s="114"/>
      <c r="Y294" s="149">
        <f t="shared" si="176"/>
        <v>0</v>
      </c>
      <c r="Z294" s="149">
        <f t="shared" si="177"/>
        <v>0</v>
      </c>
      <c r="AA294" s="178">
        <f t="shared" si="178"/>
        <v>0</v>
      </c>
      <c r="AB294" s="113">
        <f t="shared" si="179"/>
        <v>0</v>
      </c>
      <c r="AC294" s="113">
        <f t="shared" si="158"/>
        <v>0</v>
      </c>
      <c r="AD294" s="114">
        <f t="shared" si="180"/>
        <v>45.333333333333336</v>
      </c>
      <c r="AE294" s="114">
        <f t="shared" si="181"/>
        <v>0</v>
      </c>
      <c r="AF294" s="114">
        <f t="shared" si="182"/>
        <v>2100.4444444444448</v>
      </c>
      <c r="AG294" s="114"/>
      <c r="AH294" s="176">
        <f t="shared" si="183"/>
        <v>14571563.74608304</v>
      </c>
      <c r="AI294" s="176">
        <f t="shared" si="184"/>
        <v>75950.930527427918</v>
      </c>
      <c r="AJ294" s="178">
        <f t="shared" si="185"/>
        <v>1142421.8802813576</v>
      </c>
      <c r="AK294" s="113">
        <f t="shared" si="186"/>
        <v>1218372.8108087855</v>
      </c>
      <c r="AL294" s="113">
        <f t="shared" si="159"/>
        <v>329736.6097736333</v>
      </c>
      <c r="AM294" s="114">
        <f t="shared" si="187"/>
        <v>45.333333333333336</v>
      </c>
      <c r="AN294" s="114">
        <f t="shared" si="188"/>
        <v>3.2866665126458218E-3</v>
      </c>
      <c r="AO294" s="114">
        <f t="shared" si="189"/>
        <v>2100.4444444444448</v>
      </c>
    </row>
    <row r="295" spans="1:41" hidden="1" outlineLevel="1" x14ac:dyDescent="0.3">
      <c r="A295" s="146">
        <f t="shared" si="160"/>
        <v>273</v>
      </c>
      <c r="B295" s="147">
        <f t="shared" si="153"/>
        <v>12</v>
      </c>
      <c r="C295" s="147">
        <f t="shared" si="152"/>
        <v>348</v>
      </c>
      <c r="D295" s="149">
        <f t="shared" si="161"/>
        <v>13432271.046232082</v>
      </c>
      <c r="E295" s="149">
        <f t="shared" si="162"/>
        <v>1160511.9583243406</v>
      </c>
      <c r="F295" s="149">
        <f t="shared" si="154"/>
        <v>72857.818730414729</v>
      </c>
      <c r="G295" s="149">
        <f t="shared" si="155"/>
        <v>70429.224772734247</v>
      </c>
      <c r="H295" s="149">
        <f t="shared" si="163"/>
        <v>2428.5939576804813</v>
      </c>
      <c r="I295" s="149">
        <f t="shared" si="164"/>
        <v>1087654.1395939258</v>
      </c>
      <c r="J295" s="147">
        <f t="shared" si="165"/>
        <v>4.4999999999999998E-2</v>
      </c>
      <c r="K295" s="175">
        <f t="shared" si="156"/>
        <v>3.8296430163020645E-3</v>
      </c>
      <c r="L295" s="149">
        <f t="shared" si="166"/>
        <v>51638.560256938996</v>
      </c>
      <c r="M295" s="149">
        <f t="shared" si="167"/>
        <v>1209721.924623599</v>
      </c>
      <c r="N295" s="149">
        <f t="shared" si="168"/>
        <v>1139292.6998508647</v>
      </c>
      <c r="P295" s="149">
        <f t="shared" si="169"/>
        <v>0</v>
      </c>
      <c r="Q295" s="149">
        <f t="shared" si="170"/>
        <v>0</v>
      </c>
      <c r="R295" s="178">
        <f t="shared" si="171"/>
        <v>0</v>
      </c>
      <c r="S295" s="113">
        <f t="shared" si="172"/>
        <v>0</v>
      </c>
      <c r="T295" s="113">
        <f t="shared" si="157"/>
        <v>0</v>
      </c>
      <c r="U295" s="114">
        <f t="shared" si="173"/>
        <v>45.5</v>
      </c>
      <c r="V295" s="114">
        <f t="shared" si="174"/>
        <v>0</v>
      </c>
      <c r="W295" s="114">
        <f t="shared" si="175"/>
        <v>2115.75</v>
      </c>
      <c r="X295" s="114"/>
      <c r="Y295" s="149">
        <f t="shared" si="176"/>
        <v>0</v>
      </c>
      <c r="Z295" s="149">
        <f t="shared" si="177"/>
        <v>0</v>
      </c>
      <c r="AA295" s="178">
        <f t="shared" si="178"/>
        <v>0</v>
      </c>
      <c r="AB295" s="113">
        <f t="shared" si="179"/>
        <v>0</v>
      </c>
      <c r="AC295" s="113">
        <f t="shared" si="158"/>
        <v>0</v>
      </c>
      <c r="AD295" s="114">
        <f t="shared" si="180"/>
        <v>45.5</v>
      </c>
      <c r="AE295" s="114">
        <f t="shared" si="181"/>
        <v>0</v>
      </c>
      <c r="AF295" s="114">
        <f t="shared" si="182"/>
        <v>2115.75</v>
      </c>
      <c r="AG295" s="114"/>
      <c r="AH295" s="176">
        <f t="shared" si="183"/>
        <v>13432271.046232175</v>
      </c>
      <c r="AI295" s="176">
        <f t="shared" si="184"/>
        <v>70429.224772734698</v>
      </c>
      <c r="AJ295" s="178">
        <f t="shared" si="185"/>
        <v>1139292.6998508647</v>
      </c>
      <c r="AK295" s="113">
        <f t="shared" si="186"/>
        <v>1209721.9246235995</v>
      </c>
      <c r="AL295" s="113">
        <f t="shared" si="159"/>
        <v>325825.97894710919</v>
      </c>
      <c r="AM295" s="114">
        <f t="shared" si="187"/>
        <v>45.5</v>
      </c>
      <c r="AN295" s="114">
        <f t="shared" si="188"/>
        <v>3.2476870999876982E-3</v>
      </c>
      <c r="AO295" s="114">
        <f t="shared" si="189"/>
        <v>2115.75</v>
      </c>
    </row>
    <row r="296" spans="1:41" hidden="1" outlineLevel="1" x14ac:dyDescent="0.3">
      <c r="A296" s="146">
        <f t="shared" si="160"/>
        <v>274</v>
      </c>
      <c r="B296" s="147">
        <f t="shared" si="153"/>
        <v>11</v>
      </c>
      <c r="C296" s="147">
        <f t="shared" si="152"/>
        <v>349</v>
      </c>
      <c r="D296" s="149">
        <f t="shared" si="161"/>
        <v>12296094.108891061</v>
      </c>
      <c r="E296" s="149">
        <f t="shared" si="162"/>
        <v>1156067.6118078087</v>
      </c>
      <c r="F296" s="149">
        <f t="shared" si="154"/>
        <v>67161.355231160414</v>
      </c>
      <c r="G296" s="149">
        <f t="shared" si="155"/>
        <v>64922.643390121731</v>
      </c>
      <c r="H296" s="149">
        <f t="shared" si="163"/>
        <v>2238.7118410386829</v>
      </c>
      <c r="I296" s="149">
        <f t="shared" si="164"/>
        <v>1088906.2565766484</v>
      </c>
      <c r="J296" s="147">
        <f t="shared" si="165"/>
        <v>4.4999999999999998E-2</v>
      </c>
      <c r="K296" s="175">
        <f t="shared" si="156"/>
        <v>3.8296430163020645E-3</v>
      </c>
      <c r="L296" s="149">
        <f t="shared" si="166"/>
        <v>47270.680764372737</v>
      </c>
      <c r="M296" s="149">
        <f t="shared" si="167"/>
        <v>1201099.5807311428</v>
      </c>
      <c r="N296" s="149">
        <f t="shared" si="168"/>
        <v>1136176.9373410211</v>
      </c>
      <c r="P296" s="149">
        <f t="shared" si="169"/>
        <v>0</v>
      </c>
      <c r="Q296" s="149">
        <f t="shared" si="170"/>
        <v>0</v>
      </c>
      <c r="R296" s="178">
        <f t="shared" si="171"/>
        <v>0</v>
      </c>
      <c r="S296" s="113">
        <f t="shared" si="172"/>
        <v>0</v>
      </c>
      <c r="T296" s="113">
        <f t="shared" si="157"/>
        <v>0</v>
      </c>
      <c r="U296" s="114">
        <f t="shared" si="173"/>
        <v>45.666666666666664</v>
      </c>
      <c r="V296" s="114">
        <f t="shared" si="174"/>
        <v>0</v>
      </c>
      <c r="W296" s="114">
        <f t="shared" si="175"/>
        <v>2131.1111111111109</v>
      </c>
      <c r="X296" s="114"/>
      <c r="Y296" s="149">
        <f t="shared" si="176"/>
        <v>0</v>
      </c>
      <c r="Z296" s="149">
        <f t="shared" si="177"/>
        <v>0</v>
      </c>
      <c r="AA296" s="178">
        <f t="shared" si="178"/>
        <v>0</v>
      </c>
      <c r="AB296" s="113">
        <f t="shared" si="179"/>
        <v>0</v>
      </c>
      <c r="AC296" s="113">
        <f t="shared" si="158"/>
        <v>0</v>
      </c>
      <c r="AD296" s="114">
        <f t="shared" si="180"/>
        <v>45.666666666666664</v>
      </c>
      <c r="AE296" s="114">
        <f t="shared" si="181"/>
        <v>0</v>
      </c>
      <c r="AF296" s="114">
        <f t="shared" si="182"/>
        <v>2131.1111111111109</v>
      </c>
      <c r="AG296" s="114"/>
      <c r="AH296" s="176">
        <f t="shared" si="183"/>
        <v>12296094.108891154</v>
      </c>
      <c r="AI296" s="176">
        <f t="shared" si="184"/>
        <v>64922.643390122183</v>
      </c>
      <c r="AJ296" s="178">
        <f t="shared" si="185"/>
        <v>1136176.9373410211</v>
      </c>
      <c r="AK296" s="113">
        <f t="shared" si="186"/>
        <v>1201099.5807311432</v>
      </c>
      <c r="AL296" s="113">
        <f t="shared" si="159"/>
        <v>321952.91366253718</v>
      </c>
      <c r="AM296" s="114">
        <f t="shared" si="187"/>
        <v>45.666666666666664</v>
      </c>
      <c r="AN296" s="114">
        <f t="shared" si="188"/>
        <v>3.2090821237891714E-3</v>
      </c>
      <c r="AO296" s="114">
        <f t="shared" si="189"/>
        <v>2131.1111111111109</v>
      </c>
    </row>
    <row r="297" spans="1:41" hidden="1" outlineLevel="1" x14ac:dyDescent="0.3">
      <c r="A297" s="146">
        <f t="shared" si="160"/>
        <v>275</v>
      </c>
      <c r="B297" s="147">
        <f t="shared" si="153"/>
        <v>10</v>
      </c>
      <c r="C297" s="147">
        <f t="shared" si="152"/>
        <v>350</v>
      </c>
      <c r="D297" s="149">
        <f t="shared" si="161"/>
        <v>11163019.565873928</v>
      </c>
      <c r="E297" s="149">
        <f t="shared" si="162"/>
        <v>1151640.2855518761</v>
      </c>
      <c r="F297" s="149">
        <f t="shared" si="154"/>
        <v>61480.470544455304</v>
      </c>
      <c r="G297" s="149">
        <f t="shared" si="155"/>
        <v>59431.121526306793</v>
      </c>
      <c r="H297" s="149">
        <f t="shared" si="163"/>
        <v>2049.3490181485104</v>
      </c>
      <c r="I297" s="149">
        <f t="shared" si="164"/>
        <v>1090159.8150074207</v>
      </c>
      <c r="J297" s="147">
        <f t="shared" si="165"/>
        <v>4.4999999999999998E-2</v>
      </c>
      <c r="K297" s="175">
        <f t="shared" si="156"/>
        <v>3.8296430163020645E-3</v>
      </c>
      <c r="L297" s="149">
        <f t="shared" si="166"/>
        <v>42914.728009711289</v>
      </c>
      <c r="M297" s="149">
        <f t="shared" si="167"/>
        <v>1192505.6645434387</v>
      </c>
      <c r="N297" s="149">
        <f t="shared" si="168"/>
        <v>1133074.543017132</v>
      </c>
      <c r="P297" s="149">
        <f t="shared" si="169"/>
        <v>0</v>
      </c>
      <c r="Q297" s="149">
        <f t="shared" si="170"/>
        <v>0</v>
      </c>
      <c r="R297" s="178">
        <f t="shared" si="171"/>
        <v>0</v>
      </c>
      <c r="S297" s="113">
        <f t="shared" si="172"/>
        <v>0</v>
      </c>
      <c r="T297" s="113">
        <f t="shared" si="157"/>
        <v>0</v>
      </c>
      <c r="U297" s="114">
        <f t="shared" si="173"/>
        <v>45.833333333333336</v>
      </c>
      <c r="V297" s="114">
        <f t="shared" si="174"/>
        <v>0</v>
      </c>
      <c r="W297" s="114">
        <f t="shared" si="175"/>
        <v>2146.5277777777778</v>
      </c>
      <c r="X297" s="114"/>
      <c r="Y297" s="149">
        <f t="shared" si="176"/>
        <v>0</v>
      </c>
      <c r="Z297" s="149">
        <f t="shared" si="177"/>
        <v>0</v>
      </c>
      <c r="AA297" s="178">
        <f t="shared" si="178"/>
        <v>0</v>
      </c>
      <c r="AB297" s="113">
        <f t="shared" si="179"/>
        <v>0</v>
      </c>
      <c r="AC297" s="113">
        <f t="shared" si="158"/>
        <v>0</v>
      </c>
      <c r="AD297" s="114">
        <f t="shared" si="180"/>
        <v>45.833333333333336</v>
      </c>
      <c r="AE297" s="114">
        <f t="shared" si="181"/>
        <v>0</v>
      </c>
      <c r="AF297" s="114">
        <f t="shared" si="182"/>
        <v>2146.5277777777778</v>
      </c>
      <c r="AG297" s="114"/>
      <c r="AH297" s="176">
        <f t="shared" si="183"/>
        <v>11163019.565874022</v>
      </c>
      <c r="AI297" s="176">
        <f t="shared" si="184"/>
        <v>59431.121526307244</v>
      </c>
      <c r="AJ297" s="178">
        <f t="shared" si="185"/>
        <v>1133074.543017132</v>
      </c>
      <c r="AK297" s="113">
        <f t="shared" si="186"/>
        <v>1192505.6645434392</v>
      </c>
      <c r="AL297" s="113">
        <f t="shared" si="159"/>
        <v>318117.07639281644</v>
      </c>
      <c r="AM297" s="114">
        <f t="shared" si="187"/>
        <v>45.833333333333336</v>
      </c>
      <c r="AN297" s="114">
        <f t="shared" si="188"/>
        <v>3.1708482197316122E-3</v>
      </c>
      <c r="AO297" s="114">
        <f t="shared" si="189"/>
        <v>2146.5277777777778</v>
      </c>
    </row>
    <row r="298" spans="1:41" hidden="1" outlineLevel="1" x14ac:dyDescent="0.3">
      <c r="A298" s="146">
        <f t="shared" si="160"/>
        <v>276</v>
      </c>
      <c r="B298" s="147">
        <f t="shared" si="153"/>
        <v>9</v>
      </c>
      <c r="C298" s="147">
        <f t="shared" si="152"/>
        <v>351</v>
      </c>
      <c r="D298" s="149">
        <f t="shared" si="161"/>
        <v>10033034.098537058</v>
      </c>
      <c r="E298" s="149">
        <f t="shared" si="162"/>
        <v>1147229.9143750202</v>
      </c>
      <c r="F298" s="149">
        <f t="shared" si="154"/>
        <v>55815.097829369646</v>
      </c>
      <c r="G298" s="149">
        <f t="shared" si="155"/>
        <v>53954.594568390654</v>
      </c>
      <c r="H298" s="149">
        <f t="shared" si="163"/>
        <v>1860.5032609789923</v>
      </c>
      <c r="I298" s="149">
        <f t="shared" si="164"/>
        <v>1091414.8165456506</v>
      </c>
      <c r="J298" s="147">
        <f t="shared" si="165"/>
        <v>4.4999999999999998E-2</v>
      </c>
      <c r="K298" s="175">
        <f t="shared" si="156"/>
        <v>3.8296430163020645E-3</v>
      </c>
      <c r="L298" s="149">
        <f t="shared" si="166"/>
        <v>38570.650791219741</v>
      </c>
      <c r="M298" s="149">
        <f t="shared" si="167"/>
        <v>1183940.0619052609</v>
      </c>
      <c r="N298" s="149">
        <f t="shared" si="168"/>
        <v>1129985.4673368703</v>
      </c>
      <c r="P298" s="149">
        <f t="shared" si="169"/>
        <v>0</v>
      </c>
      <c r="Q298" s="149">
        <f t="shared" si="170"/>
        <v>0</v>
      </c>
      <c r="R298" s="178">
        <f t="shared" si="171"/>
        <v>0</v>
      </c>
      <c r="S298" s="113">
        <f t="shared" si="172"/>
        <v>0</v>
      </c>
      <c r="T298" s="113">
        <f t="shared" si="157"/>
        <v>0</v>
      </c>
      <c r="U298" s="114">
        <f t="shared" si="173"/>
        <v>46</v>
      </c>
      <c r="V298" s="114">
        <f t="shared" si="174"/>
        <v>0</v>
      </c>
      <c r="W298" s="114">
        <f t="shared" si="175"/>
        <v>2162</v>
      </c>
      <c r="X298" s="114"/>
      <c r="Y298" s="149">
        <f t="shared" si="176"/>
        <v>0</v>
      </c>
      <c r="Z298" s="149">
        <f t="shared" si="177"/>
        <v>0</v>
      </c>
      <c r="AA298" s="178">
        <f t="shared" si="178"/>
        <v>0</v>
      </c>
      <c r="AB298" s="113">
        <f t="shared" si="179"/>
        <v>0</v>
      </c>
      <c r="AC298" s="113">
        <f t="shared" si="158"/>
        <v>0</v>
      </c>
      <c r="AD298" s="114">
        <f t="shared" si="180"/>
        <v>46</v>
      </c>
      <c r="AE298" s="114">
        <f t="shared" si="181"/>
        <v>0</v>
      </c>
      <c r="AF298" s="114">
        <f t="shared" si="182"/>
        <v>2162</v>
      </c>
      <c r="AG298" s="114"/>
      <c r="AH298" s="176">
        <f t="shared" si="183"/>
        <v>10033034.098537151</v>
      </c>
      <c r="AI298" s="176">
        <f t="shared" si="184"/>
        <v>53954.594568391105</v>
      </c>
      <c r="AJ298" s="178">
        <f t="shared" si="185"/>
        <v>1129985.4673368703</v>
      </c>
      <c r="AK298" s="113">
        <f t="shared" si="186"/>
        <v>1183940.0619052614</v>
      </c>
      <c r="AL298" s="113">
        <f t="shared" si="159"/>
        <v>314318.13256730686</v>
      </c>
      <c r="AM298" s="114">
        <f t="shared" si="187"/>
        <v>46</v>
      </c>
      <c r="AN298" s="114">
        <f t="shared" si="188"/>
        <v>3.1329820529650632E-3</v>
      </c>
      <c r="AO298" s="114">
        <f t="shared" si="189"/>
        <v>2162</v>
      </c>
    </row>
    <row r="299" spans="1:41" hidden="1" outlineLevel="1" x14ac:dyDescent="0.3">
      <c r="A299" s="146">
        <f t="shared" si="160"/>
        <v>277</v>
      </c>
      <c r="B299" s="147">
        <f t="shared" si="153"/>
        <v>8</v>
      </c>
      <c r="C299" s="147">
        <f t="shared" si="152"/>
        <v>352</v>
      </c>
      <c r="D299" s="149">
        <f t="shared" si="161"/>
        <v>8906124.4375875164</v>
      </c>
      <c r="E299" s="149">
        <f t="shared" si="162"/>
        <v>1142836.4333453411</v>
      </c>
      <c r="F299" s="149">
        <f t="shared" si="154"/>
        <v>50165.170492685291</v>
      </c>
      <c r="G299" s="149">
        <f t="shared" si="155"/>
        <v>48492.998142929115</v>
      </c>
      <c r="H299" s="149">
        <f t="shared" si="163"/>
        <v>1672.1723497561761</v>
      </c>
      <c r="I299" s="149">
        <f t="shared" si="164"/>
        <v>1092671.2628526557</v>
      </c>
      <c r="J299" s="147">
        <f t="shared" si="165"/>
        <v>4.4999999999999998E-2</v>
      </c>
      <c r="K299" s="175">
        <f t="shared" si="156"/>
        <v>3.8296430163020645E-3</v>
      </c>
      <c r="L299" s="149">
        <f t="shared" si="166"/>
        <v>34238.398096885292</v>
      </c>
      <c r="M299" s="149">
        <f t="shared" si="167"/>
        <v>1175402.6590924701</v>
      </c>
      <c r="N299" s="149">
        <f t="shared" si="168"/>
        <v>1126909.660949541</v>
      </c>
      <c r="P299" s="149">
        <f t="shared" si="169"/>
        <v>0</v>
      </c>
      <c r="Q299" s="149">
        <f t="shared" si="170"/>
        <v>0</v>
      </c>
      <c r="R299" s="178">
        <f t="shared" si="171"/>
        <v>0</v>
      </c>
      <c r="S299" s="113">
        <f t="shared" si="172"/>
        <v>0</v>
      </c>
      <c r="T299" s="113">
        <f t="shared" si="157"/>
        <v>0</v>
      </c>
      <c r="U299" s="114">
        <f t="shared" si="173"/>
        <v>46.166666666666664</v>
      </c>
      <c r="V299" s="114">
        <f t="shared" si="174"/>
        <v>0</v>
      </c>
      <c r="W299" s="114">
        <f t="shared" si="175"/>
        <v>2177.5277777777774</v>
      </c>
      <c r="X299" s="114"/>
      <c r="Y299" s="149">
        <f t="shared" si="176"/>
        <v>0</v>
      </c>
      <c r="Z299" s="149">
        <f t="shared" si="177"/>
        <v>0</v>
      </c>
      <c r="AA299" s="178">
        <f t="shared" si="178"/>
        <v>0</v>
      </c>
      <c r="AB299" s="113">
        <f t="shared" si="179"/>
        <v>0</v>
      </c>
      <c r="AC299" s="113">
        <f t="shared" si="158"/>
        <v>0</v>
      </c>
      <c r="AD299" s="114">
        <f t="shared" si="180"/>
        <v>46.166666666666664</v>
      </c>
      <c r="AE299" s="114">
        <f t="shared" si="181"/>
        <v>0</v>
      </c>
      <c r="AF299" s="114">
        <f t="shared" si="182"/>
        <v>2177.5277777777774</v>
      </c>
      <c r="AG299" s="114"/>
      <c r="AH299" s="176">
        <f t="shared" si="183"/>
        <v>8906124.4375876095</v>
      </c>
      <c r="AI299" s="176">
        <f t="shared" si="184"/>
        <v>48492.998142929566</v>
      </c>
      <c r="AJ299" s="178">
        <f t="shared" si="185"/>
        <v>1126909.660949541</v>
      </c>
      <c r="AK299" s="113">
        <f t="shared" si="186"/>
        <v>1175402.6590924705</v>
      </c>
      <c r="AL299" s="113">
        <f t="shared" si="159"/>
        <v>310555.7505461988</v>
      </c>
      <c r="AM299" s="114">
        <f t="shared" si="187"/>
        <v>46.166666666666664</v>
      </c>
      <c r="AN299" s="114">
        <f t="shared" si="188"/>
        <v>3.0954803178527696E-3</v>
      </c>
      <c r="AO299" s="114">
        <f t="shared" si="189"/>
        <v>2177.5277777777774</v>
      </c>
    </row>
    <row r="300" spans="1:41" hidden="1" outlineLevel="1" x14ac:dyDescent="0.3">
      <c r="A300" s="146">
        <f t="shared" si="160"/>
        <v>278</v>
      </c>
      <c r="B300" s="147">
        <f t="shared" si="153"/>
        <v>7</v>
      </c>
      <c r="C300" s="147">
        <f t="shared" si="152"/>
        <v>353</v>
      </c>
      <c r="D300" s="149">
        <f t="shared" si="161"/>
        <v>7782277.3628921667</v>
      </c>
      <c r="E300" s="149">
        <f t="shared" si="162"/>
        <v>1138459.7777796045</v>
      </c>
      <c r="F300" s="149">
        <f t="shared" si="154"/>
        <v>44530.622187937581</v>
      </c>
      <c r="G300" s="149">
        <f t="shared" si="155"/>
        <v>43046.268115006329</v>
      </c>
      <c r="H300" s="149">
        <f t="shared" si="163"/>
        <v>1484.3540729312517</v>
      </c>
      <c r="I300" s="149">
        <f t="shared" si="164"/>
        <v>1093929.1555916669</v>
      </c>
      <c r="J300" s="147">
        <f t="shared" si="165"/>
        <v>4.4999999999999998E-2</v>
      </c>
      <c r="K300" s="175">
        <f t="shared" si="156"/>
        <v>3.8296430163020645E-3</v>
      </c>
      <c r="L300" s="149">
        <f t="shared" si="166"/>
        <v>29917.919103683344</v>
      </c>
      <c r="M300" s="149">
        <f t="shared" si="167"/>
        <v>1166893.3428103568</v>
      </c>
      <c r="N300" s="149">
        <f t="shared" si="168"/>
        <v>1123847.0746953504</v>
      </c>
      <c r="P300" s="149">
        <f t="shared" si="169"/>
        <v>0</v>
      </c>
      <c r="Q300" s="149">
        <f t="shared" si="170"/>
        <v>0</v>
      </c>
      <c r="R300" s="178">
        <f t="shared" si="171"/>
        <v>0</v>
      </c>
      <c r="S300" s="113">
        <f t="shared" si="172"/>
        <v>0</v>
      </c>
      <c r="T300" s="113">
        <f t="shared" si="157"/>
        <v>0</v>
      </c>
      <c r="U300" s="114">
        <f t="shared" si="173"/>
        <v>46.333333333333336</v>
      </c>
      <c r="V300" s="114">
        <f t="shared" si="174"/>
        <v>0</v>
      </c>
      <c r="W300" s="114">
        <f t="shared" si="175"/>
        <v>2193.1111111111113</v>
      </c>
      <c r="X300" s="114"/>
      <c r="Y300" s="149">
        <f t="shared" si="176"/>
        <v>0</v>
      </c>
      <c r="Z300" s="149">
        <f t="shared" si="177"/>
        <v>0</v>
      </c>
      <c r="AA300" s="178">
        <f t="shared" si="178"/>
        <v>0</v>
      </c>
      <c r="AB300" s="113">
        <f t="shared" si="179"/>
        <v>0</v>
      </c>
      <c r="AC300" s="113">
        <f t="shared" si="158"/>
        <v>0</v>
      </c>
      <c r="AD300" s="114">
        <f t="shared" si="180"/>
        <v>46.333333333333336</v>
      </c>
      <c r="AE300" s="114">
        <f t="shared" si="181"/>
        <v>0</v>
      </c>
      <c r="AF300" s="114">
        <f t="shared" si="182"/>
        <v>2193.1111111111113</v>
      </c>
      <c r="AG300" s="114"/>
      <c r="AH300" s="176">
        <f t="shared" si="183"/>
        <v>7782277.3628922589</v>
      </c>
      <c r="AI300" s="176">
        <f t="shared" si="184"/>
        <v>43046.26811500678</v>
      </c>
      <c r="AJ300" s="178">
        <f t="shared" si="185"/>
        <v>1123847.0746953504</v>
      </c>
      <c r="AK300" s="113">
        <f t="shared" si="186"/>
        <v>1166893.3428103572</v>
      </c>
      <c r="AL300" s="113">
        <f t="shared" si="159"/>
        <v>306829.60159510461</v>
      </c>
      <c r="AM300" s="114">
        <f t="shared" si="187"/>
        <v>46.333333333333336</v>
      </c>
      <c r="AN300" s="114">
        <f t="shared" si="188"/>
        <v>3.0583397377179186E-3</v>
      </c>
      <c r="AO300" s="114">
        <f t="shared" si="189"/>
        <v>2193.1111111111113</v>
      </c>
    </row>
    <row r="301" spans="1:41" hidden="1" outlineLevel="1" x14ac:dyDescent="0.3">
      <c r="A301" s="146">
        <f t="shared" si="160"/>
        <v>279</v>
      </c>
      <c r="B301" s="147">
        <f t="shared" si="153"/>
        <v>6</v>
      </c>
      <c r="C301" s="147">
        <f t="shared" si="152"/>
        <v>354</v>
      </c>
      <c r="D301" s="149">
        <f t="shared" si="161"/>
        <v>6661479.7032874906</v>
      </c>
      <c r="E301" s="149">
        <f t="shared" si="162"/>
        <v>1134099.88324229</v>
      </c>
      <c r="F301" s="149">
        <f t="shared" si="154"/>
        <v>38911.386814460835</v>
      </c>
      <c r="G301" s="149">
        <f t="shared" si="155"/>
        <v>37614.340587312145</v>
      </c>
      <c r="H301" s="149">
        <f t="shared" si="163"/>
        <v>1297.0462271486904</v>
      </c>
      <c r="I301" s="149">
        <f t="shared" si="164"/>
        <v>1095188.4964278291</v>
      </c>
      <c r="J301" s="147">
        <f t="shared" si="165"/>
        <v>4.4999999999999998E-2</v>
      </c>
      <c r="K301" s="175">
        <f t="shared" si="156"/>
        <v>3.8296430163020645E-3</v>
      </c>
      <c r="L301" s="149">
        <f t="shared" si="166"/>
        <v>25609.163176846439</v>
      </c>
      <c r="M301" s="149">
        <f t="shared" si="167"/>
        <v>1158412.0001919877</v>
      </c>
      <c r="N301" s="149">
        <f t="shared" si="168"/>
        <v>1120797.6596046756</v>
      </c>
      <c r="P301" s="149">
        <f t="shared" si="169"/>
        <v>0</v>
      </c>
      <c r="Q301" s="149">
        <f t="shared" si="170"/>
        <v>0</v>
      </c>
      <c r="R301" s="178">
        <f t="shared" si="171"/>
        <v>0</v>
      </c>
      <c r="S301" s="113">
        <f t="shared" si="172"/>
        <v>0</v>
      </c>
      <c r="T301" s="113">
        <f t="shared" si="157"/>
        <v>0</v>
      </c>
      <c r="U301" s="114">
        <f t="shared" si="173"/>
        <v>46.5</v>
      </c>
      <c r="V301" s="114">
        <f t="shared" si="174"/>
        <v>0</v>
      </c>
      <c r="W301" s="114">
        <f t="shared" si="175"/>
        <v>2208.75</v>
      </c>
      <c r="X301" s="114"/>
      <c r="Y301" s="149">
        <f t="shared" si="176"/>
        <v>0</v>
      </c>
      <c r="Z301" s="149">
        <f t="shared" si="177"/>
        <v>0</v>
      </c>
      <c r="AA301" s="178">
        <f t="shared" si="178"/>
        <v>0</v>
      </c>
      <c r="AB301" s="113">
        <f t="shared" si="179"/>
        <v>0</v>
      </c>
      <c r="AC301" s="113">
        <f t="shared" si="158"/>
        <v>0</v>
      </c>
      <c r="AD301" s="114">
        <f t="shared" si="180"/>
        <v>46.5</v>
      </c>
      <c r="AE301" s="114">
        <f t="shared" si="181"/>
        <v>0</v>
      </c>
      <c r="AF301" s="114">
        <f t="shared" si="182"/>
        <v>2208.75</v>
      </c>
      <c r="AG301" s="114"/>
      <c r="AH301" s="176">
        <f t="shared" si="183"/>
        <v>6661479.7032875828</v>
      </c>
      <c r="AI301" s="176">
        <f t="shared" si="184"/>
        <v>37614.340587312588</v>
      </c>
      <c r="AJ301" s="178">
        <f t="shared" si="185"/>
        <v>1120797.6596046756</v>
      </c>
      <c r="AK301" s="113">
        <f t="shared" si="186"/>
        <v>1158412.0001919882</v>
      </c>
      <c r="AL301" s="113">
        <f t="shared" si="159"/>
        <v>303139.35985986947</v>
      </c>
      <c r="AM301" s="114">
        <f t="shared" si="187"/>
        <v>46.5</v>
      </c>
      <c r="AN301" s="114">
        <f t="shared" si="188"/>
        <v>3.0215570645925668E-3</v>
      </c>
      <c r="AO301" s="114">
        <f t="shared" si="189"/>
        <v>2208.75</v>
      </c>
    </row>
    <row r="302" spans="1:41" hidden="1" outlineLevel="1" x14ac:dyDescent="0.3">
      <c r="A302" s="146">
        <f t="shared" si="160"/>
        <v>280</v>
      </c>
      <c r="B302" s="147">
        <f t="shared" si="153"/>
        <v>5</v>
      </c>
      <c r="C302" s="147">
        <f t="shared" si="152"/>
        <v>355</v>
      </c>
      <c r="D302" s="149">
        <f t="shared" si="161"/>
        <v>5543718.3363901498</v>
      </c>
      <c r="E302" s="149">
        <f t="shared" si="162"/>
        <v>1129756.6855446422</v>
      </c>
      <c r="F302" s="149">
        <f t="shared" si="154"/>
        <v>33307.398516437454</v>
      </c>
      <c r="G302" s="149">
        <f t="shared" si="155"/>
        <v>32197.151899222874</v>
      </c>
      <c r="H302" s="149">
        <f t="shared" si="163"/>
        <v>1110.2466172145796</v>
      </c>
      <c r="I302" s="149">
        <f t="shared" si="164"/>
        <v>1096449.2870282046</v>
      </c>
      <c r="J302" s="147">
        <f t="shared" si="165"/>
        <v>4.4999999999999998E-2</v>
      </c>
      <c r="K302" s="175">
        <f t="shared" si="156"/>
        <v>3.8296430163020645E-3</v>
      </c>
      <c r="L302" s="149">
        <f t="shared" si="166"/>
        <v>21312.079869135945</v>
      </c>
      <c r="M302" s="149">
        <f t="shared" si="167"/>
        <v>1149958.5187965636</v>
      </c>
      <c r="N302" s="149">
        <f t="shared" si="168"/>
        <v>1117761.3668973406</v>
      </c>
      <c r="P302" s="149">
        <f t="shared" si="169"/>
        <v>0</v>
      </c>
      <c r="Q302" s="149">
        <f t="shared" si="170"/>
        <v>0</v>
      </c>
      <c r="R302" s="178">
        <f t="shared" si="171"/>
        <v>0</v>
      </c>
      <c r="S302" s="113">
        <f t="shared" si="172"/>
        <v>0</v>
      </c>
      <c r="T302" s="113">
        <f t="shared" si="157"/>
        <v>0</v>
      </c>
      <c r="U302" s="114">
        <f t="shared" si="173"/>
        <v>46.666666666666664</v>
      </c>
      <c r="V302" s="114">
        <f t="shared" si="174"/>
        <v>0</v>
      </c>
      <c r="W302" s="114">
        <f t="shared" si="175"/>
        <v>2224.4444444444443</v>
      </c>
      <c r="X302" s="114"/>
      <c r="Y302" s="149">
        <f t="shared" si="176"/>
        <v>0</v>
      </c>
      <c r="Z302" s="149">
        <f t="shared" si="177"/>
        <v>0</v>
      </c>
      <c r="AA302" s="178">
        <f t="shared" si="178"/>
        <v>0</v>
      </c>
      <c r="AB302" s="113">
        <f t="shared" si="179"/>
        <v>0</v>
      </c>
      <c r="AC302" s="113">
        <f t="shared" si="158"/>
        <v>0</v>
      </c>
      <c r="AD302" s="114">
        <f t="shared" si="180"/>
        <v>46.666666666666664</v>
      </c>
      <c r="AE302" s="114">
        <f t="shared" si="181"/>
        <v>0</v>
      </c>
      <c r="AF302" s="114">
        <f t="shared" si="182"/>
        <v>2224.4444444444443</v>
      </c>
      <c r="AG302" s="114"/>
      <c r="AH302" s="176">
        <f t="shared" si="183"/>
        <v>5543718.336390242</v>
      </c>
      <c r="AI302" s="176">
        <f t="shared" si="184"/>
        <v>32197.151899223318</v>
      </c>
      <c r="AJ302" s="178">
        <f t="shared" si="185"/>
        <v>1117761.3668973406</v>
      </c>
      <c r="AK302" s="113">
        <f t="shared" si="186"/>
        <v>1149958.5187965638</v>
      </c>
      <c r="AL302" s="113">
        <f t="shared" si="159"/>
        <v>299484.70234159933</v>
      </c>
      <c r="AM302" s="114">
        <f t="shared" si="187"/>
        <v>46.666666666666664</v>
      </c>
      <c r="AN302" s="114">
        <f t="shared" si="188"/>
        <v>2.9851290789687265E-3</v>
      </c>
      <c r="AO302" s="114">
        <f t="shared" si="189"/>
        <v>2224.4444444444443</v>
      </c>
    </row>
    <row r="303" spans="1:41" hidden="1" outlineLevel="1" x14ac:dyDescent="0.3">
      <c r="A303" s="146">
        <f t="shared" si="160"/>
        <v>281</v>
      </c>
      <c r="B303" s="147">
        <f t="shared" si="153"/>
        <v>4</v>
      </c>
      <c r="C303" s="147">
        <f t="shared" si="152"/>
        <v>356</v>
      </c>
      <c r="D303" s="149">
        <f t="shared" si="161"/>
        <v>4428980.1884082584</v>
      </c>
      <c r="E303" s="149">
        <f t="shared" si="162"/>
        <v>1125430.1207437254</v>
      </c>
      <c r="F303" s="149">
        <f t="shared" si="154"/>
        <v>27718.591681950751</v>
      </c>
      <c r="G303" s="149">
        <f t="shared" si="155"/>
        <v>26794.638625885724</v>
      </c>
      <c r="H303" s="149">
        <f t="shared" si="163"/>
        <v>923.95305606502734</v>
      </c>
      <c r="I303" s="149">
        <f t="shared" si="164"/>
        <v>1097711.5290617747</v>
      </c>
      <c r="J303" s="147">
        <f t="shared" si="165"/>
        <v>4.4999999999999998E-2</v>
      </c>
      <c r="K303" s="175">
        <f t="shared" si="156"/>
        <v>3.8296430163020645E-3</v>
      </c>
      <c r="L303" s="149">
        <f t="shared" si="166"/>
        <v>17026.618920116551</v>
      </c>
      <c r="M303" s="149">
        <f t="shared" si="167"/>
        <v>1141532.786607777</v>
      </c>
      <c r="N303" s="149">
        <f t="shared" si="168"/>
        <v>1114738.1479818912</v>
      </c>
      <c r="P303" s="149">
        <f t="shared" si="169"/>
        <v>0</v>
      </c>
      <c r="Q303" s="149">
        <f t="shared" si="170"/>
        <v>0</v>
      </c>
      <c r="R303" s="178">
        <f t="shared" si="171"/>
        <v>0</v>
      </c>
      <c r="S303" s="113">
        <f t="shared" si="172"/>
        <v>0</v>
      </c>
      <c r="T303" s="113">
        <f t="shared" si="157"/>
        <v>0</v>
      </c>
      <c r="U303" s="114">
        <f t="shared" si="173"/>
        <v>46.833333333333336</v>
      </c>
      <c r="V303" s="114">
        <f t="shared" si="174"/>
        <v>0</v>
      </c>
      <c r="W303" s="114">
        <f t="shared" si="175"/>
        <v>2240.1944444444448</v>
      </c>
      <c r="X303" s="114"/>
      <c r="Y303" s="149">
        <f t="shared" si="176"/>
        <v>0</v>
      </c>
      <c r="Z303" s="149">
        <f t="shared" si="177"/>
        <v>0</v>
      </c>
      <c r="AA303" s="178">
        <f t="shared" si="178"/>
        <v>0</v>
      </c>
      <c r="AB303" s="113">
        <f t="shared" si="179"/>
        <v>0</v>
      </c>
      <c r="AC303" s="113">
        <f t="shared" si="158"/>
        <v>0</v>
      </c>
      <c r="AD303" s="114">
        <f t="shared" si="180"/>
        <v>46.833333333333336</v>
      </c>
      <c r="AE303" s="114">
        <f t="shared" si="181"/>
        <v>0</v>
      </c>
      <c r="AF303" s="114">
        <f t="shared" si="182"/>
        <v>2240.1944444444448</v>
      </c>
      <c r="AG303" s="114"/>
      <c r="AH303" s="176">
        <f t="shared" si="183"/>
        <v>4428980.1884083506</v>
      </c>
      <c r="AI303" s="176">
        <f t="shared" si="184"/>
        <v>26794.638625886171</v>
      </c>
      <c r="AJ303" s="178">
        <f t="shared" si="185"/>
        <v>1114738.1479818912</v>
      </c>
      <c r="AK303" s="113">
        <f t="shared" si="186"/>
        <v>1141532.7866077772</v>
      </c>
      <c r="AL303" s="113">
        <f t="shared" si="159"/>
        <v>295865.30887190462</v>
      </c>
      <c r="AM303" s="114">
        <f t="shared" si="187"/>
        <v>46.833333333333336</v>
      </c>
      <c r="AN303" s="114">
        <f t="shared" si="188"/>
        <v>2.9490525895516091E-3</v>
      </c>
      <c r="AO303" s="114">
        <f t="shared" si="189"/>
        <v>2240.1944444444448</v>
      </c>
    </row>
    <row r="304" spans="1:41" hidden="1" outlineLevel="1" x14ac:dyDescent="0.3">
      <c r="A304" s="146">
        <f t="shared" si="160"/>
        <v>282</v>
      </c>
      <c r="B304" s="147">
        <f t="shared" si="153"/>
        <v>3</v>
      </c>
      <c r="C304" s="147">
        <f t="shared" si="152"/>
        <v>357</v>
      </c>
      <c r="D304" s="149">
        <f t="shared" si="161"/>
        <v>3317252.2339533828</v>
      </c>
      <c r="E304" s="149">
        <f t="shared" si="162"/>
        <v>1121120.1251414833</v>
      </c>
      <c r="F304" s="149">
        <f t="shared" si="154"/>
        <v>22144.900942041291</v>
      </c>
      <c r="G304" s="149">
        <f t="shared" si="155"/>
        <v>21406.737577306583</v>
      </c>
      <c r="H304" s="149">
        <f t="shared" si="163"/>
        <v>738.16336473470801</v>
      </c>
      <c r="I304" s="149">
        <f t="shared" si="164"/>
        <v>1098975.224199442</v>
      </c>
      <c r="J304" s="147">
        <f t="shared" si="165"/>
        <v>4.4999999999999998E-2</v>
      </c>
      <c r="K304" s="175">
        <f t="shared" si="156"/>
        <v>3.8296430163020645E-3</v>
      </c>
      <c r="L304" s="149">
        <f t="shared" si="166"/>
        <v>12752.730255433498</v>
      </c>
      <c r="M304" s="149">
        <f t="shared" si="167"/>
        <v>1133134.6920321821</v>
      </c>
      <c r="N304" s="149">
        <f t="shared" si="168"/>
        <v>1111727.9544548756</v>
      </c>
      <c r="P304" s="149">
        <f t="shared" si="169"/>
        <v>0</v>
      </c>
      <c r="Q304" s="149">
        <f t="shared" si="170"/>
        <v>0</v>
      </c>
      <c r="R304" s="178">
        <f t="shared" si="171"/>
        <v>0</v>
      </c>
      <c r="S304" s="113">
        <f t="shared" si="172"/>
        <v>0</v>
      </c>
      <c r="T304" s="113">
        <f t="shared" si="157"/>
        <v>0</v>
      </c>
      <c r="U304" s="114">
        <f t="shared" si="173"/>
        <v>47</v>
      </c>
      <c r="V304" s="114">
        <f t="shared" si="174"/>
        <v>0</v>
      </c>
      <c r="W304" s="114">
        <f t="shared" si="175"/>
        <v>2256</v>
      </c>
      <c r="X304" s="114"/>
      <c r="Y304" s="149">
        <f t="shared" si="176"/>
        <v>0</v>
      </c>
      <c r="Z304" s="149">
        <f t="shared" si="177"/>
        <v>0</v>
      </c>
      <c r="AA304" s="178">
        <f t="shared" si="178"/>
        <v>0</v>
      </c>
      <c r="AB304" s="113">
        <f t="shared" si="179"/>
        <v>0</v>
      </c>
      <c r="AC304" s="113">
        <f t="shared" si="158"/>
        <v>0</v>
      </c>
      <c r="AD304" s="114">
        <f t="shared" si="180"/>
        <v>47</v>
      </c>
      <c r="AE304" s="114">
        <f t="shared" si="181"/>
        <v>0</v>
      </c>
      <c r="AF304" s="114">
        <f t="shared" si="182"/>
        <v>2256</v>
      </c>
      <c r="AG304" s="114"/>
      <c r="AH304" s="176">
        <f t="shared" si="183"/>
        <v>3317252.233953475</v>
      </c>
      <c r="AI304" s="176">
        <f t="shared" si="184"/>
        <v>21406.737577307027</v>
      </c>
      <c r="AJ304" s="178">
        <f t="shared" si="185"/>
        <v>1111727.9544548756</v>
      </c>
      <c r="AK304" s="113">
        <f t="shared" si="186"/>
        <v>1133134.6920321826</v>
      </c>
      <c r="AL304" s="113">
        <f t="shared" si="159"/>
        <v>292280.86208835797</v>
      </c>
      <c r="AM304" s="114">
        <f t="shared" si="187"/>
        <v>47</v>
      </c>
      <c r="AN304" s="114">
        <f t="shared" si="188"/>
        <v>2.9133244330149981E-3</v>
      </c>
      <c r="AO304" s="114">
        <f t="shared" si="189"/>
        <v>2256</v>
      </c>
    </row>
    <row r="305" spans="1:41" hidden="1" outlineLevel="1" x14ac:dyDescent="0.3">
      <c r="A305" s="146">
        <f t="shared" si="160"/>
        <v>283</v>
      </c>
      <c r="B305" s="147">
        <f t="shared" si="153"/>
        <v>2</v>
      </c>
      <c r="C305" s="147">
        <f t="shared" si="152"/>
        <v>358</v>
      </c>
      <c r="D305" s="149">
        <f t="shared" si="161"/>
        <v>2208521.4958532578</v>
      </c>
      <c r="E305" s="149">
        <f t="shared" si="162"/>
        <v>1116826.6352837994</v>
      </c>
      <c r="F305" s="149">
        <f t="shared" si="154"/>
        <v>16586.261169766913</v>
      </c>
      <c r="G305" s="149">
        <f t="shared" si="155"/>
        <v>16033.385797441351</v>
      </c>
      <c r="H305" s="149">
        <f t="shared" si="163"/>
        <v>552.87537232556133</v>
      </c>
      <c r="I305" s="149">
        <f t="shared" si="164"/>
        <v>1100240.3741140324</v>
      </c>
      <c r="J305" s="147">
        <f t="shared" si="165"/>
        <v>4.4999999999999998E-2</v>
      </c>
      <c r="K305" s="175">
        <f t="shared" si="156"/>
        <v>3.8296430163020645E-3</v>
      </c>
      <c r="L305" s="149">
        <f t="shared" si="166"/>
        <v>8490.3639860926196</v>
      </c>
      <c r="M305" s="149">
        <f t="shared" si="167"/>
        <v>1124764.1238975662</v>
      </c>
      <c r="N305" s="149">
        <f t="shared" si="168"/>
        <v>1108730.738100125</v>
      </c>
      <c r="P305" s="149">
        <f t="shared" si="169"/>
        <v>0</v>
      </c>
      <c r="Q305" s="149">
        <f t="shared" si="170"/>
        <v>0</v>
      </c>
      <c r="R305" s="178">
        <f t="shared" si="171"/>
        <v>0</v>
      </c>
      <c r="S305" s="113">
        <f t="shared" si="172"/>
        <v>0</v>
      </c>
      <c r="T305" s="113">
        <f t="shared" si="157"/>
        <v>0</v>
      </c>
      <c r="U305" s="114">
        <f t="shared" si="173"/>
        <v>47.166666666666664</v>
      </c>
      <c r="V305" s="114">
        <f t="shared" si="174"/>
        <v>0</v>
      </c>
      <c r="W305" s="114">
        <f t="shared" si="175"/>
        <v>2271.8611111111109</v>
      </c>
      <c r="X305" s="114"/>
      <c r="Y305" s="149">
        <f t="shared" si="176"/>
        <v>0</v>
      </c>
      <c r="Z305" s="149">
        <f t="shared" si="177"/>
        <v>0</v>
      </c>
      <c r="AA305" s="178">
        <f t="shared" si="178"/>
        <v>0</v>
      </c>
      <c r="AB305" s="113">
        <f t="shared" si="179"/>
        <v>0</v>
      </c>
      <c r="AC305" s="113">
        <f t="shared" si="158"/>
        <v>0</v>
      </c>
      <c r="AD305" s="114">
        <f t="shared" si="180"/>
        <v>47.166666666666664</v>
      </c>
      <c r="AE305" s="114">
        <f t="shared" si="181"/>
        <v>0</v>
      </c>
      <c r="AF305" s="114">
        <f t="shared" si="182"/>
        <v>2271.8611111111109</v>
      </c>
      <c r="AG305" s="114"/>
      <c r="AH305" s="176">
        <f t="shared" si="183"/>
        <v>2208521.49585335</v>
      </c>
      <c r="AI305" s="176">
        <f t="shared" si="184"/>
        <v>16033.385797441797</v>
      </c>
      <c r="AJ305" s="178">
        <f t="shared" si="185"/>
        <v>1108730.738100125</v>
      </c>
      <c r="AK305" s="113">
        <f t="shared" si="186"/>
        <v>1124764.1238975667</v>
      </c>
      <c r="AL305" s="113">
        <f t="shared" si="159"/>
        <v>288731.04741016246</v>
      </c>
      <c r="AM305" s="114">
        <f t="shared" si="187"/>
        <v>47.166666666666664</v>
      </c>
      <c r="AN305" s="114">
        <f t="shared" si="188"/>
        <v>2.8779414737587199E-3</v>
      </c>
      <c r="AO305" s="114">
        <f t="shared" si="189"/>
        <v>2271.8611111111109</v>
      </c>
    </row>
    <row r="306" spans="1:41" collapsed="1" x14ac:dyDescent="0.3">
      <c r="A306" s="146">
        <f t="shared" si="160"/>
        <v>284</v>
      </c>
      <c r="B306" s="147">
        <f t="shared" si="153"/>
        <v>1</v>
      </c>
      <c r="C306" s="147">
        <f t="shared" si="152"/>
        <v>359</v>
      </c>
      <c r="D306" s="149">
        <f t="shared" si="161"/>
        <v>1102775.0449652164</v>
      </c>
      <c r="E306" s="149">
        <f t="shared" si="162"/>
        <v>1112549.5879595648</v>
      </c>
      <c r="F306" s="149">
        <f t="shared" si="154"/>
        <v>11042.607479266289</v>
      </c>
      <c r="G306" s="149">
        <f t="shared" si="155"/>
        <v>10674.520563290747</v>
      </c>
      <c r="H306" s="149">
        <f t="shared" si="163"/>
        <v>368.08691597554207</v>
      </c>
      <c r="I306" s="149">
        <f t="shared" si="164"/>
        <v>1101506.9804802984</v>
      </c>
      <c r="J306" s="147">
        <f t="shared" si="165"/>
        <v>4.4999999999999998E-2</v>
      </c>
      <c r="K306" s="175">
        <f t="shared" si="156"/>
        <v>3.8296430163020645E-3</v>
      </c>
      <c r="L306" s="149">
        <f t="shared" si="166"/>
        <v>4239.4704077430688</v>
      </c>
      <c r="M306" s="149">
        <f t="shared" si="167"/>
        <v>1116420.9714513321</v>
      </c>
      <c r="N306" s="149">
        <f t="shared" si="168"/>
        <v>1105746.4508880414</v>
      </c>
      <c r="P306" s="149">
        <f t="shared" si="169"/>
        <v>0</v>
      </c>
      <c r="Q306" s="149">
        <f t="shared" si="170"/>
        <v>0</v>
      </c>
      <c r="R306" s="178">
        <f t="shared" si="171"/>
        <v>0</v>
      </c>
      <c r="S306" s="113">
        <f t="shared" si="172"/>
        <v>0</v>
      </c>
      <c r="T306" s="113">
        <f t="shared" si="157"/>
        <v>0</v>
      </c>
      <c r="U306" s="114">
        <f t="shared" si="173"/>
        <v>47.333333333333336</v>
      </c>
      <c r="V306" s="114">
        <f t="shared" si="174"/>
        <v>0</v>
      </c>
      <c r="W306" s="114">
        <f t="shared" si="175"/>
        <v>2287.7777777777778</v>
      </c>
      <c r="X306" s="114"/>
      <c r="Y306" s="149">
        <f t="shared" si="176"/>
        <v>0</v>
      </c>
      <c r="Z306" s="149">
        <f t="shared" si="177"/>
        <v>0</v>
      </c>
      <c r="AA306" s="178">
        <f t="shared" si="178"/>
        <v>0</v>
      </c>
      <c r="AB306" s="113">
        <f t="shared" si="179"/>
        <v>0</v>
      </c>
      <c r="AC306" s="113">
        <f t="shared" si="158"/>
        <v>0</v>
      </c>
      <c r="AD306" s="114">
        <f t="shared" si="180"/>
        <v>47.333333333333336</v>
      </c>
      <c r="AE306" s="114">
        <f t="shared" si="181"/>
        <v>0</v>
      </c>
      <c r="AF306" s="114">
        <f t="shared" si="182"/>
        <v>2287.7777777777778</v>
      </c>
      <c r="AG306" s="114"/>
      <c r="AH306" s="176">
        <f t="shared" si="183"/>
        <v>1102775.0449653086</v>
      </c>
      <c r="AI306" s="176">
        <f t="shared" si="184"/>
        <v>10674.520563291193</v>
      </c>
      <c r="AJ306" s="178">
        <f t="shared" si="185"/>
        <v>1105746.4508880414</v>
      </c>
      <c r="AK306" s="113">
        <f t="shared" si="186"/>
        <v>1116420.9714513326</v>
      </c>
      <c r="AL306" s="113">
        <f t="shared" si="159"/>
        <v>285215.55301403272</v>
      </c>
      <c r="AM306" s="114">
        <f t="shared" si="187"/>
        <v>47.333333333333336</v>
      </c>
      <c r="AN306" s="114">
        <f t="shared" si="188"/>
        <v>2.8429006036682384E-3</v>
      </c>
      <c r="AO306" s="114">
        <f t="shared" si="189"/>
        <v>2287.7777777777778</v>
      </c>
    </row>
    <row r="307" spans="1:41" x14ac:dyDescent="0.3">
      <c r="A307" s="146">
        <f t="shared" si="160"/>
        <v>285</v>
      </c>
      <c r="B307" s="147">
        <f t="shared" si="153"/>
        <v>0</v>
      </c>
      <c r="C307" s="147">
        <f t="shared" si="152"/>
        <v>360</v>
      </c>
      <c r="D307" s="149">
        <f t="shared" si="161"/>
        <v>2.3193898540541947E-10</v>
      </c>
      <c r="E307" s="149">
        <f t="shared" si="162"/>
        <v>1108288.9201900424</v>
      </c>
      <c r="F307" s="149">
        <f t="shared" si="154"/>
        <v>5513.8752248260826</v>
      </c>
      <c r="G307" s="149">
        <f t="shared" si="155"/>
        <v>5330.0793839985463</v>
      </c>
      <c r="H307" s="149">
        <f t="shared" si="163"/>
        <v>183.79584082753627</v>
      </c>
      <c r="I307" s="149">
        <f t="shared" si="164"/>
        <v>1102775.0449652162</v>
      </c>
      <c r="J307" s="147">
        <f t="shared" si="165"/>
        <v>4.4999999999999998E-2</v>
      </c>
      <c r="K307" s="175">
        <f t="shared" si="156"/>
        <v>3.8296430163020645E-3</v>
      </c>
      <c r="L307" s="149">
        <f t="shared" si="166"/>
        <v>8.9165824845015642E-13</v>
      </c>
      <c r="M307" s="149">
        <f t="shared" si="167"/>
        <v>1108105.1243492148</v>
      </c>
      <c r="N307" s="149">
        <f t="shared" si="168"/>
        <v>1102775.0449652162</v>
      </c>
      <c r="P307" s="149">
        <f t="shared" si="169"/>
        <v>0</v>
      </c>
      <c r="Q307" s="149">
        <f t="shared" si="170"/>
        <v>0</v>
      </c>
      <c r="R307" s="178">
        <f t="shared" si="171"/>
        <v>0</v>
      </c>
      <c r="S307" s="113">
        <f t="shared" si="172"/>
        <v>0</v>
      </c>
      <c r="T307" s="113">
        <f t="shared" si="157"/>
        <v>0</v>
      </c>
      <c r="U307" s="114">
        <f t="shared" si="173"/>
        <v>47.5</v>
      </c>
      <c r="V307" s="114">
        <f t="shared" si="174"/>
        <v>0</v>
      </c>
      <c r="W307" s="114">
        <f t="shared" si="175"/>
        <v>2303.75</v>
      </c>
      <c r="X307" s="114"/>
      <c r="Y307" s="149">
        <f t="shared" si="176"/>
        <v>0</v>
      </c>
      <c r="Z307" s="149">
        <f t="shared" si="177"/>
        <v>0</v>
      </c>
      <c r="AA307" s="178">
        <f t="shared" si="178"/>
        <v>0</v>
      </c>
      <c r="AB307" s="113">
        <f t="shared" si="179"/>
        <v>0</v>
      </c>
      <c r="AC307" s="113">
        <f t="shared" si="158"/>
        <v>0</v>
      </c>
      <c r="AD307" s="114">
        <f t="shared" si="180"/>
        <v>47.5</v>
      </c>
      <c r="AE307" s="114">
        <f t="shared" si="181"/>
        <v>0</v>
      </c>
      <c r="AF307" s="114">
        <f t="shared" si="182"/>
        <v>2303.75</v>
      </c>
      <c r="AG307" s="114"/>
      <c r="AH307" s="176">
        <f t="shared" si="183"/>
        <v>9.2433765530586243E-8</v>
      </c>
      <c r="AI307" s="176">
        <f t="shared" si="184"/>
        <v>5330.0793839989919</v>
      </c>
      <c r="AJ307" s="178">
        <f t="shared" si="185"/>
        <v>1102775.0449652162</v>
      </c>
      <c r="AK307" s="113">
        <f t="shared" si="186"/>
        <v>1108105.1243492151</v>
      </c>
      <c r="AL307" s="113">
        <f t="shared" si="159"/>
        <v>281734.06980782282</v>
      </c>
      <c r="AM307" s="114">
        <f t="shared" si="187"/>
        <v>47.5</v>
      </c>
      <c r="AN307" s="114">
        <f t="shared" si="188"/>
        <v>2.8081987418517897E-3</v>
      </c>
      <c r="AO307" s="114">
        <f t="shared" si="189"/>
        <v>2303.75</v>
      </c>
    </row>
    <row r="308" spans="1:41" x14ac:dyDescent="0.3">
      <c r="A308" s="146">
        <f t="shared" si="160"/>
        <v>286</v>
      </c>
      <c r="B308" s="147" t="str">
        <f t="shared" si="153"/>
        <v/>
      </c>
      <c r="C308" s="147" t="str">
        <f t="shared" si="152"/>
        <v/>
      </c>
      <c r="D308" s="149" t="str">
        <f t="shared" si="161"/>
        <v/>
      </c>
      <c r="E308" s="149" t="str">
        <f t="shared" si="162"/>
        <v/>
      </c>
      <c r="F308" s="149" t="str">
        <f t="shared" si="154"/>
        <v/>
      </c>
      <c r="G308" s="149" t="str">
        <f t="shared" si="155"/>
        <v/>
      </c>
      <c r="H308" s="149" t="str">
        <f t="shared" si="163"/>
        <v/>
      </c>
      <c r="I308" s="149" t="str">
        <f t="shared" si="164"/>
        <v/>
      </c>
      <c r="J308" s="147" t="str">
        <f t="shared" si="165"/>
        <v/>
      </c>
      <c r="K308" s="175" t="str">
        <f t="shared" si="156"/>
        <v/>
      </c>
      <c r="L308" s="149" t="str">
        <f t="shared" si="166"/>
        <v/>
      </c>
      <c r="M308" s="149" t="str">
        <f t="shared" si="167"/>
        <v/>
      </c>
      <c r="N308" s="149" t="str">
        <f t="shared" si="168"/>
        <v/>
      </c>
      <c r="P308" s="149" t="str">
        <f t="shared" si="169"/>
        <v/>
      </c>
      <c r="Q308" s="149" t="str">
        <f t="shared" si="170"/>
        <v/>
      </c>
      <c r="R308" s="178" t="str">
        <f t="shared" si="171"/>
        <v/>
      </c>
      <c r="S308" s="113" t="str">
        <f t="shared" si="172"/>
        <v/>
      </c>
      <c r="T308" s="113" t="str">
        <f t="shared" si="157"/>
        <v/>
      </c>
      <c r="U308" s="114" t="str">
        <f t="shared" si="173"/>
        <v/>
      </c>
      <c r="V308" s="114" t="str">
        <f t="shared" si="174"/>
        <v/>
      </c>
      <c r="W308" s="114" t="str">
        <f t="shared" si="175"/>
        <v/>
      </c>
      <c r="X308" s="114"/>
      <c r="Y308" s="149" t="str">
        <f t="shared" si="176"/>
        <v/>
      </c>
      <c r="Z308" s="149" t="str">
        <f t="shared" si="177"/>
        <v/>
      </c>
      <c r="AA308" s="178" t="str">
        <f t="shared" si="178"/>
        <v/>
      </c>
      <c r="AB308" s="113" t="str">
        <f t="shared" si="179"/>
        <v/>
      </c>
      <c r="AC308" s="113" t="str">
        <f t="shared" si="158"/>
        <v/>
      </c>
      <c r="AD308" s="114" t="str">
        <f t="shared" si="180"/>
        <v/>
      </c>
      <c r="AE308" s="114" t="str">
        <f t="shared" si="181"/>
        <v/>
      </c>
      <c r="AF308" s="114" t="str">
        <f t="shared" si="182"/>
        <v/>
      </c>
      <c r="AG308" s="114"/>
      <c r="AH308" s="176" t="str">
        <f t="shared" si="183"/>
        <v/>
      </c>
      <c r="AI308" s="176" t="str">
        <f t="shared" si="184"/>
        <v/>
      </c>
      <c r="AJ308" s="178" t="str">
        <f t="shared" si="185"/>
        <v/>
      </c>
      <c r="AK308" s="113" t="str">
        <f t="shared" si="186"/>
        <v/>
      </c>
      <c r="AL308" s="113" t="str">
        <f t="shared" si="159"/>
        <v/>
      </c>
      <c r="AM308" s="114" t="str">
        <f t="shared" si="187"/>
        <v/>
      </c>
      <c r="AN308" s="114" t="str">
        <f t="shared" si="188"/>
        <v/>
      </c>
      <c r="AO308" s="114" t="str">
        <f t="shared" si="189"/>
        <v/>
      </c>
    </row>
    <row r="309" spans="1:41" x14ac:dyDescent="0.3">
      <c r="A309" s="146">
        <f t="shared" si="160"/>
        <v>287</v>
      </c>
      <c r="B309" s="147" t="str">
        <f t="shared" si="153"/>
        <v/>
      </c>
      <c r="C309" s="147" t="str">
        <f t="shared" si="152"/>
        <v/>
      </c>
      <c r="D309" s="149" t="str">
        <f t="shared" si="161"/>
        <v/>
      </c>
      <c r="E309" s="149" t="str">
        <f t="shared" si="162"/>
        <v/>
      </c>
      <c r="F309" s="149" t="str">
        <f t="shared" si="154"/>
        <v/>
      </c>
      <c r="G309" s="149" t="str">
        <f t="shared" si="155"/>
        <v/>
      </c>
      <c r="H309" s="149" t="str">
        <f t="shared" si="163"/>
        <v/>
      </c>
      <c r="I309" s="149" t="str">
        <f t="shared" si="164"/>
        <v/>
      </c>
      <c r="J309" s="147" t="str">
        <f t="shared" si="165"/>
        <v/>
      </c>
      <c r="K309" s="175" t="str">
        <f t="shared" si="156"/>
        <v/>
      </c>
      <c r="L309" s="149" t="str">
        <f t="shared" si="166"/>
        <v/>
      </c>
      <c r="M309" s="149" t="str">
        <f t="shared" si="167"/>
        <v/>
      </c>
      <c r="N309" s="149" t="str">
        <f t="shared" si="168"/>
        <v/>
      </c>
      <c r="P309" s="149" t="str">
        <f t="shared" si="169"/>
        <v/>
      </c>
      <c r="Q309" s="149" t="str">
        <f t="shared" si="170"/>
        <v/>
      </c>
      <c r="R309" s="178" t="str">
        <f t="shared" si="171"/>
        <v/>
      </c>
      <c r="S309" s="113" t="str">
        <f t="shared" si="172"/>
        <v/>
      </c>
      <c r="T309" s="113" t="str">
        <f t="shared" si="157"/>
        <v/>
      </c>
      <c r="U309" s="114" t="str">
        <f t="shared" si="173"/>
        <v/>
      </c>
      <c r="V309" s="114" t="str">
        <f t="shared" si="174"/>
        <v/>
      </c>
      <c r="W309" s="114" t="str">
        <f t="shared" si="175"/>
        <v/>
      </c>
      <c r="X309" s="114"/>
      <c r="Y309" s="149" t="str">
        <f t="shared" si="176"/>
        <v/>
      </c>
      <c r="Z309" s="149" t="str">
        <f t="shared" si="177"/>
        <v/>
      </c>
      <c r="AA309" s="178" t="str">
        <f t="shared" si="178"/>
        <v/>
      </c>
      <c r="AB309" s="113" t="str">
        <f t="shared" si="179"/>
        <v/>
      </c>
      <c r="AC309" s="113" t="str">
        <f t="shared" si="158"/>
        <v/>
      </c>
      <c r="AD309" s="114" t="str">
        <f t="shared" si="180"/>
        <v/>
      </c>
      <c r="AE309" s="114" t="str">
        <f t="shared" si="181"/>
        <v/>
      </c>
      <c r="AF309" s="114" t="str">
        <f t="shared" si="182"/>
        <v/>
      </c>
      <c r="AG309" s="114"/>
      <c r="AH309" s="176" t="str">
        <f t="shared" si="183"/>
        <v/>
      </c>
      <c r="AI309" s="176" t="str">
        <f t="shared" si="184"/>
        <v/>
      </c>
      <c r="AJ309" s="178" t="str">
        <f t="shared" si="185"/>
        <v/>
      </c>
      <c r="AK309" s="113" t="str">
        <f t="shared" si="186"/>
        <v/>
      </c>
      <c r="AL309" s="113" t="str">
        <f t="shared" si="159"/>
        <v/>
      </c>
      <c r="AM309" s="114" t="str">
        <f t="shared" si="187"/>
        <v/>
      </c>
      <c r="AN309" s="114" t="str">
        <f t="shared" si="188"/>
        <v/>
      </c>
      <c r="AO309" s="114" t="str">
        <f t="shared" si="189"/>
        <v/>
      </c>
    </row>
    <row r="310" spans="1:41" x14ac:dyDescent="0.3">
      <c r="A310" s="146">
        <f t="shared" si="160"/>
        <v>288</v>
      </c>
      <c r="B310" s="147" t="str">
        <f t="shared" si="153"/>
        <v/>
      </c>
      <c r="C310" s="147" t="str">
        <f t="shared" si="152"/>
        <v/>
      </c>
      <c r="D310" s="149" t="str">
        <f t="shared" si="161"/>
        <v/>
      </c>
      <c r="E310" s="149" t="str">
        <f t="shared" si="162"/>
        <v/>
      </c>
      <c r="F310" s="149" t="str">
        <f t="shared" si="154"/>
        <v/>
      </c>
      <c r="G310" s="149" t="str">
        <f t="shared" si="155"/>
        <v/>
      </c>
      <c r="H310" s="149" t="str">
        <f t="shared" si="163"/>
        <v/>
      </c>
      <c r="I310" s="149" t="str">
        <f t="shared" si="164"/>
        <v/>
      </c>
      <c r="J310" s="147" t="str">
        <f t="shared" si="165"/>
        <v/>
      </c>
      <c r="K310" s="175" t="str">
        <f t="shared" si="156"/>
        <v/>
      </c>
      <c r="L310" s="149" t="str">
        <f t="shared" si="166"/>
        <v/>
      </c>
      <c r="M310" s="149" t="str">
        <f t="shared" si="167"/>
        <v/>
      </c>
      <c r="N310" s="149" t="str">
        <f t="shared" si="168"/>
        <v/>
      </c>
      <c r="P310" s="149" t="str">
        <f t="shared" si="169"/>
        <v/>
      </c>
      <c r="Q310" s="149" t="str">
        <f t="shared" si="170"/>
        <v/>
      </c>
      <c r="R310" s="178" t="str">
        <f t="shared" si="171"/>
        <v/>
      </c>
      <c r="S310" s="113" t="str">
        <f t="shared" si="172"/>
        <v/>
      </c>
      <c r="T310" s="113" t="str">
        <f t="shared" si="157"/>
        <v/>
      </c>
      <c r="U310" s="114" t="str">
        <f t="shared" si="173"/>
        <v/>
      </c>
      <c r="V310" s="114" t="str">
        <f t="shared" si="174"/>
        <v/>
      </c>
      <c r="W310" s="114" t="str">
        <f t="shared" si="175"/>
        <v/>
      </c>
      <c r="X310" s="114"/>
      <c r="Y310" s="149" t="str">
        <f t="shared" si="176"/>
        <v/>
      </c>
      <c r="Z310" s="149" t="str">
        <f t="shared" si="177"/>
        <v/>
      </c>
      <c r="AA310" s="178" t="str">
        <f t="shared" si="178"/>
        <v/>
      </c>
      <c r="AB310" s="113" t="str">
        <f t="shared" si="179"/>
        <v/>
      </c>
      <c r="AC310" s="113" t="str">
        <f t="shared" si="158"/>
        <v/>
      </c>
      <c r="AD310" s="114" t="str">
        <f t="shared" si="180"/>
        <v/>
      </c>
      <c r="AE310" s="114" t="str">
        <f t="shared" si="181"/>
        <v/>
      </c>
      <c r="AF310" s="114" t="str">
        <f t="shared" si="182"/>
        <v/>
      </c>
      <c r="AG310" s="114"/>
      <c r="AH310" s="176" t="str">
        <f t="shared" si="183"/>
        <v/>
      </c>
      <c r="AI310" s="176" t="str">
        <f t="shared" si="184"/>
        <v/>
      </c>
      <c r="AJ310" s="178" t="str">
        <f t="shared" si="185"/>
        <v/>
      </c>
      <c r="AK310" s="113" t="str">
        <f t="shared" si="186"/>
        <v/>
      </c>
      <c r="AL310" s="113" t="str">
        <f t="shared" si="159"/>
        <v/>
      </c>
      <c r="AM310" s="114" t="str">
        <f t="shared" si="187"/>
        <v/>
      </c>
      <c r="AN310" s="114" t="str">
        <f t="shared" si="188"/>
        <v/>
      </c>
      <c r="AO310" s="114" t="str">
        <f t="shared" si="189"/>
        <v/>
      </c>
    </row>
    <row r="311" spans="1:41" x14ac:dyDescent="0.3">
      <c r="A311" s="146">
        <f t="shared" si="160"/>
        <v>289</v>
      </c>
      <c r="B311" s="147" t="str">
        <f t="shared" si="153"/>
        <v/>
      </c>
      <c r="C311" s="147" t="str">
        <f t="shared" si="152"/>
        <v/>
      </c>
      <c r="D311" s="149" t="str">
        <f t="shared" si="161"/>
        <v/>
      </c>
      <c r="E311" s="149" t="str">
        <f t="shared" si="162"/>
        <v/>
      </c>
      <c r="F311" s="149" t="str">
        <f t="shared" si="154"/>
        <v/>
      </c>
      <c r="G311" s="149" t="str">
        <f t="shared" si="155"/>
        <v/>
      </c>
      <c r="H311" s="149" t="str">
        <f t="shared" si="163"/>
        <v/>
      </c>
      <c r="I311" s="149" t="str">
        <f t="shared" si="164"/>
        <v/>
      </c>
      <c r="J311" s="147" t="str">
        <f t="shared" si="165"/>
        <v/>
      </c>
      <c r="K311" s="175" t="str">
        <f t="shared" si="156"/>
        <v/>
      </c>
      <c r="L311" s="149" t="str">
        <f t="shared" si="166"/>
        <v/>
      </c>
      <c r="M311" s="149" t="str">
        <f t="shared" si="167"/>
        <v/>
      </c>
      <c r="N311" s="149" t="str">
        <f t="shared" si="168"/>
        <v/>
      </c>
      <c r="P311" s="149" t="str">
        <f t="shared" si="169"/>
        <v/>
      </c>
      <c r="Q311" s="149" t="str">
        <f t="shared" si="170"/>
        <v/>
      </c>
      <c r="R311" s="178" t="str">
        <f t="shared" si="171"/>
        <v/>
      </c>
      <c r="S311" s="113" t="str">
        <f t="shared" si="172"/>
        <v/>
      </c>
      <c r="T311" s="113" t="str">
        <f t="shared" si="157"/>
        <v/>
      </c>
      <c r="U311" s="114" t="str">
        <f t="shared" si="173"/>
        <v/>
      </c>
      <c r="V311" s="114" t="str">
        <f t="shared" si="174"/>
        <v/>
      </c>
      <c r="W311" s="114" t="str">
        <f t="shared" si="175"/>
        <v/>
      </c>
      <c r="X311" s="114"/>
      <c r="Y311" s="149" t="str">
        <f t="shared" si="176"/>
        <v/>
      </c>
      <c r="Z311" s="149" t="str">
        <f t="shared" si="177"/>
        <v/>
      </c>
      <c r="AA311" s="178" t="str">
        <f t="shared" si="178"/>
        <v/>
      </c>
      <c r="AB311" s="113" t="str">
        <f t="shared" si="179"/>
        <v/>
      </c>
      <c r="AC311" s="113" t="str">
        <f t="shared" si="158"/>
        <v/>
      </c>
      <c r="AD311" s="114" t="str">
        <f t="shared" si="180"/>
        <v/>
      </c>
      <c r="AE311" s="114" t="str">
        <f t="shared" si="181"/>
        <v/>
      </c>
      <c r="AF311" s="114" t="str">
        <f t="shared" si="182"/>
        <v/>
      </c>
      <c r="AG311" s="114"/>
      <c r="AH311" s="176" t="str">
        <f t="shared" si="183"/>
        <v/>
      </c>
      <c r="AI311" s="176" t="str">
        <f t="shared" si="184"/>
        <v/>
      </c>
      <c r="AJ311" s="178" t="str">
        <f t="shared" si="185"/>
        <v/>
      </c>
      <c r="AK311" s="113" t="str">
        <f t="shared" si="186"/>
        <v/>
      </c>
      <c r="AL311" s="113" t="str">
        <f t="shared" si="159"/>
        <v/>
      </c>
      <c r="AM311" s="114" t="str">
        <f t="shared" si="187"/>
        <v/>
      </c>
      <c r="AN311" s="114" t="str">
        <f t="shared" si="188"/>
        <v/>
      </c>
      <c r="AO311" s="114" t="str">
        <f t="shared" si="189"/>
        <v/>
      </c>
    </row>
    <row r="312" spans="1:41" x14ac:dyDescent="0.3">
      <c r="A312" s="146">
        <f t="shared" si="160"/>
        <v>290</v>
      </c>
      <c r="B312" s="147" t="str">
        <f t="shared" si="153"/>
        <v/>
      </c>
      <c r="C312" s="147" t="str">
        <f t="shared" si="152"/>
        <v/>
      </c>
      <c r="D312" s="149" t="str">
        <f t="shared" si="161"/>
        <v/>
      </c>
      <c r="E312" s="149" t="str">
        <f t="shared" si="162"/>
        <v/>
      </c>
      <c r="F312" s="149" t="str">
        <f t="shared" si="154"/>
        <v/>
      </c>
      <c r="G312" s="149" t="str">
        <f t="shared" si="155"/>
        <v/>
      </c>
      <c r="H312" s="149" t="str">
        <f t="shared" si="163"/>
        <v/>
      </c>
      <c r="I312" s="149" t="str">
        <f t="shared" si="164"/>
        <v/>
      </c>
      <c r="J312" s="147" t="str">
        <f t="shared" si="165"/>
        <v/>
      </c>
      <c r="K312" s="175" t="str">
        <f t="shared" si="156"/>
        <v/>
      </c>
      <c r="L312" s="149" t="str">
        <f t="shared" si="166"/>
        <v/>
      </c>
      <c r="M312" s="149" t="str">
        <f t="shared" si="167"/>
        <v/>
      </c>
      <c r="N312" s="149" t="str">
        <f t="shared" si="168"/>
        <v/>
      </c>
      <c r="P312" s="149" t="str">
        <f t="shared" si="169"/>
        <v/>
      </c>
      <c r="Q312" s="149" t="str">
        <f t="shared" si="170"/>
        <v/>
      </c>
      <c r="R312" s="178" t="str">
        <f t="shared" si="171"/>
        <v/>
      </c>
      <c r="S312" s="113" t="str">
        <f t="shared" si="172"/>
        <v/>
      </c>
      <c r="T312" s="113" t="str">
        <f t="shared" si="157"/>
        <v/>
      </c>
      <c r="U312" s="114" t="str">
        <f t="shared" si="173"/>
        <v/>
      </c>
      <c r="V312" s="114" t="str">
        <f t="shared" si="174"/>
        <v/>
      </c>
      <c r="W312" s="114" t="str">
        <f t="shared" si="175"/>
        <v/>
      </c>
      <c r="X312" s="114"/>
      <c r="Y312" s="149" t="str">
        <f t="shared" si="176"/>
        <v/>
      </c>
      <c r="Z312" s="149" t="str">
        <f t="shared" si="177"/>
        <v/>
      </c>
      <c r="AA312" s="178" t="str">
        <f t="shared" si="178"/>
        <v/>
      </c>
      <c r="AB312" s="113" t="str">
        <f t="shared" si="179"/>
        <v/>
      </c>
      <c r="AC312" s="113" t="str">
        <f t="shared" si="158"/>
        <v/>
      </c>
      <c r="AD312" s="114" t="str">
        <f t="shared" si="180"/>
        <v/>
      </c>
      <c r="AE312" s="114" t="str">
        <f t="shared" si="181"/>
        <v/>
      </c>
      <c r="AF312" s="114" t="str">
        <f t="shared" si="182"/>
        <v/>
      </c>
      <c r="AG312" s="114"/>
      <c r="AH312" s="176" t="str">
        <f t="shared" si="183"/>
        <v/>
      </c>
      <c r="AI312" s="176" t="str">
        <f t="shared" si="184"/>
        <v/>
      </c>
      <c r="AJ312" s="178" t="str">
        <f t="shared" si="185"/>
        <v/>
      </c>
      <c r="AK312" s="113" t="str">
        <f t="shared" si="186"/>
        <v/>
      </c>
      <c r="AL312" s="113" t="str">
        <f t="shared" si="159"/>
        <v/>
      </c>
      <c r="AM312" s="114" t="str">
        <f t="shared" si="187"/>
        <v/>
      </c>
      <c r="AN312" s="114" t="str">
        <f t="shared" si="188"/>
        <v/>
      </c>
      <c r="AO312" s="114" t="str">
        <f t="shared" si="189"/>
        <v/>
      </c>
    </row>
    <row r="313" spans="1:41" x14ac:dyDescent="0.3">
      <c r="A313" s="146">
        <f t="shared" si="160"/>
        <v>291</v>
      </c>
      <c r="B313" s="147" t="str">
        <f t="shared" si="153"/>
        <v/>
      </c>
      <c r="C313" s="147" t="str">
        <f t="shared" si="152"/>
        <v/>
      </c>
      <c r="D313" s="149" t="str">
        <f t="shared" si="161"/>
        <v/>
      </c>
      <c r="E313" s="149" t="str">
        <f t="shared" si="162"/>
        <v/>
      </c>
      <c r="F313" s="149" t="str">
        <f t="shared" si="154"/>
        <v/>
      </c>
      <c r="G313" s="149" t="str">
        <f t="shared" si="155"/>
        <v/>
      </c>
      <c r="H313" s="149" t="str">
        <f t="shared" si="163"/>
        <v/>
      </c>
      <c r="I313" s="149" t="str">
        <f t="shared" si="164"/>
        <v/>
      </c>
      <c r="J313" s="147" t="str">
        <f t="shared" si="165"/>
        <v/>
      </c>
      <c r="K313" s="175" t="str">
        <f t="shared" si="156"/>
        <v/>
      </c>
      <c r="L313" s="149" t="str">
        <f t="shared" si="166"/>
        <v/>
      </c>
      <c r="M313" s="149" t="str">
        <f t="shared" si="167"/>
        <v/>
      </c>
      <c r="N313" s="149" t="str">
        <f t="shared" si="168"/>
        <v/>
      </c>
      <c r="P313" s="149" t="str">
        <f t="shared" si="169"/>
        <v/>
      </c>
      <c r="Q313" s="149" t="str">
        <f t="shared" si="170"/>
        <v/>
      </c>
      <c r="R313" s="178" t="str">
        <f t="shared" si="171"/>
        <v/>
      </c>
      <c r="S313" s="113" t="str">
        <f t="shared" si="172"/>
        <v/>
      </c>
      <c r="T313" s="113" t="str">
        <f t="shared" si="157"/>
        <v/>
      </c>
      <c r="U313" s="114" t="str">
        <f t="shared" si="173"/>
        <v/>
      </c>
      <c r="V313" s="114" t="str">
        <f t="shared" si="174"/>
        <v/>
      </c>
      <c r="W313" s="114" t="str">
        <f t="shared" si="175"/>
        <v/>
      </c>
      <c r="X313" s="114"/>
      <c r="Y313" s="149" t="str">
        <f t="shared" si="176"/>
        <v/>
      </c>
      <c r="Z313" s="149" t="str">
        <f t="shared" si="177"/>
        <v/>
      </c>
      <c r="AA313" s="178" t="str">
        <f t="shared" si="178"/>
        <v/>
      </c>
      <c r="AB313" s="113" t="str">
        <f t="shared" si="179"/>
        <v/>
      </c>
      <c r="AC313" s="113" t="str">
        <f t="shared" si="158"/>
        <v/>
      </c>
      <c r="AD313" s="114" t="str">
        <f t="shared" si="180"/>
        <v/>
      </c>
      <c r="AE313" s="114" t="str">
        <f t="shared" si="181"/>
        <v/>
      </c>
      <c r="AF313" s="114" t="str">
        <f t="shared" si="182"/>
        <v/>
      </c>
      <c r="AG313" s="114"/>
      <c r="AH313" s="176" t="str">
        <f t="shared" si="183"/>
        <v/>
      </c>
      <c r="AI313" s="176" t="str">
        <f t="shared" si="184"/>
        <v/>
      </c>
      <c r="AJ313" s="178" t="str">
        <f t="shared" si="185"/>
        <v/>
      </c>
      <c r="AK313" s="113" t="str">
        <f t="shared" si="186"/>
        <v/>
      </c>
      <c r="AL313" s="113" t="str">
        <f t="shared" si="159"/>
        <v/>
      </c>
      <c r="AM313" s="114" t="str">
        <f t="shared" si="187"/>
        <v/>
      </c>
      <c r="AN313" s="114" t="str">
        <f t="shared" si="188"/>
        <v/>
      </c>
      <c r="AO313" s="114" t="str">
        <f t="shared" si="189"/>
        <v/>
      </c>
    </row>
    <row r="314" spans="1:41" x14ac:dyDescent="0.3">
      <c r="A314" s="146">
        <f t="shared" si="160"/>
        <v>292</v>
      </c>
      <c r="B314" s="147" t="str">
        <f t="shared" si="153"/>
        <v/>
      </c>
      <c r="C314" s="147" t="str">
        <f t="shared" si="152"/>
        <v/>
      </c>
      <c r="D314" s="149" t="str">
        <f t="shared" si="161"/>
        <v/>
      </c>
      <c r="E314" s="149" t="str">
        <f t="shared" si="162"/>
        <v/>
      </c>
      <c r="F314" s="149" t="str">
        <f t="shared" si="154"/>
        <v/>
      </c>
      <c r="G314" s="149" t="str">
        <f t="shared" si="155"/>
        <v/>
      </c>
      <c r="H314" s="149" t="str">
        <f t="shared" si="163"/>
        <v/>
      </c>
      <c r="I314" s="149" t="str">
        <f t="shared" si="164"/>
        <v/>
      </c>
      <c r="J314" s="147" t="str">
        <f t="shared" si="165"/>
        <v/>
      </c>
      <c r="K314" s="175" t="str">
        <f t="shared" si="156"/>
        <v/>
      </c>
      <c r="L314" s="149" t="str">
        <f t="shared" si="166"/>
        <v/>
      </c>
      <c r="M314" s="149" t="str">
        <f t="shared" si="167"/>
        <v/>
      </c>
      <c r="N314" s="149" t="str">
        <f t="shared" si="168"/>
        <v/>
      </c>
      <c r="P314" s="149" t="str">
        <f t="shared" si="169"/>
        <v/>
      </c>
      <c r="Q314" s="149" t="str">
        <f t="shared" si="170"/>
        <v/>
      </c>
      <c r="R314" s="178" t="str">
        <f t="shared" si="171"/>
        <v/>
      </c>
      <c r="S314" s="113" t="str">
        <f t="shared" si="172"/>
        <v/>
      </c>
      <c r="T314" s="113" t="str">
        <f t="shared" si="157"/>
        <v/>
      </c>
      <c r="U314" s="114" t="str">
        <f t="shared" si="173"/>
        <v/>
      </c>
      <c r="V314" s="114" t="str">
        <f t="shared" si="174"/>
        <v/>
      </c>
      <c r="W314" s="114" t="str">
        <f t="shared" si="175"/>
        <v/>
      </c>
      <c r="X314" s="114"/>
      <c r="Y314" s="149" t="str">
        <f t="shared" si="176"/>
        <v/>
      </c>
      <c r="Z314" s="149" t="str">
        <f t="shared" si="177"/>
        <v/>
      </c>
      <c r="AA314" s="178" t="str">
        <f t="shared" si="178"/>
        <v/>
      </c>
      <c r="AB314" s="113" t="str">
        <f t="shared" si="179"/>
        <v/>
      </c>
      <c r="AC314" s="113" t="str">
        <f t="shared" si="158"/>
        <v/>
      </c>
      <c r="AD314" s="114" t="str">
        <f t="shared" si="180"/>
        <v/>
      </c>
      <c r="AE314" s="114" t="str">
        <f t="shared" si="181"/>
        <v/>
      </c>
      <c r="AF314" s="114" t="str">
        <f t="shared" si="182"/>
        <v/>
      </c>
      <c r="AG314" s="114"/>
      <c r="AH314" s="176" t="str">
        <f t="shared" si="183"/>
        <v/>
      </c>
      <c r="AI314" s="176" t="str">
        <f t="shared" si="184"/>
        <v/>
      </c>
      <c r="AJ314" s="178" t="str">
        <f t="shared" si="185"/>
        <v/>
      </c>
      <c r="AK314" s="113" t="str">
        <f t="shared" si="186"/>
        <v/>
      </c>
      <c r="AL314" s="113" t="str">
        <f t="shared" si="159"/>
        <v/>
      </c>
      <c r="AM314" s="114" t="str">
        <f t="shared" si="187"/>
        <v/>
      </c>
      <c r="AN314" s="114" t="str">
        <f t="shared" si="188"/>
        <v/>
      </c>
      <c r="AO314" s="114" t="str">
        <f t="shared" si="189"/>
        <v/>
      </c>
    </row>
    <row r="315" spans="1:41" x14ac:dyDescent="0.3">
      <c r="A315" s="146">
        <f t="shared" si="160"/>
        <v>293</v>
      </c>
      <c r="B315" s="147" t="str">
        <f t="shared" si="153"/>
        <v/>
      </c>
      <c r="C315" s="147" t="str">
        <f t="shared" si="152"/>
        <v/>
      </c>
      <c r="D315" s="149" t="str">
        <f t="shared" si="161"/>
        <v/>
      </c>
      <c r="E315" s="149" t="str">
        <f t="shared" si="162"/>
        <v/>
      </c>
      <c r="F315" s="149" t="str">
        <f t="shared" si="154"/>
        <v/>
      </c>
      <c r="G315" s="149" t="str">
        <f t="shared" si="155"/>
        <v/>
      </c>
      <c r="H315" s="149" t="str">
        <f t="shared" si="163"/>
        <v/>
      </c>
      <c r="I315" s="149" t="str">
        <f t="shared" si="164"/>
        <v/>
      </c>
      <c r="J315" s="147" t="str">
        <f t="shared" si="165"/>
        <v/>
      </c>
      <c r="K315" s="175" t="str">
        <f t="shared" si="156"/>
        <v/>
      </c>
      <c r="L315" s="149" t="str">
        <f t="shared" si="166"/>
        <v/>
      </c>
      <c r="M315" s="149" t="str">
        <f t="shared" si="167"/>
        <v/>
      </c>
      <c r="N315" s="149" t="str">
        <f t="shared" si="168"/>
        <v/>
      </c>
      <c r="P315" s="149" t="str">
        <f t="shared" si="169"/>
        <v/>
      </c>
      <c r="Q315" s="149" t="str">
        <f t="shared" si="170"/>
        <v/>
      </c>
      <c r="R315" s="178" t="str">
        <f t="shared" si="171"/>
        <v/>
      </c>
      <c r="S315" s="113" t="str">
        <f t="shared" si="172"/>
        <v/>
      </c>
      <c r="T315" s="113" t="str">
        <f t="shared" si="157"/>
        <v/>
      </c>
      <c r="U315" s="114" t="str">
        <f t="shared" si="173"/>
        <v/>
      </c>
      <c r="V315" s="114" t="str">
        <f t="shared" si="174"/>
        <v/>
      </c>
      <c r="W315" s="114" t="str">
        <f t="shared" si="175"/>
        <v/>
      </c>
      <c r="X315" s="114"/>
      <c r="Y315" s="149" t="str">
        <f t="shared" si="176"/>
        <v/>
      </c>
      <c r="Z315" s="149" t="str">
        <f t="shared" si="177"/>
        <v/>
      </c>
      <c r="AA315" s="178" t="str">
        <f t="shared" si="178"/>
        <v/>
      </c>
      <c r="AB315" s="113" t="str">
        <f t="shared" si="179"/>
        <v/>
      </c>
      <c r="AC315" s="113" t="str">
        <f t="shared" si="158"/>
        <v/>
      </c>
      <c r="AD315" s="114" t="str">
        <f t="shared" si="180"/>
        <v/>
      </c>
      <c r="AE315" s="114" t="str">
        <f t="shared" si="181"/>
        <v/>
      </c>
      <c r="AF315" s="114" t="str">
        <f t="shared" si="182"/>
        <v/>
      </c>
      <c r="AG315" s="114"/>
      <c r="AH315" s="176" t="str">
        <f t="shared" si="183"/>
        <v/>
      </c>
      <c r="AI315" s="176" t="str">
        <f t="shared" si="184"/>
        <v/>
      </c>
      <c r="AJ315" s="178" t="str">
        <f t="shared" si="185"/>
        <v/>
      </c>
      <c r="AK315" s="113" t="str">
        <f t="shared" si="186"/>
        <v/>
      </c>
      <c r="AL315" s="113" t="str">
        <f t="shared" si="159"/>
        <v/>
      </c>
      <c r="AM315" s="114" t="str">
        <f t="shared" si="187"/>
        <v/>
      </c>
      <c r="AN315" s="114" t="str">
        <f t="shared" si="188"/>
        <v/>
      </c>
      <c r="AO315" s="114" t="str">
        <f t="shared" si="189"/>
        <v/>
      </c>
    </row>
    <row r="316" spans="1:41" x14ac:dyDescent="0.3">
      <c r="A316" s="146">
        <f t="shared" si="160"/>
        <v>294</v>
      </c>
      <c r="B316" s="147" t="str">
        <f t="shared" si="153"/>
        <v/>
      </c>
      <c r="C316" s="147" t="str">
        <f t="shared" si="152"/>
        <v/>
      </c>
      <c r="D316" s="149" t="str">
        <f t="shared" si="161"/>
        <v/>
      </c>
      <c r="E316" s="149" t="str">
        <f t="shared" si="162"/>
        <v/>
      </c>
      <c r="F316" s="149" t="str">
        <f t="shared" si="154"/>
        <v/>
      </c>
      <c r="G316" s="149" t="str">
        <f t="shared" si="155"/>
        <v/>
      </c>
      <c r="H316" s="149" t="str">
        <f t="shared" si="163"/>
        <v/>
      </c>
      <c r="I316" s="149" t="str">
        <f t="shared" si="164"/>
        <v/>
      </c>
      <c r="J316" s="147" t="str">
        <f t="shared" si="165"/>
        <v/>
      </c>
      <c r="K316" s="175" t="str">
        <f t="shared" si="156"/>
        <v/>
      </c>
      <c r="L316" s="149" t="str">
        <f t="shared" si="166"/>
        <v/>
      </c>
      <c r="M316" s="149" t="str">
        <f t="shared" si="167"/>
        <v/>
      </c>
      <c r="N316" s="149" t="str">
        <f t="shared" si="168"/>
        <v/>
      </c>
      <c r="P316" s="149" t="str">
        <f t="shared" si="169"/>
        <v/>
      </c>
      <c r="Q316" s="149" t="str">
        <f t="shared" si="170"/>
        <v/>
      </c>
      <c r="R316" s="178" t="str">
        <f t="shared" si="171"/>
        <v/>
      </c>
      <c r="S316" s="113" t="str">
        <f t="shared" si="172"/>
        <v/>
      </c>
      <c r="T316" s="113" t="str">
        <f t="shared" si="157"/>
        <v/>
      </c>
      <c r="U316" s="114" t="str">
        <f t="shared" si="173"/>
        <v/>
      </c>
      <c r="V316" s="114" t="str">
        <f t="shared" si="174"/>
        <v/>
      </c>
      <c r="W316" s="114" t="str">
        <f t="shared" si="175"/>
        <v/>
      </c>
      <c r="X316" s="114"/>
      <c r="Y316" s="149" t="str">
        <f t="shared" si="176"/>
        <v/>
      </c>
      <c r="Z316" s="149" t="str">
        <f t="shared" si="177"/>
        <v/>
      </c>
      <c r="AA316" s="178" t="str">
        <f t="shared" si="178"/>
        <v/>
      </c>
      <c r="AB316" s="113" t="str">
        <f t="shared" si="179"/>
        <v/>
      </c>
      <c r="AC316" s="113" t="str">
        <f t="shared" si="158"/>
        <v/>
      </c>
      <c r="AD316" s="114" t="str">
        <f t="shared" si="180"/>
        <v/>
      </c>
      <c r="AE316" s="114" t="str">
        <f t="shared" si="181"/>
        <v/>
      </c>
      <c r="AF316" s="114" t="str">
        <f t="shared" si="182"/>
        <v/>
      </c>
      <c r="AG316" s="114"/>
      <c r="AH316" s="176" t="str">
        <f t="shared" si="183"/>
        <v/>
      </c>
      <c r="AI316" s="176" t="str">
        <f t="shared" si="184"/>
        <v/>
      </c>
      <c r="AJ316" s="178" t="str">
        <f t="shared" si="185"/>
        <v/>
      </c>
      <c r="AK316" s="113" t="str">
        <f t="shared" si="186"/>
        <v/>
      </c>
      <c r="AL316" s="113" t="str">
        <f t="shared" si="159"/>
        <v/>
      </c>
      <c r="AM316" s="114" t="str">
        <f t="shared" si="187"/>
        <v/>
      </c>
      <c r="AN316" s="114" t="str">
        <f t="shared" si="188"/>
        <v/>
      </c>
      <c r="AO316" s="114" t="str">
        <f t="shared" si="189"/>
        <v/>
      </c>
    </row>
    <row r="317" spans="1:41" x14ac:dyDescent="0.3">
      <c r="A317" s="146">
        <f t="shared" si="160"/>
        <v>295</v>
      </c>
      <c r="B317" s="147" t="str">
        <f t="shared" si="153"/>
        <v/>
      </c>
      <c r="C317" s="147" t="str">
        <f t="shared" si="152"/>
        <v/>
      </c>
      <c r="D317" s="149" t="str">
        <f t="shared" si="161"/>
        <v/>
      </c>
      <c r="E317" s="149" t="str">
        <f t="shared" si="162"/>
        <v/>
      </c>
      <c r="F317" s="149" t="str">
        <f t="shared" si="154"/>
        <v/>
      </c>
      <c r="G317" s="149" t="str">
        <f t="shared" si="155"/>
        <v/>
      </c>
      <c r="H317" s="149" t="str">
        <f t="shared" si="163"/>
        <v/>
      </c>
      <c r="I317" s="149" t="str">
        <f t="shared" si="164"/>
        <v/>
      </c>
      <c r="J317" s="147" t="str">
        <f t="shared" si="165"/>
        <v/>
      </c>
      <c r="K317" s="175" t="str">
        <f t="shared" si="156"/>
        <v/>
      </c>
      <c r="L317" s="149" t="str">
        <f t="shared" si="166"/>
        <v/>
      </c>
      <c r="M317" s="149" t="str">
        <f t="shared" si="167"/>
        <v/>
      </c>
      <c r="N317" s="149" t="str">
        <f t="shared" si="168"/>
        <v/>
      </c>
      <c r="P317" s="149" t="str">
        <f t="shared" si="169"/>
        <v/>
      </c>
      <c r="Q317" s="149" t="str">
        <f t="shared" si="170"/>
        <v/>
      </c>
      <c r="R317" s="178" t="str">
        <f t="shared" si="171"/>
        <v/>
      </c>
      <c r="S317" s="113" t="str">
        <f t="shared" si="172"/>
        <v/>
      </c>
      <c r="T317" s="113" t="str">
        <f t="shared" si="157"/>
        <v/>
      </c>
      <c r="U317" s="114" t="str">
        <f t="shared" si="173"/>
        <v/>
      </c>
      <c r="V317" s="114" t="str">
        <f t="shared" si="174"/>
        <v/>
      </c>
      <c r="W317" s="114" t="str">
        <f t="shared" si="175"/>
        <v/>
      </c>
      <c r="X317" s="114"/>
      <c r="Y317" s="149" t="str">
        <f t="shared" si="176"/>
        <v/>
      </c>
      <c r="Z317" s="149" t="str">
        <f t="shared" si="177"/>
        <v/>
      </c>
      <c r="AA317" s="178" t="str">
        <f t="shared" si="178"/>
        <v/>
      </c>
      <c r="AB317" s="113" t="str">
        <f t="shared" si="179"/>
        <v/>
      </c>
      <c r="AC317" s="113" t="str">
        <f t="shared" si="158"/>
        <v/>
      </c>
      <c r="AD317" s="114" t="str">
        <f t="shared" si="180"/>
        <v/>
      </c>
      <c r="AE317" s="114" t="str">
        <f t="shared" si="181"/>
        <v/>
      </c>
      <c r="AF317" s="114" t="str">
        <f t="shared" si="182"/>
        <v/>
      </c>
      <c r="AG317" s="114"/>
      <c r="AH317" s="176" t="str">
        <f t="shared" si="183"/>
        <v/>
      </c>
      <c r="AI317" s="176" t="str">
        <f t="shared" si="184"/>
        <v/>
      </c>
      <c r="AJ317" s="178" t="str">
        <f t="shared" si="185"/>
        <v/>
      </c>
      <c r="AK317" s="113" t="str">
        <f t="shared" si="186"/>
        <v/>
      </c>
      <c r="AL317" s="113" t="str">
        <f t="shared" si="159"/>
        <v/>
      </c>
      <c r="AM317" s="114" t="str">
        <f t="shared" si="187"/>
        <v/>
      </c>
      <c r="AN317" s="114" t="str">
        <f t="shared" si="188"/>
        <v/>
      </c>
      <c r="AO317" s="114" t="str">
        <f t="shared" si="189"/>
        <v/>
      </c>
    </row>
    <row r="318" spans="1:41" x14ac:dyDescent="0.3">
      <c r="A318" s="146">
        <f t="shared" si="160"/>
        <v>296</v>
      </c>
      <c r="B318" s="147" t="str">
        <f t="shared" si="153"/>
        <v/>
      </c>
      <c r="C318" s="147" t="str">
        <f t="shared" si="152"/>
        <v/>
      </c>
      <c r="D318" s="149" t="str">
        <f t="shared" si="161"/>
        <v/>
      </c>
      <c r="E318" s="149" t="str">
        <f t="shared" si="162"/>
        <v/>
      </c>
      <c r="F318" s="149" t="str">
        <f t="shared" si="154"/>
        <v/>
      </c>
      <c r="G318" s="149" t="str">
        <f t="shared" si="155"/>
        <v/>
      </c>
      <c r="H318" s="149" t="str">
        <f t="shared" si="163"/>
        <v/>
      </c>
      <c r="I318" s="149" t="str">
        <f t="shared" si="164"/>
        <v/>
      </c>
      <c r="J318" s="147" t="str">
        <f t="shared" si="165"/>
        <v/>
      </c>
      <c r="K318" s="175" t="str">
        <f t="shared" si="156"/>
        <v/>
      </c>
      <c r="L318" s="149" t="str">
        <f t="shared" si="166"/>
        <v/>
      </c>
      <c r="M318" s="149" t="str">
        <f t="shared" si="167"/>
        <v/>
      </c>
      <c r="N318" s="149" t="str">
        <f t="shared" si="168"/>
        <v/>
      </c>
      <c r="P318" s="149" t="str">
        <f t="shared" si="169"/>
        <v/>
      </c>
      <c r="Q318" s="149" t="str">
        <f t="shared" si="170"/>
        <v/>
      </c>
      <c r="R318" s="178" t="str">
        <f t="shared" si="171"/>
        <v/>
      </c>
      <c r="S318" s="113" t="str">
        <f t="shared" si="172"/>
        <v/>
      </c>
      <c r="T318" s="113" t="str">
        <f t="shared" si="157"/>
        <v/>
      </c>
      <c r="U318" s="114" t="str">
        <f t="shared" si="173"/>
        <v/>
      </c>
      <c r="V318" s="114" t="str">
        <f t="shared" si="174"/>
        <v/>
      </c>
      <c r="W318" s="114" t="str">
        <f t="shared" si="175"/>
        <v/>
      </c>
      <c r="X318" s="114"/>
      <c r="Y318" s="149" t="str">
        <f t="shared" si="176"/>
        <v/>
      </c>
      <c r="Z318" s="149" t="str">
        <f t="shared" si="177"/>
        <v/>
      </c>
      <c r="AA318" s="178" t="str">
        <f t="shared" si="178"/>
        <v/>
      </c>
      <c r="AB318" s="113" t="str">
        <f t="shared" si="179"/>
        <v/>
      </c>
      <c r="AC318" s="113" t="str">
        <f t="shared" si="158"/>
        <v/>
      </c>
      <c r="AD318" s="114" t="str">
        <f t="shared" si="180"/>
        <v/>
      </c>
      <c r="AE318" s="114" t="str">
        <f t="shared" si="181"/>
        <v/>
      </c>
      <c r="AF318" s="114" t="str">
        <f t="shared" si="182"/>
        <v/>
      </c>
      <c r="AG318" s="114"/>
      <c r="AH318" s="176" t="str">
        <f t="shared" si="183"/>
        <v/>
      </c>
      <c r="AI318" s="176" t="str">
        <f t="shared" si="184"/>
        <v/>
      </c>
      <c r="AJ318" s="178" t="str">
        <f t="shared" si="185"/>
        <v/>
      </c>
      <c r="AK318" s="113" t="str">
        <f t="shared" si="186"/>
        <v/>
      </c>
      <c r="AL318" s="113" t="str">
        <f t="shared" si="159"/>
        <v/>
      </c>
      <c r="AM318" s="114" t="str">
        <f t="shared" si="187"/>
        <v/>
      </c>
      <c r="AN318" s="114" t="str">
        <f t="shared" si="188"/>
        <v/>
      </c>
      <c r="AO318" s="114" t="str">
        <f t="shared" si="189"/>
        <v/>
      </c>
    </row>
    <row r="319" spans="1:41" x14ac:dyDescent="0.3">
      <c r="A319" s="146">
        <f t="shared" si="160"/>
        <v>297</v>
      </c>
      <c r="B319" s="147" t="str">
        <f t="shared" si="153"/>
        <v/>
      </c>
      <c r="C319" s="147" t="str">
        <f t="shared" si="152"/>
        <v/>
      </c>
      <c r="D319" s="149" t="str">
        <f t="shared" si="161"/>
        <v/>
      </c>
      <c r="E319" s="149" t="str">
        <f t="shared" si="162"/>
        <v/>
      </c>
      <c r="F319" s="149" t="str">
        <f t="shared" si="154"/>
        <v/>
      </c>
      <c r="G319" s="149" t="str">
        <f t="shared" si="155"/>
        <v/>
      </c>
      <c r="H319" s="149" t="str">
        <f t="shared" si="163"/>
        <v/>
      </c>
      <c r="I319" s="149" t="str">
        <f t="shared" si="164"/>
        <v/>
      </c>
      <c r="J319" s="147" t="str">
        <f t="shared" si="165"/>
        <v/>
      </c>
      <c r="K319" s="175" t="str">
        <f t="shared" si="156"/>
        <v/>
      </c>
      <c r="L319" s="149" t="str">
        <f t="shared" si="166"/>
        <v/>
      </c>
      <c r="M319" s="149" t="str">
        <f t="shared" si="167"/>
        <v/>
      </c>
      <c r="N319" s="149" t="str">
        <f t="shared" si="168"/>
        <v/>
      </c>
      <c r="P319" s="149" t="str">
        <f t="shared" si="169"/>
        <v/>
      </c>
      <c r="Q319" s="149" t="str">
        <f t="shared" si="170"/>
        <v/>
      </c>
      <c r="R319" s="178" t="str">
        <f t="shared" si="171"/>
        <v/>
      </c>
      <c r="S319" s="113" t="str">
        <f t="shared" si="172"/>
        <v/>
      </c>
      <c r="T319" s="113" t="str">
        <f t="shared" si="157"/>
        <v/>
      </c>
      <c r="U319" s="114" t="str">
        <f t="shared" si="173"/>
        <v/>
      </c>
      <c r="V319" s="114" t="str">
        <f t="shared" si="174"/>
        <v/>
      </c>
      <c r="W319" s="114" t="str">
        <f t="shared" si="175"/>
        <v/>
      </c>
      <c r="X319" s="114"/>
      <c r="Y319" s="149" t="str">
        <f t="shared" si="176"/>
        <v/>
      </c>
      <c r="Z319" s="149" t="str">
        <f t="shared" si="177"/>
        <v/>
      </c>
      <c r="AA319" s="178" t="str">
        <f t="shared" si="178"/>
        <v/>
      </c>
      <c r="AB319" s="113" t="str">
        <f t="shared" si="179"/>
        <v/>
      </c>
      <c r="AC319" s="113" t="str">
        <f t="shared" si="158"/>
        <v/>
      </c>
      <c r="AD319" s="114" t="str">
        <f t="shared" si="180"/>
        <v/>
      </c>
      <c r="AE319" s="114" t="str">
        <f t="shared" si="181"/>
        <v/>
      </c>
      <c r="AF319" s="114" t="str">
        <f t="shared" si="182"/>
        <v/>
      </c>
      <c r="AG319" s="114"/>
      <c r="AH319" s="176" t="str">
        <f t="shared" si="183"/>
        <v/>
      </c>
      <c r="AI319" s="176" t="str">
        <f t="shared" si="184"/>
        <v/>
      </c>
      <c r="AJ319" s="178" t="str">
        <f t="shared" si="185"/>
        <v/>
      </c>
      <c r="AK319" s="113" t="str">
        <f t="shared" si="186"/>
        <v/>
      </c>
      <c r="AL319" s="113" t="str">
        <f t="shared" si="159"/>
        <v/>
      </c>
      <c r="AM319" s="114" t="str">
        <f t="shared" si="187"/>
        <v/>
      </c>
      <c r="AN319" s="114" t="str">
        <f t="shared" si="188"/>
        <v/>
      </c>
      <c r="AO319" s="114" t="str">
        <f t="shared" si="189"/>
        <v/>
      </c>
    </row>
    <row r="320" spans="1:41" x14ac:dyDescent="0.3">
      <c r="A320" s="146">
        <f t="shared" si="160"/>
        <v>298</v>
      </c>
      <c r="B320" s="147" t="str">
        <f t="shared" si="153"/>
        <v/>
      </c>
      <c r="C320" s="147" t="str">
        <f t="shared" si="152"/>
        <v/>
      </c>
      <c r="D320" s="149" t="str">
        <f t="shared" si="161"/>
        <v/>
      </c>
      <c r="E320" s="149" t="str">
        <f t="shared" si="162"/>
        <v/>
      </c>
      <c r="F320" s="149" t="str">
        <f t="shared" si="154"/>
        <v/>
      </c>
      <c r="G320" s="149" t="str">
        <f t="shared" si="155"/>
        <v/>
      </c>
      <c r="H320" s="149" t="str">
        <f t="shared" si="163"/>
        <v/>
      </c>
      <c r="I320" s="149" t="str">
        <f t="shared" si="164"/>
        <v/>
      </c>
      <c r="J320" s="147" t="str">
        <f t="shared" si="165"/>
        <v/>
      </c>
      <c r="K320" s="175" t="str">
        <f t="shared" si="156"/>
        <v/>
      </c>
      <c r="L320" s="149" t="str">
        <f t="shared" si="166"/>
        <v/>
      </c>
      <c r="M320" s="149" t="str">
        <f t="shared" si="167"/>
        <v/>
      </c>
      <c r="N320" s="149" t="str">
        <f t="shared" si="168"/>
        <v/>
      </c>
      <c r="P320" s="149" t="str">
        <f t="shared" si="169"/>
        <v/>
      </c>
      <c r="Q320" s="149" t="str">
        <f t="shared" si="170"/>
        <v/>
      </c>
      <c r="R320" s="178" t="str">
        <f t="shared" si="171"/>
        <v/>
      </c>
      <c r="S320" s="113" t="str">
        <f t="shared" si="172"/>
        <v/>
      </c>
      <c r="T320" s="113" t="str">
        <f t="shared" si="157"/>
        <v/>
      </c>
      <c r="U320" s="114" t="str">
        <f t="shared" si="173"/>
        <v/>
      </c>
      <c r="V320" s="114" t="str">
        <f t="shared" si="174"/>
        <v/>
      </c>
      <c r="W320" s="114" t="str">
        <f t="shared" si="175"/>
        <v/>
      </c>
      <c r="X320" s="114"/>
      <c r="Y320" s="149" t="str">
        <f t="shared" si="176"/>
        <v/>
      </c>
      <c r="Z320" s="149" t="str">
        <f t="shared" si="177"/>
        <v/>
      </c>
      <c r="AA320" s="178" t="str">
        <f t="shared" si="178"/>
        <v/>
      </c>
      <c r="AB320" s="113" t="str">
        <f t="shared" si="179"/>
        <v/>
      </c>
      <c r="AC320" s="113" t="str">
        <f t="shared" si="158"/>
        <v/>
      </c>
      <c r="AD320" s="114" t="str">
        <f t="shared" si="180"/>
        <v/>
      </c>
      <c r="AE320" s="114" t="str">
        <f t="shared" si="181"/>
        <v/>
      </c>
      <c r="AF320" s="114" t="str">
        <f t="shared" si="182"/>
        <v/>
      </c>
      <c r="AG320" s="114"/>
      <c r="AH320" s="176" t="str">
        <f t="shared" si="183"/>
        <v/>
      </c>
      <c r="AI320" s="176" t="str">
        <f t="shared" si="184"/>
        <v/>
      </c>
      <c r="AJ320" s="178" t="str">
        <f t="shared" si="185"/>
        <v/>
      </c>
      <c r="AK320" s="113" t="str">
        <f t="shared" si="186"/>
        <v/>
      </c>
      <c r="AL320" s="113" t="str">
        <f t="shared" si="159"/>
        <v/>
      </c>
      <c r="AM320" s="114" t="str">
        <f t="shared" si="187"/>
        <v/>
      </c>
      <c r="AN320" s="114" t="str">
        <f t="shared" si="188"/>
        <v/>
      </c>
      <c r="AO320" s="114" t="str">
        <f t="shared" si="189"/>
        <v/>
      </c>
    </row>
    <row r="321" spans="1:41" x14ac:dyDescent="0.3">
      <c r="A321" s="146">
        <f t="shared" si="160"/>
        <v>299</v>
      </c>
      <c r="B321" s="147" t="str">
        <f t="shared" si="153"/>
        <v/>
      </c>
      <c r="C321" s="147" t="str">
        <f t="shared" si="152"/>
        <v/>
      </c>
      <c r="D321" s="149" t="str">
        <f t="shared" si="161"/>
        <v/>
      </c>
      <c r="E321" s="149" t="str">
        <f t="shared" si="162"/>
        <v/>
      </c>
      <c r="F321" s="149" t="str">
        <f t="shared" si="154"/>
        <v/>
      </c>
      <c r="G321" s="149" t="str">
        <f t="shared" si="155"/>
        <v/>
      </c>
      <c r="H321" s="149" t="str">
        <f t="shared" si="163"/>
        <v/>
      </c>
      <c r="I321" s="149" t="str">
        <f t="shared" si="164"/>
        <v/>
      </c>
      <c r="J321" s="147" t="str">
        <f t="shared" si="165"/>
        <v/>
      </c>
      <c r="K321" s="175" t="str">
        <f t="shared" si="156"/>
        <v/>
      </c>
      <c r="L321" s="149" t="str">
        <f t="shared" si="166"/>
        <v/>
      </c>
      <c r="M321" s="149" t="str">
        <f t="shared" si="167"/>
        <v/>
      </c>
      <c r="N321" s="149" t="str">
        <f t="shared" si="168"/>
        <v/>
      </c>
      <c r="P321" s="149" t="str">
        <f t="shared" si="169"/>
        <v/>
      </c>
      <c r="Q321" s="149" t="str">
        <f t="shared" si="170"/>
        <v/>
      </c>
      <c r="R321" s="178" t="str">
        <f t="shared" si="171"/>
        <v/>
      </c>
      <c r="S321" s="113" t="str">
        <f t="shared" si="172"/>
        <v/>
      </c>
      <c r="T321" s="113" t="str">
        <f t="shared" si="157"/>
        <v/>
      </c>
      <c r="U321" s="114" t="str">
        <f t="shared" si="173"/>
        <v/>
      </c>
      <c r="V321" s="114" t="str">
        <f t="shared" si="174"/>
        <v/>
      </c>
      <c r="W321" s="114" t="str">
        <f t="shared" si="175"/>
        <v/>
      </c>
      <c r="X321" s="114"/>
      <c r="Y321" s="149" t="str">
        <f t="shared" si="176"/>
        <v/>
      </c>
      <c r="Z321" s="149" t="str">
        <f t="shared" si="177"/>
        <v/>
      </c>
      <c r="AA321" s="178" t="str">
        <f t="shared" si="178"/>
        <v/>
      </c>
      <c r="AB321" s="113" t="str">
        <f t="shared" si="179"/>
        <v/>
      </c>
      <c r="AC321" s="113" t="str">
        <f t="shared" si="158"/>
        <v/>
      </c>
      <c r="AD321" s="114" t="str">
        <f t="shared" si="180"/>
        <v/>
      </c>
      <c r="AE321" s="114" t="str">
        <f t="shared" si="181"/>
        <v/>
      </c>
      <c r="AF321" s="114" t="str">
        <f t="shared" si="182"/>
        <v/>
      </c>
      <c r="AG321" s="114"/>
      <c r="AH321" s="176" t="str">
        <f t="shared" si="183"/>
        <v/>
      </c>
      <c r="AI321" s="176" t="str">
        <f t="shared" si="184"/>
        <v/>
      </c>
      <c r="AJ321" s="178" t="str">
        <f t="shared" si="185"/>
        <v/>
      </c>
      <c r="AK321" s="113" t="str">
        <f t="shared" si="186"/>
        <v/>
      </c>
      <c r="AL321" s="113" t="str">
        <f t="shared" si="159"/>
        <v/>
      </c>
      <c r="AM321" s="114" t="str">
        <f t="shared" si="187"/>
        <v/>
      </c>
      <c r="AN321" s="114" t="str">
        <f t="shared" si="188"/>
        <v/>
      </c>
      <c r="AO321" s="114" t="str">
        <f t="shared" si="189"/>
        <v/>
      </c>
    </row>
    <row r="322" spans="1:41" x14ac:dyDescent="0.3">
      <c r="A322" s="146">
        <f t="shared" si="160"/>
        <v>300</v>
      </c>
      <c r="B322" s="147" t="str">
        <f t="shared" si="153"/>
        <v/>
      </c>
      <c r="C322" s="147" t="str">
        <f t="shared" si="152"/>
        <v/>
      </c>
      <c r="D322" s="149" t="str">
        <f t="shared" si="161"/>
        <v/>
      </c>
      <c r="E322" s="149" t="str">
        <f t="shared" si="162"/>
        <v/>
      </c>
      <c r="F322" s="149" t="str">
        <f t="shared" si="154"/>
        <v/>
      </c>
      <c r="G322" s="149" t="str">
        <f t="shared" si="155"/>
        <v/>
      </c>
      <c r="H322" s="149" t="str">
        <f t="shared" si="163"/>
        <v/>
      </c>
      <c r="I322" s="149" t="str">
        <f t="shared" si="164"/>
        <v/>
      </c>
      <c r="J322" s="147" t="str">
        <f t="shared" si="165"/>
        <v/>
      </c>
      <c r="K322" s="175" t="str">
        <f t="shared" si="156"/>
        <v/>
      </c>
      <c r="L322" s="149" t="str">
        <f t="shared" si="166"/>
        <v/>
      </c>
      <c r="M322" s="149" t="str">
        <f t="shared" si="167"/>
        <v/>
      </c>
      <c r="N322" s="149" t="str">
        <f t="shared" si="168"/>
        <v/>
      </c>
      <c r="P322" s="149" t="str">
        <f t="shared" si="169"/>
        <v/>
      </c>
      <c r="Q322" s="149" t="str">
        <f t="shared" si="170"/>
        <v/>
      </c>
      <c r="R322" s="178" t="str">
        <f t="shared" si="171"/>
        <v/>
      </c>
      <c r="S322" s="113" t="str">
        <f t="shared" si="172"/>
        <v/>
      </c>
      <c r="T322" s="113" t="str">
        <f t="shared" si="157"/>
        <v/>
      </c>
      <c r="U322" s="114" t="str">
        <f t="shared" si="173"/>
        <v/>
      </c>
      <c r="V322" s="114" t="str">
        <f t="shared" si="174"/>
        <v/>
      </c>
      <c r="W322" s="114" t="str">
        <f t="shared" si="175"/>
        <v/>
      </c>
      <c r="X322" s="114"/>
      <c r="Y322" s="149" t="str">
        <f t="shared" si="176"/>
        <v/>
      </c>
      <c r="Z322" s="149" t="str">
        <f t="shared" si="177"/>
        <v/>
      </c>
      <c r="AA322" s="178" t="str">
        <f t="shared" si="178"/>
        <v/>
      </c>
      <c r="AB322" s="113" t="str">
        <f t="shared" si="179"/>
        <v/>
      </c>
      <c r="AC322" s="113" t="str">
        <f t="shared" si="158"/>
        <v/>
      </c>
      <c r="AD322" s="114" t="str">
        <f t="shared" si="180"/>
        <v/>
      </c>
      <c r="AE322" s="114" t="str">
        <f t="shared" si="181"/>
        <v/>
      </c>
      <c r="AF322" s="114" t="str">
        <f t="shared" si="182"/>
        <v/>
      </c>
      <c r="AG322" s="114"/>
      <c r="AH322" s="176" t="str">
        <f t="shared" si="183"/>
        <v/>
      </c>
      <c r="AI322" s="176" t="str">
        <f t="shared" si="184"/>
        <v/>
      </c>
      <c r="AJ322" s="178" t="str">
        <f t="shared" si="185"/>
        <v/>
      </c>
      <c r="AK322" s="113" t="str">
        <f t="shared" si="186"/>
        <v/>
      </c>
      <c r="AL322" s="113" t="str">
        <f t="shared" si="159"/>
        <v/>
      </c>
      <c r="AM322" s="114" t="str">
        <f t="shared" si="187"/>
        <v/>
      </c>
      <c r="AN322" s="114" t="str">
        <f t="shared" si="188"/>
        <v/>
      </c>
      <c r="AO322" s="114" t="str">
        <f t="shared" si="189"/>
        <v/>
      </c>
    </row>
    <row r="323" spans="1:41" x14ac:dyDescent="0.3">
      <c r="A323" s="146">
        <f t="shared" si="160"/>
        <v>301</v>
      </c>
      <c r="B323" s="147" t="str">
        <f t="shared" si="153"/>
        <v/>
      </c>
      <c r="C323" s="147" t="str">
        <f t="shared" si="152"/>
        <v/>
      </c>
      <c r="D323" s="149" t="str">
        <f t="shared" si="161"/>
        <v/>
      </c>
      <c r="E323" s="149" t="str">
        <f t="shared" si="162"/>
        <v/>
      </c>
      <c r="F323" s="149" t="str">
        <f t="shared" si="154"/>
        <v/>
      </c>
      <c r="G323" s="149" t="str">
        <f t="shared" si="155"/>
        <v/>
      </c>
      <c r="H323" s="149" t="str">
        <f t="shared" si="163"/>
        <v/>
      </c>
      <c r="I323" s="149" t="str">
        <f t="shared" si="164"/>
        <v/>
      </c>
      <c r="J323" s="147" t="str">
        <f t="shared" si="165"/>
        <v/>
      </c>
      <c r="K323" s="175" t="str">
        <f t="shared" si="156"/>
        <v/>
      </c>
      <c r="L323" s="149" t="str">
        <f t="shared" si="166"/>
        <v/>
      </c>
      <c r="M323" s="149" t="str">
        <f t="shared" si="167"/>
        <v/>
      </c>
      <c r="N323" s="149" t="str">
        <f t="shared" si="168"/>
        <v/>
      </c>
      <c r="P323" s="149" t="str">
        <f t="shared" si="169"/>
        <v/>
      </c>
      <c r="Q323" s="149" t="str">
        <f t="shared" si="170"/>
        <v/>
      </c>
      <c r="R323" s="178" t="str">
        <f t="shared" si="171"/>
        <v/>
      </c>
      <c r="S323" s="113" t="str">
        <f t="shared" si="172"/>
        <v/>
      </c>
      <c r="T323" s="113" t="str">
        <f t="shared" si="157"/>
        <v/>
      </c>
      <c r="U323" s="114" t="str">
        <f t="shared" si="173"/>
        <v/>
      </c>
      <c r="V323" s="114" t="str">
        <f t="shared" si="174"/>
        <v/>
      </c>
      <c r="W323" s="114" t="str">
        <f t="shared" si="175"/>
        <v/>
      </c>
      <c r="X323" s="114"/>
      <c r="Y323" s="149" t="str">
        <f t="shared" si="176"/>
        <v/>
      </c>
      <c r="Z323" s="149" t="str">
        <f t="shared" si="177"/>
        <v/>
      </c>
      <c r="AA323" s="178" t="str">
        <f t="shared" si="178"/>
        <v/>
      </c>
      <c r="AB323" s="113" t="str">
        <f t="shared" si="179"/>
        <v/>
      </c>
      <c r="AC323" s="113" t="str">
        <f t="shared" si="158"/>
        <v/>
      </c>
      <c r="AD323" s="114" t="str">
        <f t="shared" si="180"/>
        <v/>
      </c>
      <c r="AE323" s="114" t="str">
        <f t="shared" si="181"/>
        <v/>
      </c>
      <c r="AF323" s="114" t="str">
        <f t="shared" si="182"/>
        <v/>
      </c>
      <c r="AG323" s="114"/>
      <c r="AH323" s="176" t="str">
        <f t="shared" si="183"/>
        <v/>
      </c>
      <c r="AI323" s="176" t="str">
        <f t="shared" si="184"/>
        <v/>
      </c>
      <c r="AJ323" s="178" t="str">
        <f t="shared" si="185"/>
        <v/>
      </c>
      <c r="AK323" s="113" t="str">
        <f t="shared" si="186"/>
        <v/>
      </c>
      <c r="AL323" s="113" t="str">
        <f t="shared" si="159"/>
        <v/>
      </c>
      <c r="AM323" s="114" t="str">
        <f t="shared" si="187"/>
        <v/>
      </c>
      <c r="AN323" s="114" t="str">
        <f t="shared" si="188"/>
        <v/>
      </c>
      <c r="AO323" s="114" t="str">
        <f t="shared" si="189"/>
        <v/>
      </c>
    </row>
    <row r="324" spans="1:41" x14ac:dyDescent="0.3">
      <c r="A324" s="146">
        <f t="shared" si="160"/>
        <v>302</v>
      </c>
      <c r="B324" s="147" t="str">
        <f t="shared" si="153"/>
        <v/>
      </c>
      <c r="C324" s="147" t="str">
        <f t="shared" si="152"/>
        <v/>
      </c>
      <c r="D324" s="149" t="str">
        <f t="shared" si="161"/>
        <v/>
      </c>
      <c r="E324" s="149" t="str">
        <f t="shared" si="162"/>
        <v/>
      </c>
      <c r="F324" s="149" t="str">
        <f t="shared" si="154"/>
        <v/>
      </c>
      <c r="G324" s="149" t="str">
        <f t="shared" si="155"/>
        <v/>
      </c>
      <c r="H324" s="149" t="str">
        <f t="shared" si="163"/>
        <v/>
      </c>
      <c r="I324" s="149" t="str">
        <f t="shared" si="164"/>
        <v/>
      </c>
      <c r="J324" s="147" t="str">
        <f t="shared" si="165"/>
        <v/>
      </c>
      <c r="K324" s="175" t="str">
        <f t="shared" si="156"/>
        <v/>
      </c>
      <c r="L324" s="149" t="str">
        <f t="shared" si="166"/>
        <v/>
      </c>
      <c r="M324" s="149" t="str">
        <f t="shared" si="167"/>
        <v/>
      </c>
      <c r="N324" s="149" t="str">
        <f t="shared" si="168"/>
        <v/>
      </c>
      <c r="P324" s="149" t="str">
        <f t="shared" si="169"/>
        <v/>
      </c>
      <c r="Q324" s="149" t="str">
        <f t="shared" si="170"/>
        <v/>
      </c>
      <c r="R324" s="178" t="str">
        <f t="shared" si="171"/>
        <v/>
      </c>
      <c r="S324" s="113" t="str">
        <f t="shared" si="172"/>
        <v/>
      </c>
      <c r="T324" s="113" t="str">
        <f t="shared" si="157"/>
        <v/>
      </c>
      <c r="U324" s="114" t="str">
        <f t="shared" si="173"/>
        <v/>
      </c>
      <c r="V324" s="114" t="str">
        <f t="shared" si="174"/>
        <v/>
      </c>
      <c r="W324" s="114" t="str">
        <f t="shared" si="175"/>
        <v/>
      </c>
      <c r="X324" s="114"/>
      <c r="Y324" s="149" t="str">
        <f t="shared" si="176"/>
        <v/>
      </c>
      <c r="Z324" s="149" t="str">
        <f t="shared" si="177"/>
        <v/>
      </c>
      <c r="AA324" s="178" t="str">
        <f t="shared" si="178"/>
        <v/>
      </c>
      <c r="AB324" s="113" t="str">
        <f t="shared" si="179"/>
        <v/>
      </c>
      <c r="AC324" s="113" t="str">
        <f t="shared" si="158"/>
        <v/>
      </c>
      <c r="AD324" s="114" t="str">
        <f t="shared" si="180"/>
        <v/>
      </c>
      <c r="AE324" s="114" t="str">
        <f t="shared" si="181"/>
        <v/>
      </c>
      <c r="AF324" s="114" t="str">
        <f t="shared" si="182"/>
        <v/>
      </c>
      <c r="AG324" s="114"/>
      <c r="AH324" s="176" t="str">
        <f t="shared" si="183"/>
        <v/>
      </c>
      <c r="AI324" s="176" t="str">
        <f t="shared" si="184"/>
        <v/>
      </c>
      <c r="AJ324" s="178" t="str">
        <f t="shared" si="185"/>
        <v/>
      </c>
      <c r="AK324" s="113" t="str">
        <f t="shared" si="186"/>
        <v/>
      </c>
      <c r="AL324" s="113" t="str">
        <f t="shared" si="159"/>
        <v/>
      </c>
      <c r="AM324" s="114" t="str">
        <f t="shared" si="187"/>
        <v/>
      </c>
      <c r="AN324" s="114" t="str">
        <f t="shared" si="188"/>
        <v/>
      </c>
      <c r="AO324" s="114" t="str">
        <f t="shared" si="189"/>
        <v/>
      </c>
    </row>
    <row r="325" spans="1:41" x14ac:dyDescent="0.3">
      <c r="A325" s="146">
        <f t="shared" si="160"/>
        <v>303</v>
      </c>
      <c r="B325" s="147" t="str">
        <f t="shared" si="153"/>
        <v/>
      </c>
      <c r="C325" s="147" t="str">
        <f t="shared" si="152"/>
        <v/>
      </c>
      <c r="D325" s="149" t="str">
        <f t="shared" si="161"/>
        <v/>
      </c>
      <c r="E325" s="149" t="str">
        <f t="shared" si="162"/>
        <v/>
      </c>
      <c r="F325" s="149" t="str">
        <f t="shared" si="154"/>
        <v/>
      </c>
      <c r="G325" s="149" t="str">
        <f t="shared" si="155"/>
        <v/>
      </c>
      <c r="H325" s="149" t="str">
        <f t="shared" si="163"/>
        <v/>
      </c>
      <c r="I325" s="149" t="str">
        <f t="shared" si="164"/>
        <v/>
      </c>
      <c r="J325" s="147" t="str">
        <f t="shared" si="165"/>
        <v/>
      </c>
      <c r="K325" s="175" t="str">
        <f t="shared" si="156"/>
        <v/>
      </c>
      <c r="L325" s="149" t="str">
        <f t="shared" si="166"/>
        <v/>
      </c>
      <c r="M325" s="149" t="str">
        <f t="shared" si="167"/>
        <v/>
      </c>
      <c r="N325" s="149" t="str">
        <f t="shared" si="168"/>
        <v/>
      </c>
      <c r="P325" s="149" t="str">
        <f t="shared" si="169"/>
        <v/>
      </c>
      <c r="Q325" s="149" t="str">
        <f t="shared" si="170"/>
        <v/>
      </c>
      <c r="R325" s="178" t="str">
        <f t="shared" si="171"/>
        <v/>
      </c>
      <c r="S325" s="113" t="str">
        <f t="shared" si="172"/>
        <v/>
      </c>
      <c r="T325" s="113" t="str">
        <f t="shared" si="157"/>
        <v/>
      </c>
      <c r="U325" s="114" t="str">
        <f t="shared" si="173"/>
        <v/>
      </c>
      <c r="V325" s="114" t="str">
        <f t="shared" si="174"/>
        <v/>
      </c>
      <c r="W325" s="114" t="str">
        <f t="shared" si="175"/>
        <v/>
      </c>
      <c r="X325" s="114"/>
      <c r="Y325" s="149" t="str">
        <f t="shared" si="176"/>
        <v/>
      </c>
      <c r="Z325" s="149" t="str">
        <f t="shared" si="177"/>
        <v/>
      </c>
      <c r="AA325" s="178" t="str">
        <f t="shared" si="178"/>
        <v/>
      </c>
      <c r="AB325" s="113" t="str">
        <f t="shared" si="179"/>
        <v/>
      </c>
      <c r="AC325" s="113" t="str">
        <f t="shared" si="158"/>
        <v/>
      </c>
      <c r="AD325" s="114" t="str">
        <f t="shared" si="180"/>
        <v/>
      </c>
      <c r="AE325" s="114" t="str">
        <f t="shared" si="181"/>
        <v/>
      </c>
      <c r="AF325" s="114" t="str">
        <f t="shared" si="182"/>
        <v/>
      </c>
      <c r="AG325" s="114"/>
      <c r="AH325" s="176" t="str">
        <f t="shared" si="183"/>
        <v/>
      </c>
      <c r="AI325" s="176" t="str">
        <f t="shared" si="184"/>
        <v/>
      </c>
      <c r="AJ325" s="178" t="str">
        <f t="shared" si="185"/>
        <v/>
      </c>
      <c r="AK325" s="113" t="str">
        <f t="shared" si="186"/>
        <v/>
      </c>
      <c r="AL325" s="113" t="str">
        <f t="shared" si="159"/>
        <v/>
      </c>
      <c r="AM325" s="114" t="str">
        <f t="shared" si="187"/>
        <v/>
      </c>
      <c r="AN325" s="114" t="str">
        <f t="shared" si="188"/>
        <v/>
      </c>
      <c r="AO325" s="114" t="str">
        <f t="shared" si="189"/>
        <v/>
      </c>
    </row>
    <row r="326" spans="1:41" x14ac:dyDescent="0.3">
      <c r="A326" s="146">
        <f t="shared" si="160"/>
        <v>304</v>
      </c>
      <c r="B326" s="147" t="str">
        <f t="shared" si="153"/>
        <v/>
      </c>
      <c r="C326" s="147" t="str">
        <f t="shared" si="152"/>
        <v/>
      </c>
      <c r="D326" s="149" t="str">
        <f t="shared" si="161"/>
        <v/>
      </c>
      <c r="E326" s="149" t="str">
        <f t="shared" si="162"/>
        <v/>
      </c>
      <c r="F326" s="149" t="str">
        <f t="shared" si="154"/>
        <v/>
      </c>
      <c r="G326" s="149" t="str">
        <f t="shared" si="155"/>
        <v/>
      </c>
      <c r="H326" s="149" t="str">
        <f t="shared" si="163"/>
        <v/>
      </c>
      <c r="I326" s="149" t="str">
        <f t="shared" si="164"/>
        <v/>
      </c>
      <c r="J326" s="147" t="str">
        <f t="shared" si="165"/>
        <v/>
      </c>
      <c r="K326" s="175" t="str">
        <f t="shared" si="156"/>
        <v/>
      </c>
      <c r="L326" s="149" t="str">
        <f t="shared" si="166"/>
        <v/>
      </c>
      <c r="M326" s="149" t="str">
        <f t="shared" si="167"/>
        <v/>
      </c>
      <c r="N326" s="149" t="str">
        <f t="shared" si="168"/>
        <v/>
      </c>
      <c r="P326" s="149" t="str">
        <f t="shared" si="169"/>
        <v/>
      </c>
      <c r="Q326" s="149" t="str">
        <f t="shared" si="170"/>
        <v/>
      </c>
      <c r="R326" s="178" t="str">
        <f t="shared" si="171"/>
        <v/>
      </c>
      <c r="S326" s="113" t="str">
        <f t="shared" si="172"/>
        <v/>
      </c>
      <c r="T326" s="113" t="str">
        <f t="shared" si="157"/>
        <v/>
      </c>
      <c r="U326" s="114" t="str">
        <f t="shared" si="173"/>
        <v/>
      </c>
      <c r="V326" s="114" t="str">
        <f t="shared" si="174"/>
        <v/>
      </c>
      <c r="W326" s="114" t="str">
        <f t="shared" si="175"/>
        <v/>
      </c>
      <c r="X326" s="114"/>
      <c r="Y326" s="149" t="str">
        <f t="shared" si="176"/>
        <v/>
      </c>
      <c r="Z326" s="149" t="str">
        <f t="shared" si="177"/>
        <v/>
      </c>
      <c r="AA326" s="178" t="str">
        <f t="shared" si="178"/>
        <v/>
      </c>
      <c r="AB326" s="113" t="str">
        <f t="shared" si="179"/>
        <v/>
      </c>
      <c r="AC326" s="113" t="str">
        <f t="shared" si="158"/>
        <v/>
      </c>
      <c r="AD326" s="114" t="str">
        <f t="shared" si="180"/>
        <v/>
      </c>
      <c r="AE326" s="114" t="str">
        <f t="shared" si="181"/>
        <v/>
      </c>
      <c r="AF326" s="114" t="str">
        <f t="shared" si="182"/>
        <v/>
      </c>
      <c r="AG326" s="114"/>
      <c r="AH326" s="176" t="str">
        <f t="shared" si="183"/>
        <v/>
      </c>
      <c r="AI326" s="176" t="str">
        <f t="shared" si="184"/>
        <v/>
      </c>
      <c r="AJ326" s="178" t="str">
        <f t="shared" si="185"/>
        <v/>
      </c>
      <c r="AK326" s="113" t="str">
        <f t="shared" si="186"/>
        <v/>
      </c>
      <c r="AL326" s="113" t="str">
        <f t="shared" si="159"/>
        <v/>
      </c>
      <c r="AM326" s="114" t="str">
        <f t="shared" si="187"/>
        <v/>
      </c>
      <c r="AN326" s="114" t="str">
        <f t="shared" si="188"/>
        <v/>
      </c>
      <c r="AO326" s="114" t="str">
        <f t="shared" si="189"/>
        <v/>
      </c>
    </row>
    <row r="327" spans="1:41" x14ac:dyDescent="0.3">
      <c r="A327" s="146">
        <f t="shared" si="160"/>
        <v>305</v>
      </c>
      <c r="B327" s="147" t="str">
        <f t="shared" si="153"/>
        <v/>
      </c>
      <c r="C327" s="147" t="str">
        <f t="shared" si="152"/>
        <v/>
      </c>
      <c r="D327" s="149" t="str">
        <f t="shared" si="161"/>
        <v/>
      </c>
      <c r="E327" s="149" t="str">
        <f t="shared" si="162"/>
        <v/>
      </c>
      <c r="F327" s="149" t="str">
        <f t="shared" si="154"/>
        <v/>
      </c>
      <c r="G327" s="149" t="str">
        <f t="shared" si="155"/>
        <v/>
      </c>
      <c r="H327" s="149" t="str">
        <f t="shared" si="163"/>
        <v/>
      </c>
      <c r="I327" s="149" t="str">
        <f t="shared" si="164"/>
        <v/>
      </c>
      <c r="J327" s="147" t="str">
        <f t="shared" si="165"/>
        <v/>
      </c>
      <c r="K327" s="175" t="str">
        <f t="shared" si="156"/>
        <v/>
      </c>
      <c r="L327" s="149" t="str">
        <f t="shared" si="166"/>
        <v/>
      </c>
      <c r="M327" s="149" t="str">
        <f t="shared" si="167"/>
        <v/>
      </c>
      <c r="N327" s="149" t="str">
        <f t="shared" si="168"/>
        <v/>
      </c>
      <c r="P327" s="149" t="str">
        <f t="shared" si="169"/>
        <v/>
      </c>
      <c r="Q327" s="149" t="str">
        <f t="shared" si="170"/>
        <v/>
      </c>
      <c r="R327" s="178" t="str">
        <f t="shared" si="171"/>
        <v/>
      </c>
      <c r="S327" s="113" t="str">
        <f t="shared" si="172"/>
        <v/>
      </c>
      <c r="T327" s="113" t="str">
        <f t="shared" si="157"/>
        <v/>
      </c>
      <c r="U327" s="114" t="str">
        <f t="shared" si="173"/>
        <v/>
      </c>
      <c r="V327" s="114" t="str">
        <f t="shared" si="174"/>
        <v/>
      </c>
      <c r="W327" s="114" t="str">
        <f t="shared" si="175"/>
        <v/>
      </c>
      <c r="X327" s="114"/>
      <c r="Y327" s="149" t="str">
        <f t="shared" si="176"/>
        <v/>
      </c>
      <c r="Z327" s="149" t="str">
        <f t="shared" si="177"/>
        <v/>
      </c>
      <c r="AA327" s="178" t="str">
        <f t="shared" si="178"/>
        <v/>
      </c>
      <c r="AB327" s="113" t="str">
        <f t="shared" si="179"/>
        <v/>
      </c>
      <c r="AC327" s="113" t="str">
        <f t="shared" si="158"/>
        <v/>
      </c>
      <c r="AD327" s="114" t="str">
        <f t="shared" si="180"/>
        <v/>
      </c>
      <c r="AE327" s="114" t="str">
        <f t="shared" si="181"/>
        <v/>
      </c>
      <c r="AF327" s="114" t="str">
        <f t="shared" si="182"/>
        <v/>
      </c>
      <c r="AG327" s="114"/>
      <c r="AH327" s="176" t="str">
        <f t="shared" si="183"/>
        <v/>
      </c>
      <c r="AI327" s="176" t="str">
        <f t="shared" si="184"/>
        <v/>
      </c>
      <c r="AJ327" s="178" t="str">
        <f t="shared" si="185"/>
        <v/>
      </c>
      <c r="AK327" s="113" t="str">
        <f t="shared" si="186"/>
        <v/>
      </c>
      <c r="AL327" s="113" t="str">
        <f t="shared" si="159"/>
        <v/>
      </c>
      <c r="AM327" s="114" t="str">
        <f t="shared" si="187"/>
        <v/>
      </c>
      <c r="AN327" s="114" t="str">
        <f t="shared" si="188"/>
        <v/>
      </c>
      <c r="AO327" s="114" t="str">
        <f t="shared" si="189"/>
        <v/>
      </c>
    </row>
    <row r="328" spans="1:41" x14ac:dyDescent="0.3">
      <c r="A328" s="146">
        <f t="shared" si="160"/>
        <v>306</v>
      </c>
      <c r="B328" s="147" t="str">
        <f t="shared" si="153"/>
        <v/>
      </c>
      <c r="C328" s="147" t="str">
        <f t="shared" si="152"/>
        <v/>
      </c>
      <c r="D328" s="149" t="str">
        <f t="shared" si="161"/>
        <v/>
      </c>
      <c r="E328" s="149" t="str">
        <f t="shared" si="162"/>
        <v/>
      </c>
      <c r="F328" s="149" t="str">
        <f t="shared" si="154"/>
        <v/>
      </c>
      <c r="G328" s="149" t="str">
        <f t="shared" si="155"/>
        <v/>
      </c>
      <c r="H328" s="149" t="str">
        <f t="shared" si="163"/>
        <v/>
      </c>
      <c r="I328" s="149" t="str">
        <f t="shared" si="164"/>
        <v/>
      </c>
      <c r="J328" s="147" t="str">
        <f t="shared" si="165"/>
        <v/>
      </c>
      <c r="K328" s="175" t="str">
        <f t="shared" si="156"/>
        <v/>
      </c>
      <c r="L328" s="149" t="str">
        <f t="shared" si="166"/>
        <v/>
      </c>
      <c r="M328" s="149" t="str">
        <f t="shared" si="167"/>
        <v/>
      </c>
      <c r="N328" s="149" t="str">
        <f t="shared" si="168"/>
        <v/>
      </c>
      <c r="P328" s="149" t="str">
        <f t="shared" si="169"/>
        <v/>
      </c>
      <c r="Q328" s="149" t="str">
        <f t="shared" si="170"/>
        <v/>
      </c>
      <c r="R328" s="178" t="str">
        <f t="shared" si="171"/>
        <v/>
      </c>
      <c r="S328" s="113" t="str">
        <f t="shared" si="172"/>
        <v/>
      </c>
      <c r="T328" s="113" t="str">
        <f t="shared" si="157"/>
        <v/>
      </c>
      <c r="U328" s="114" t="str">
        <f t="shared" si="173"/>
        <v/>
      </c>
      <c r="V328" s="114" t="str">
        <f t="shared" si="174"/>
        <v/>
      </c>
      <c r="W328" s="114" t="str">
        <f t="shared" si="175"/>
        <v/>
      </c>
      <c r="X328" s="114"/>
      <c r="Y328" s="149" t="str">
        <f t="shared" si="176"/>
        <v/>
      </c>
      <c r="Z328" s="149" t="str">
        <f t="shared" si="177"/>
        <v/>
      </c>
      <c r="AA328" s="178" t="str">
        <f t="shared" si="178"/>
        <v/>
      </c>
      <c r="AB328" s="113" t="str">
        <f t="shared" si="179"/>
        <v/>
      </c>
      <c r="AC328" s="113" t="str">
        <f t="shared" si="158"/>
        <v/>
      </c>
      <c r="AD328" s="114" t="str">
        <f t="shared" si="180"/>
        <v/>
      </c>
      <c r="AE328" s="114" t="str">
        <f t="shared" si="181"/>
        <v/>
      </c>
      <c r="AF328" s="114" t="str">
        <f t="shared" si="182"/>
        <v/>
      </c>
      <c r="AG328" s="114"/>
      <c r="AH328" s="176" t="str">
        <f t="shared" si="183"/>
        <v/>
      </c>
      <c r="AI328" s="176" t="str">
        <f t="shared" si="184"/>
        <v/>
      </c>
      <c r="AJ328" s="178" t="str">
        <f t="shared" si="185"/>
        <v/>
      </c>
      <c r="AK328" s="113" t="str">
        <f t="shared" si="186"/>
        <v/>
      </c>
      <c r="AL328" s="113" t="str">
        <f t="shared" si="159"/>
        <v/>
      </c>
      <c r="AM328" s="114" t="str">
        <f t="shared" si="187"/>
        <v/>
      </c>
      <c r="AN328" s="114" t="str">
        <f t="shared" si="188"/>
        <v/>
      </c>
      <c r="AO328" s="114" t="str">
        <f t="shared" si="189"/>
        <v/>
      </c>
    </row>
    <row r="329" spans="1:41" x14ac:dyDescent="0.3">
      <c r="A329" s="146">
        <f t="shared" si="160"/>
        <v>307</v>
      </c>
      <c r="B329" s="147" t="str">
        <f t="shared" si="153"/>
        <v/>
      </c>
      <c r="C329" s="147" t="str">
        <f t="shared" si="152"/>
        <v/>
      </c>
      <c r="D329" s="149" t="str">
        <f t="shared" si="161"/>
        <v/>
      </c>
      <c r="E329" s="149" t="str">
        <f t="shared" si="162"/>
        <v/>
      </c>
      <c r="F329" s="149" t="str">
        <f t="shared" si="154"/>
        <v/>
      </c>
      <c r="G329" s="149" t="str">
        <f t="shared" si="155"/>
        <v/>
      </c>
      <c r="H329" s="149" t="str">
        <f t="shared" si="163"/>
        <v/>
      </c>
      <c r="I329" s="149" t="str">
        <f t="shared" si="164"/>
        <v/>
      </c>
      <c r="J329" s="147" t="str">
        <f t="shared" si="165"/>
        <v/>
      </c>
      <c r="K329" s="175" t="str">
        <f t="shared" si="156"/>
        <v/>
      </c>
      <c r="L329" s="149" t="str">
        <f t="shared" si="166"/>
        <v/>
      </c>
      <c r="M329" s="149" t="str">
        <f t="shared" si="167"/>
        <v/>
      </c>
      <c r="N329" s="149" t="str">
        <f t="shared" si="168"/>
        <v/>
      </c>
      <c r="P329" s="149" t="str">
        <f t="shared" si="169"/>
        <v/>
      </c>
      <c r="Q329" s="149" t="str">
        <f t="shared" si="170"/>
        <v/>
      </c>
      <c r="R329" s="178" t="str">
        <f t="shared" si="171"/>
        <v/>
      </c>
      <c r="S329" s="113" t="str">
        <f t="shared" si="172"/>
        <v/>
      </c>
      <c r="T329" s="113" t="str">
        <f t="shared" si="157"/>
        <v/>
      </c>
      <c r="U329" s="114" t="str">
        <f t="shared" si="173"/>
        <v/>
      </c>
      <c r="V329" s="114" t="str">
        <f t="shared" si="174"/>
        <v/>
      </c>
      <c r="W329" s="114" t="str">
        <f t="shared" si="175"/>
        <v/>
      </c>
      <c r="X329" s="114"/>
      <c r="Y329" s="149" t="str">
        <f t="shared" si="176"/>
        <v/>
      </c>
      <c r="Z329" s="149" t="str">
        <f t="shared" si="177"/>
        <v/>
      </c>
      <c r="AA329" s="178" t="str">
        <f t="shared" si="178"/>
        <v/>
      </c>
      <c r="AB329" s="113" t="str">
        <f t="shared" si="179"/>
        <v/>
      </c>
      <c r="AC329" s="113" t="str">
        <f t="shared" si="158"/>
        <v/>
      </c>
      <c r="AD329" s="114" t="str">
        <f t="shared" si="180"/>
        <v/>
      </c>
      <c r="AE329" s="114" t="str">
        <f t="shared" si="181"/>
        <v/>
      </c>
      <c r="AF329" s="114" t="str">
        <f t="shared" si="182"/>
        <v/>
      </c>
      <c r="AG329" s="114"/>
      <c r="AH329" s="176" t="str">
        <f t="shared" si="183"/>
        <v/>
      </c>
      <c r="AI329" s="176" t="str">
        <f t="shared" si="184"/>
        <v/>
      </c>
      <c r="AJ329" s="178" t="str">
        <f t="shared" si="185"/>
        <v/>
      </c>
      <c r="AK329" s="113" t="str">
        <f t="shared" si="186"/>
        <v/>
      </c>
      <c r="AL329" s="113" t="str">
        <f t="shared" si="159"/>
        <v/>
      </c>
      <c r="AM329" s="114" t="str">
        <f t="shared" si="187"/>
        <v/>
      </c>
      <c r="AN329" s="114" t="str">
        <f t="shared" si="188"/>
        <v/>
      </c>
      <c r="AO329" s="114" t="str">
        <f t="shared" si="189"/>
        <v/>
      </c>
    </row>
    <row r="330" spans="1:41" x14ac:dyDescent="0.3">
      <c r="A330" s="146">
        <f t="shared" si="160"/>
        <v>308</v>
      </c>
      <c r="B330" s="147" t="str">
        <f t="shared" si="153"/>
        <v/>
      </c>
      <c r="C330" s="147" t="str">
        <f t="shared" si="152"/>
        <v/>
      </c>
      <c r="D330" s="149" t="str">
        <f t="shared" si="161"/>
        <v/>
      </c>
      <c r="E330" s="149" t="str">
        <f t="shared" si="162"/>
        <v/>
      </c>
      <c r="F330" s="149" t="str">
        <f t="shared" si="154"/>
        <v/>
      </c>
      <c r="G330" s="149" t="str">
        <f t="shared" si="155"/>
        <v/>
      </c>
      <c r="H330" s="149" t="str">
        <f t="shared" si="163"/>
        <v/>
      </c>
      <c r="I330" s="149" t="str">
        <f t="shared" si="164"/>
        <v/>
      </c>
      <c r="J330" s="147" t="str">
        <f t="shared" si="165"/>
        <v/>
      </c>
      <c r="K330" s="175" t="str">
        <f t="shared" si="156"/>
        <v/>
      </c>
      <c r="L330" s="149" t="str">
        <f t="shared" si="166"/>
        <v/>
      </c>
      <c r="M330" s="149" t="str">
        <f t="shared" si="167"/>
        <v/>
      </c>
      <c r="N330" s="149" t="str">
        <f t="shared" si="168"/>
        <v/>
      </c>
      <c r="P330" s="149" t="str">
        <f t="shared" si="169"/>
        <v/>
      </c>
      <c r="Q330" s="149" t="str">
        <f t="shared" si="170"/>
        <v/>
      </c>
      <c r="R330" s="178" t="str">
        <f t="shared" si="171"/>
        <v/>
      </c>
      <c r="S330" s="113" t="str">
        <f t="shared" si="172"/>
        <v/>
      </c>
      <c r="T330" s="113" t="str">
        <f t="shared" si="157"/>
        <v/>
      </c>
      <c r="U330" s="114" t="str">
        <f t="shared" si="173"/>
        <v/>
      </c>
      <c r="V330" s="114" t="str">
        <f t="shared" si="174"/>
        <v/>
      </c>
      <c r="W330" s="114" t="str">
        <f t="shared" si="175"/>
        <v/>
      </c>
      <c r="X330" s="114"/>
      <c r="Y330" s="149" t="str">
        <f t="shared" si="176"/>
        <v/>
      </c>
      <c r="Z330" s="149" t="str">
        <f t="shared" si="177"/>
        <v/>
      </c>
      <c r="AA330" s="178" t="str">
        <f t="shared" si="178"/>
        <v/>
      </c>
      <c r="AB330" s="113" t="str">
        <f t="shared" si="179"/>
        <v/>
      </c>
      <c r="AC330" s="113" t="str">
        <f t="shared" si="158"/>
        <v/>
      </c>
      <c r="AD330" s="114" t="str">
        <f t="shared" si="180"/>
        <v/>
      </c>
      <c r="AE330" s="114" t="str">
        <f t="shared" si="181"/>
        <v/>
      </c>
      <c r="AF330" s="114" t="str">
        <f t="shared" si="182"/>
        <v/>
      </c>
      <c r="AG330" s="114"/>
      <c r="AH330" s="176" t="str">
        <f t="shared" si="183"/>
        <v/>
      </c>
      <c r="AI330" s="176" t="str">
        <f t="shared" si="184"/>
        <v/>
      </c>
      <c r="AJ330" s="178" t="str">
        <f t="shared" si="185"/>
        <v/>
      </c>
      <c r="AK330" s="113" t="str">
        <f t="shared" si="186"/>
        <v/>
      </c>
      <c r="AL330" s="113" t="str">
        <f t="shared" si="159"/>
        <v/>
      </c>
      <c r="AM330" s="114" t="str">
        <f t="shared" si="187"/>
        <v/>
      </c>
      <c r="AN330" s="114" t="str">
        <f t="shared" si="188"/>
        <v/>
      </c>
      <c r="AO330" s="114" t="str">
        <f t="shared" si="189"/>
        <v/>
      </c>
    </row>
    <row r="331" spans="1:41" x14ac:dyDescent="0.3">
      <c r="A331" s="146">
        <f t="shared" si="160"/>
        <v>309</v>
      </c>
      <c r="B331" s="147" t="str">
        <f t="shared" si="153"/>
        <v/>
      </c>
      <c r="C331" s="147" t="str">
        <f t="shared" si="152"/>
        <v/>
      </c>
      <c r="D331" s="149" t="str">
        <f t="shared" si="161"/>
        <v/>
      </c>
      <c r="E331" s="149" t="str">
        <f t="shared" si="162"/>
        <v/>
      </c>
      <c r="F331" s="149" t="str">
        <f t="shared" si="154"/>
        <v/>
      </c>
      <c r="G331" s="149" t="str">
        <f t="shared" si="155"/>
        <v/>
      </c>
      <c r="H331" s="149" t="str">
        <f t="shared" si="163"/>
        <v/>
      </c>
      <c r="I331" s="149" t="str">
        <f t="shared" si="164"/>
        <v/>
      </c>
      <c r="J331" s="147" t="str">
        <f t="shared" si="165"/>
        <v/>
      </c>
      <c r="K331" s="175" t="str">
        <f t="shared" si="156"/>
        <v/>
      </c>
      <c r="L331" s="149" t="str">
        <f t="shared" si="166"/>
        <v/>
      </c>
      <c r="M331" s="149" t="str">
        <f t="shared" si="167"/>
        <v/>
      </c>
      <c r="N331" s="149" t="str">
        <f t="shared" si="168"/>
        <v/>
      </c>
      <c r="P331" s="149" t="str">
        <f t="shared" si="169"/>
        <v/>
      </c>
      <c r="Q331" s="149" t="str">
        <f t="shared" si="170"/>
        <v/>
      </c>
      <c r="R331" s="178" t="str">
        <f t="shared" si="171"/>
        <v/>
      </c>
      <c r="S331" s="113" t="str">
        <f t="shared" si="172"/>
        <v/>
      </c>
      <c r="T331" s="113" t="str">
        <f t="shared" si="157"/>
        <v/>
      </c>
      <c r="U331" s="114" t="str">
        <f t="shared" si="173"/>
        <v/>
      </c>
      <c r="V331" s="114" t="str">
        <f t="shared" si="174"/>
        <v/>
      </c>
      <c r="W331" s="114" t="str">
        <f t="shared" si="175"/>
        <v/>
      </c>
      <c r="X331" s="114"/>
      <c r="Y331" s="149" t="str">
        <f t="shared" si="176"/>
        <v/>
      </c>
      <c r="Z331" s="149" t="str">
        <f t="shared" si="177"/>
        <v/>
      </c>
      <c r="AA331" s="178" t="str">
        <f t="shared" si="178"/>
        <v/>
      </c>
      <c r="AB331" s="113" t="str">
        <f t="shared" si="179"/>
        <v/>
      </c>
      <c r="AC331" s="113" t="str">
        <f t="shared" si="158"/>
        <v/>
      </c>
      <c r="AD331" s="114" t="str">
        <f t="shared" si="180"/>
        <v/>
      </c>
      <c r="AE331" s="114" t="str">
        <f t="shared" si="181"/>
        <v/>
      </c>
      <c r="AF331" s="114" t="str">
        <f t="shared" si="182"/>
        <v/>
      </c>
      <c r="AG331" s="114"/>
      <c r="AH331" s="176" t="str">
        <f t="shared" si="183"/>
        <v/>
      </c>
      <c r="AI331" s="176" t="str">
        <f t="shared" si="184"/>
        <v/>
      </c>
      <c r="AJ331" s="178" t="str">
        <f t="shared" si="185"/>
        <v/>
      </c>
      <c r="AK331" s="113" t="str">
        <f t="shared" si="186"/>
        <v/>
      </c>
      <c r="AL331" s="113" t="str">
        <f t="shared" si="159"/>
        <v/>
      </c>
      <c r="AM331" s="114" t="str">
        <f t="shared" si="187"/>
        <v/>
      </c>
      <c r="AN331" s="114" t="str">
        <f t="shared" si="188"/>
        <v/>
      </c>
      <c r="AO331" s="114" t="str">
        <f t="shared" si="189"/>
        <v/>
      </c>
    </row>
    <row r="332" spans="1:41" x14ac:dyDescent="0.3">
      <c r="A332" s="146">
        <f t="shared" si="160"/>
        <v>310</v>
      </c>
      <c r="B332" s="147" t="str">
        <f t="shared" si="153"/>
        <v/>
      </c>
      <c r="C332" s="147" t="str">
        <f t="shared" si="152"/>
        <v/>
      </c>
      <c r="D332" s="149" t="str">
        <f t="shared" si="161"/>
        <v/>
      </c>
      <c r="E332" s="149" t="str">
        <f t="shared" si="162"/>
        <v/>
      </c>
      <c r="F332" s="149" t="str">
        <f t="shared" si="154"/>
        <v/>
      </c>
      <c r="G332" s="149" t="str">
        <f t="shared" si="155"/>
        <v/>
      </c>
      <c r="H332" s="149" t="str">
        <f t="shared" si="163"/>
        <v/>
      </c>
      <c r="I332" s="149" t="str">
        <f t="shared" si="164"/>
        <v/>
      </c>
      <c r="J332" s="147" t="str">
        <f t="shared" si="165"/>
        <v/>
      </c>
      <c r="K332" s="175" t="str">
        <f t="shared" si="156"/>
        <v/>
      </c>
      <c r="L332" s="149" t="str">
        <f t="shared" si="166"/>
        <v/>
      </c>
      <c r="M332" s="149" t="str">
        <f t="shared" si="167"/>
        <v/>
      </c>
      <c r="N332" s="149" t="str">
        <f t="shared" si="168"/>
        <v/>
      </c>
      <c r="P332" s="149" t="str">
        <f t="shared" si="169"/>
        <v/>
      </c>
      <c r="Q332" s="149" t="str">
        <f t="shared" si="170"/>
        <v/>
      </c>
      <c r="R332" s="178" t="str">
        <f t="shared" si="171"/>
        <v/>
      </c>
      <c r="S332" s="113" t="str">
        <f t="shared" si="172"/>
        <v/>
      </c>
      <c r="T332" s="113" t="str">
        <f t="shared" si="157"/>
        <v/>
      </c>
      <c r="U332" s="114" t="str">
        <f t="shared" si="173"/>
        <v/>
      </c>
      <c r="V332" s="114" t="str">
        <f t="shared" si="174"/>
        <v/>
      </c>
      <c r="W332" s="114" t="str">
        <f t="shared" si="175"/>
        <v/>
      </c>
      <c r="X332" s="114"/>
      <c r="Y332" s="149" t="str">
        <f t="shared" si="176"/>
        <v/>
      </c>
      <c r="Z332" s="149" t="str">
        <f t="shared" si="177"/>
        <v/>
      </c>
      <c r="AA332" s="178" t="str">
        <f t="shared" si="178"/>
        <v/>
      </c>
      <c r="AB332" s="113" t="str">
        <f t="shared" si="179"/>
        <v/>
      </c>
      <c r="AC332" s="113" t="str">
        <f t="shared" si="158"/>
        <v/>
      </c>
      <c r="AD332" s="114" t="str">
        <f t="shared" si="180"/>
        <v/>
      </c>
      <c r="AE332" s="114" t="str">
        <f t="shared" si="181"/>
        <v/>
      </c>
      <c r="AF332" s="114" t="str">
        <f t="shared" si="182"/>
        <v/>
      </c>
      <c r="AG332" s="114"/>
      <c r="AH332" s="176" t="str">
        <f t="shared" si="183"/>
        <v/>
      </c>
      <c r="AI332" s="176" t="str">
        <f t="shared" si="184"/>
        <v/>
      </c>
      <c r="AJ332" s="178" t="str">
        <f t="shared" si="185"/>
        <v/>
      </c>
      <c r="AK332" s="113" t="str">
        <f t="shared" si="186"/>
        <v/>
      </c>
      <c r="AL332" s="113" t="str">
        <f t="shared" si="159"/>
        <v/>
      </c>
      <c r="AM332" s="114" t="str">
        <f t="shared" si="187"/>
        <v/>
      </c>
      <c r="AN332" s="114" t="str">
        <f t="shared" si="188"/>
        <v/>
      </c>
      <c r="AO332" s="114" t="str">
        <f t="shared" si="189"/>
        <v/>
      </c>
    </row>
    <row r="333" spans="1:41" x14ac:dyDescent="0.3">
      <c r="A333" s="146">
        <f t="shared" si="160"/>
        <v>311</v>
      </c>
      <c r="B333" s="147" t="str">
        <f t="shared" si="153"/>
        <v/>
      </c>
      <c r="C333" s="147" t="str">
        <f t="shared" si="152"/>
        <v/>
      </c>
      <c r="D333" s="149" t="str">
        <f t="shared" si="161"/>
        <v/>
      </c>
      <c r="E333" s="149" t="str">
        <f t="shared" si="162"/>
        <v/>
      </c>
      <c r="F333" s="149" t="str">
        <f t="shared" si="154"/>
        <v/>
      </c>
      <c r="G333" s="149" t="str">
        <f t="shared" si="155"/>
        <v/>
      </c>
      <c r="H333" s="149" t="str">
        <f t="shared" si="163"/>
        <v/>
      </c>
      <c r="I333" s="149" t="str">
        <f t="shared" si="164"/>
        <v/>
      </c>
      <c r="J333" s="147" t="str">
        <f t="shared" si="165"/>
        <v/>
      </c>
      <c r="K333" s="175" t="str">
        <f t="shared" si="156"/>
        <v/>
      </c>
      <c r="L333" s="149" t="str">
        <f t="shared" si="166"/>
        <v/>
      </c>
      <c r="M333" s="149" t="str">
        <f t="shared" si="167"/>
        <v/>
      </c>
      <c r="N333" s="149" t="str">
        <f t="shared" si="168"/>
        <v/>
      </c>
      <c r="P333" s="149" t="str">
        <f t="shared" si="169"/>
        <v/>
      </c>
      <c r="Q333" s="149" t="str">
        <f t="shared" si="170"/>
        <v/>
      </c>
      <c r="R333" s="178" t="str">
        <f t="shared" si="171"/>
        <v/>
      </c>
      <c r="S333" s="113" t="str">
        <f t="shared" si="172"/>
        <v/>
      </c>
      <c r="T333" s="113" t="str">
        <f t="shared" si="157"/>
        <v/>
      </c>
      <c r="U333" s="114" t="str">
        <f t="shared" si="173"/>
        <v/>
      </c>
      <c r="V333" s="114" t="str">
        <f t="shared" si="174"/>
        <v/>
      </c>
      <c r="W333" s="114" t="str">
        <f t="shared" si="175"/>
        <v/>
      </c>
      <c r="X333" s="114"/>
      <c r="Y333" s="149" t="str">
        <f t="shared" si="176"/>
        <v/>
      </c>
      <c r="Z333" s="149" t="str">
        <f t="shared" si="177"/>
        <v/>
      </c>
      <c r="AA333" s="178" t="str">
        <f t="shared" si="178"/>
        <v/>
      </c>
      <c r="AB333" s="113" t="str">
        <f t="shared" si="179"/>
        <v/>
      </c>
      <c r="AC333" s="113" t="str">
        <f t="shared" si="158"/>
        <v/>
      </c>
      <c r="AD333" s="114" t="str">
        <f t="shared" si="180"/>
        <v/>
      </c>
      <c r="AE333" s="114" t="str">
        <f t="shared" si="181"/>
        <v/>
      </c>
      <c r="AF333" s="114" t="str">
        <f t="shared" si="182"/>
        <v/>
      </c>
      <c r="AG333" s="114"/>
      <c r="AH333" s="176" t="str">
        <f t="shared" si="183"/>
        <v/>
      </c>
      <c r="AI333" s="176" t="str">
        <f t="shared" si="184"/>
        <v/>
      </c>
      <c r="AJ333" s="178" t="str">
        <f t="shared" si="185"/>
        <v/>
      </c>
      <c r="AK333" s="113" t="str">
        <f t="shared" si="186"/>
        <v/>
      </c>
      <c r="AL333" s="113" t="str">
        <f t="shared" si="159"/>
        <v/>
      </c>
      <c r="AM333" s="114" t="str">
        <f t="shared" si="187"/>
        <v/>
      </c>
      <c r="AN333" s="114" t="str">
        <f t="shared" si="188"/>
        <v/>
      </c>
      <c r="AO333" s="114" t="str">
        <f t="shared" si="189"/>
        <v/>
      </c>
    </row>
    <row r="334" spans="1:41" x14ac:dyDescent="0.3">
      <c r="A334" s="146">
        <f t="shared" si="160"/>
        <v>312</v>
      </c>
      <c r="B334" s="147" t="str">
        <f t="shared" si="153"/>
        <v/>
      </c>
      <c r="C334" s="147" t="str">
        <f t="shared" si="152"/>
        <v/>
      </c>
      <c r="D334" s="149" t="str">
        <f t="shared" si="161"/>
        <v/>
      </c>
      <c r="E334" s="149" t="str">
        <f t="shared" si="162"/>
        <v/>
      </c>
      <c r="F334" s="149" t="str">
        <f t="shared" si="154"/>
        <v/>
      </c>
      <c r="G334" s="149" t="str">
        <f t="shared" si="155"/>
        <v/>
      </c>
      <c r="H334" s="149" t="str">
        <f t="shared" si="163"/>
        <v/>
      </c>
      <c r="I334" s="149" t="str">
        <f t="shared" si="164"/>
        <v/>
      </c>
      <c r="J334" s="147" t="str">
        <f t="shared" si="165"/>
        <v/>
      </c>
      <c r="K334" s="175" t="str">
        <f t="shared" si="156"/>
        <v/>
      </c>
      <c r="L334" s="149" t="str">
        <f t="shared" si="166"/>
        <v/>
      </c>
      <c r="M334" s="149" t="str">
        <f t="shared" si="167"/>
        <v/>
      </c>
      <c r="N334" s="149" t="str">
        <f t="shared" si="168"/>
        <v/>
      </c>
      <c r="P334" s="149" t="str">
        <f t="shared" si="169"/>
        <v/>
      </c>
      <c r="Q334" s="149" t="str">
        <f t="shared" si="170"/>
        <v/>
      </c>
      <c r="R334" s="178" t="str">
        <f t="shared" si="171"/>
        <v/>
      </c>
      <c r="S334" s="113" t="str">
        <f t="shared" si="172"/>
        <v/>
      </c>
      <c r="T334" s="113" t="str">
        <f t="shared" si="157"/>
        <v/>
      </c>
      <c r="U334" s="114" t="str">
        <f t="shared" si="173"/>
        <v/>
      </c>
      <c r="V334" s="114" t="str">
        <f t="shared" si="174"/>
        <v/>
      </c>
      <c r="W334" s="114" t="str">
        <f t="shared" si="175"/>
        <v/>
      </c>
      <c r="X334" s="114"/>
      <c r="Y334" s="149" t="str">
        <f t="shared" si="176"/>
        <v/>
      </c>
      <c r="Z334" s="149" t="str">
        <f t="shared" si="177"/>
        <v/>
      </c>
      <c r="AA334" s="178" t="str">
        <f t="shared" si="178"/>
        <v/>
      </c>
      <c r="AB334" s="113" t="str">
        <f t="shared" si="179"/>
        <v/>
      </c>
      <c r="AC334" s="113" t="str">
        <f t="shared" si="158"/>
        <v/>
      </c>
      <c r="AD334" s="114" t="str">
        <f t="shared" si="180"/>
        <v/>
      </c>
      <c r="AE334" s="114" t="str">
        <f t="shared" si="181"/>
        <v/>
      </c>
      <c r="AF334" s="114" t="str">
        <f t="shared" si="182"/>
        <v/>
      </c>
      <c r="AG334" s="114"/>
      <c r="AH334" s="176" t="str">
        <f t="shared" si="183"/>
        <v/>
      </c>
      <c r="AI334" s="176" t="str">
        <f t="shared" si="184"/>
        <v/>
      </c>
      <c r="AJ334" s="178" t="str">
        <f t="shared" si="185"/>
        <v/>
      </c>
      <c r="AK334" s="113" t="str">
        <f t="shared" si="186"/>
        <v/>
      </c>
      <c r="AL334" s="113" t="str">
        <f t="shared" si="159"/>
        <v/>
      </c>
      <c r="AM334" s="114" t="str">
        <f t="shared" si="187"/>
        <v/>
      </c>
      <c r="AN334" s="114" t="str">
        <f t="shared" si="188"/>
        <v/>
      </c>
      <c r="AO334" s="114" t="str">
        <f t="shared" si="189"/>
        <v/>
      </c>
    </row>
    <row r="335" spans="1:41" x14ac:dyDescent="0.3">
      <c r="A335" s="146">
        <f t="shared" si="160"/>
        <v>313</v>
      </c>
      <c r="B335" s="147" t="str">
        <f t="shared" si="153"/>
        <v/>
      </c>
      <c r="C335" s="147" t="str">
        <f t="shared" si="152"/>
        <v/>
      </c>
      <c r="D335" s="149" t="str">
        <f t="shared" si="161"/>
        <v/>
      </c>
      <c r="E335" s="149" t="str">
        <f t="shared" si="162"/>
        <v/>
      </c>
      <c r="F335" s="149" t="str">
        <f t="shared" si="154"/>
        <v/>
      </c>
      <c r="G335" s="149" t="str">
        <f t="shared" si="155"/>
        <v/>
      </c>
      <c r="H335" s="149" t="str">
        <f t="shared" si="163"/>
        <v/>
      </c>
      <c r="I335" s="149" t="str">
        <f t="shared" si="164"/>
        <v/>
      </c>
      <c r="J335" s="147" t="str">
        <f t="shared" si="165"/>
        <v/>
      </c>
      <c r="K335" s="175" t="str">
        <f t="shared" si="156"/>
        <v/>
      </c>
      <c r="L335" s="149" t="str">
        <f t="shared" si="166"/>
        <v/>
      </c>
      <c r="M335" s="149" t="str">
        <f t="shared" si="167"/>
        <v/>
      </c>
      <c r="N335" s="149" t="str">
        <f t="shared" si="168"/>
        <v/>
      </c>
      <c r="P335" s="149" t="str">
        <f t="shared" si="169"/>
        <v/>
      </c>
      <c r="Q335" s="149" t="str">
        <f t="shared" si="170"/>
        <v/>
      </c>
      <c r="R335" s="178" t="str">
        <f t="shared" si="171"/>
        <v/>
      </c>
      <c r="S335" s="113" t="str">
        <f t="shared" si="172"/>
        <v/>
      </c>
      <c r="T335" s="113" t="str">
        <f t="shared" si="157"/>
        <v/>
      </c>
      <c r="U335" s="114" t="str">
        <f t="shared" si="173"/>
        <v/>
      </c>
      <c r="V335" s="114" t="str">
        <f t="shared" si="174"/>
        <v/>
      </c>
      <c r="W335" s="114" t="str">
        <f t="shared" si="175"/>
        <v/>
      </c>
      <c r="X335" s="114"/>
      <c r="Y335" s="149" t="str">
        <f t="shared" si="176"/>
        <v/>
      </c>
      <c r="Z335" s="149" t="str">
        <f t="shared" si="177"/>
        <v/>
      </c>
      <c r="AA335" s="178" t="str">
        <f t="shared" si="178"/>
        <v/>
      </c>
      <c r="AB335" s="113" t="str">
        <f t="shared" si="179"/>
        <v/>
      </c>
      <c r="AC335" s="113" t="str">
        <f t="shared" si="158"/>
        <v/>
      </c>
      <c r="AD335" s="114" t="str">
        <f t="shared" si="180"/>
        <v/>
      </c>
      <c r="AE335" s="114" t="str">
        <f t="shared" si="181"/>
        <v/>
      </c>
      <c r="AF335" s="114" t="str">
        <f t="shared" si="182"/>
        <v/>
      </c>
      <c r="AG335" s="114"/>
      <c r="AH335" s="176" t="str">
        <f t="shared" si="183"/>
        <v/>
      </c>
      <c r="AI335" s="176" t="str">
        <f t="shared" si="184"/>
        <v/>
      </c>
      <c r="AJ335" s="178" t="str">
        <f t="shared" si="185"/>
        <v/>
      </c>
      <c r="AK335" s="113" t="str">
        <f t="shared" si="186"/>
        <v/>
      </c>
      <c r="AL335" s="113" t="str">
        <f t="shared" si="159"/>
        <v/>
      </c>
      <c r="AM335" s="114" t="str">
        <f t="shared" si="187"/>
        <v/>
      </c>
      <c r="AN335" s="114" t="str">
        <f t="shared" si="188"/>
        <v/>
      </c>
      <c r="AO335" s="114" t="str">
        <f t="shared" si="189"/>
        <v/>
      </c>
    </row>
    <row r="336" spans="1:41" x14ac:dyDescent="0.3">
      <c r="A336" s="146">
        <f t="shared" si="160"/>
        <v>314</v>
      </c>
      <c r="B336" s="147" t="str">
        <f t="shared" si="153"/>
        <v/>
      </c>
      <c r="C336" s="147" t="str">
        <f t="shared" si="152"/>
        <v/>
      </c>
      <c r="D336" s="149" t="str">
        <f t="shared" si="161"/>
        <v/>
      </c>
      <c r="E336" s="149" t="str">
        <f t="shared" si="162"/>
        <v/>
      </c>
      <c r="F336" s="149" t="str">
        <f t="shared" si="154"/>
        <v/>
      </c>
      <c r="G336" s="149" t="str">
        <f t="shared" si="155"/>
        <v/>
      </c>
      <c r="H336" s="149" t="str">
        <f t="shared" si="163"/>
        <v/>
      </c>
      <c r="I336" s="149" t="str">
        <f t="shared" si="164"/>
        <v/>
      </c>
      <c r="J336" s="147" t="str">
        <f t="shared" si="165"/>
        <v/>
      </c>
      <c r="K336" s="175" t="str">
        <f t="shared" si="156"/>
        <v/>
      </c>
      <c r="L336" s="149" t="str">
        <f t="shared" si="166"/>
        <v/>
      </c>
      <c r="M336" s="149" t="str">
        <f t="shared" si="167"/>
        <v/>
      </c>
      <c r="N336" s="149" t="str">
        <f t="shared" si="168"/>
        <v/>
      </c>
      <c r="P336" s="149" t="str">
        <f t="shared" si="169"/>
        <v/>
      </c>
      <c r="Q336" s="149" t="str">
        <f t="shared" si="170"/>
        <v/>
      </c>
      <c r="R336" s="178" t="str">
        <f t="shared" si="171"/>
        <v/>
      </c>
      <c r="S336" s="113" t="str">
        <f t="shared" si="172"/>
        <v/>
      </c>
      <c r="T336" s="113" t="str">
        <f t="shared" si="157"/>
        <v/>
      </c>
      <c r="U336" s="114" t="str">
        <f t="shared" si="173"/>
        <v/>
      </c>
      <c r="V336" s="114" t="str">
        <f t="shared" si="174"/>
        <v/>
      </c>
      <c r="W336" s="114" t="str">
        <f t="shared" si="175"/>
        <v/>
      </c>
      <c r="X336" s="114"/>
      <c r="Y336" s="149" t="str">
        <f t="shared" si="176"/>
        <v/>
      </c>
      <c r="Z336" s="149" t="str">
        <f t="shared" si="177"/>
        <v/>
      </c>
      <c r="AA336" s="178" t="str">
        <f t="shared" si="178"/>
        <v/>
      </c>
      <c r="AB336" s="113" t="str">
        <f t="shared" si="179"/>
        <v/>
      </c>
      <c r="AC336" s="113" t="str">
        <f t="shared" si="158"/>
        <v/>
      </c>
      <c r="AD336" s="114" t="str">
        <f t="shared" si="180"/>
        <v/>
      </c>
      <c r="AE336" s="114" t="str">
        <f t="shared" si="181"/>
        <v/>
      </c>
      <c r="AF336" s="114" t="str">
        <f t="shared" si="182"/>
        <v/>
      </c>
      <c r="AG336" s="114"/>
      <c r="AH336" s="176" t="str">
        <f t="shared" si="183"/>
        <v/>
      </c>
      <c r="AI336" s="176" t="str">
        <f t="shared" si="184"/>
        <v/>
      </c>
      <c r="AJ336" s="178" t="str">
        <f t="shared" si="185"/>
        <v/>
      </c>
      <c r="AK336" s="113" t="str">
        <f t="shared" si="186"/>
        <v/>
      </c>
      <c r="AL336" s="113" t="str">
        <f t="shared" si="159"/>
        <v/>
      </c>
      <c r="AM336" s="114" t="str">
        <f t="shared" si="187"/>
        <v/>
      </c>
      <c r="AN336" s="114" t="str">
        <f t="shared" si="188"/>
        <v/>
      </c>
      <c r="AO336" s="114" t="str">
        <f t="shared" si="189"/>
        <v/>
      </c>
    </row>
    <row r="337" spans="1:41" x14ac:dyDescent="0.3">
      <c r="A337" s="146">
        <f t="shared" si="160"/>
        <v>315</v>
      </c>
      <c r="B337" s="147" t="str">
        <f t="shared" si="153"/>
        <v/>
      </c>
      <c r="C337" s="147" t="str">
        <f t="shared" si="152"/>
        <v/>
      </c>
      <c r="D337" s="149" t="str">
        <f t="shared" si="161"/>
        <v/>
      </c>
      <c r="E337" s="149" t="str">
        <f t="shared" si="162"/>
        <v/>
      </c>
      <c r="F337" s="149" t="str">
        <f t="shared" si="154"/>
        <v/>
      </c>
      <c r="G337" s="149" t="str">
        <f t="shared" si="155"/>
        <v/>
      </c>
      <c r="H337" s="149" t="str">
        <f t="shared" si="163"/>
        <v/>
      </c>
      <c r="I337" s="149" t="str">
        <f t="shared" si="164"/>
        <v/>
      </c>
      <c r="J337" s="147" t="str">
        <f t="shared" si="165"/>
        <v/>
      </c>
      <c r="K337" s="175" t="str">
        <f t="shared" si="156"/>
        <v/>
      </c>
      <c r="L337" s="149" t="str">
        <f t="shared" si="166"/>
        <v/>
      </c>
      <c r="M337" s="149" t="str">
        <f t="shared" si="167"/>
        <v/>
      </c>
      <c r="N337" s="149" t="str">
        <f t="shared" si="168"/>
        <v/>
      </c>
      <c r="P337" s="149" t="str">
        <f t="shared" si="169"/>
        <v/>
      </c>
      <c r="Q337" s="149" t="str">
        <f t="shared" si="170"/>
        <v/>
      </c>
      <c r="R337" s="178" t="str">
        <f t="shared" si="171"/>
        <v/>
      </c>
      <c r="S337" s="113" t="str">
        <f t="shared" si="172"/>
        <v/>
      </c>
      <c r="T337" s="113" t="str">
        <f t="shared" si="157"/>
        <v/>
      </c>
      <c r="U337" s="114" t="str">
        <f t="shared" si="173"/>
        <v/>
      </c>
      <c r="V337" s="114" t="str">
        <f t="shared" si="174"/>
        <v/>
      </c>
      <c r="W337" s="114" t="str">
        <f t="shared" si="175"/>
        <v/>
      </c>
      <c r="X337" s="114"/>
      <c r="Y337" s="149" t="str">
        <f t="shared" si="176"/>
        <v/>
      </c>
      <c r="Z337" s="149" t="str">
        <f t="shared" si="177"/>
        <v/>
      </c>
      <c r="AA337" s="178" t="str">
        <f t="shared" si="178"/>
        <v/>
      </c>
      <c r="AB337" s="113" t="str">
        <f t="shared" si="179"/>
        <v/>
      </c>
      <c r="AC337" s="113" t="str">
        <f t="shared" si="158"/>
        <v/>
      </c>
      <c r="AD337" s="114" t="str">
        <f t="shared" si="180"/>
        <v/>
      </c>
      <c r="AE337" s="114" t="str">
        <f t="shared" si="181"/>
        <v/>
      </c>
      <c r="AF337" s="114" t="str">
        <f t="shared" si="182"/>
        <v/>
      </c>
      <c r="AG337" s="114"/>
      <c r="AH337" s="176" t="str">
        <f t="shared" si="183"/>
        <v/>
      </c>
      <c r="AI337" s="176" t="str">
        <f t="shared" si="184"/>
        <v/>
      </c>
      <c r="AJ337" s="178" t="str">
        <f t="shared" si="185"/>
        <v/>
      </c>
      <c r="AK337" s="113" t="str">
        <f t="shared" si="186"/>
        <v/>
      </c>
      <c r="AL337" s="113" t="str">
        <f t="shared" si="159"/>
        <v/>
      </c>
      <c r="AM337" s="114" t="str">
        <f t="shared" si="187"/>
        <v/>
      </c>
      <c r="AN337" s="114" t="str">
        <f t="shared" si="188"/>
        <v/>
      </c>
      <c r="AO337" s="114" t="str">
        <f t="shared" si="189"/>
        <v/>
      </c>
    </row>
    <row r="338" spans="1:41" x14ac:dyDescent="0.3">
      <c r="A338" s="146">
        <f t="shared" si="160"/>
        <v>316</v>
      </c>
      <c r="B338" s="147" t="str">
        <f t="shared" si="153"/>
        <v/>
      </c>
      <c r="C338" s="147" t="str">
        <f t="shared" si="152"/>
        <v/>
      </c>
      <c r="D338" s="149" t="str">
        <f t="shared" si="161"/>
        <v/>
      </c>
      <c r="E338" s="149" t="str">
        <f t="shared" si="162"/>
        <v/>
      </c>
      <c r="F338" s="149" t="str">
        <f t="shared" si="154"/>
        <v/>
      </c>
      <c r="G338" s="149" t="str">
        <f t="shared" si="155"/>
        <v/>
      </c>
      <c r="H338" s="149" t="str">
        <f t="shared" si="163"/>
        <v/>
      </c>
      <c r="I338" s="149" t="str">
        <f t="shared" si="164"/>
        <v/>
      </c>
      <c r="J338" s="147" t="str">
        <f t="shared" si="165"/>
        <v/>
      </c>
      <c r="K338" s="175" t="str">
        <f t="shared" si="156"/>
        <v/>
      </c>
      <c r="L338" s="149" t="str">
        <f t="shared" si="166"/>
        <v/>
      </c>
      <c r="M338" s="149" t="str">
        <f t="shared" si="167"/>
        <v/>
      </c>
      <c r="N338" s="149" t="str">
        <f t="shared" si="168"/>
        <v/>
      </c>
      <c r="P338" s="149" t="str">
        <f t="shared" si="169"/>
        <v/>
      </c>
      <c r="Q338" s="149" t="str">
        <f t="shared" si="170"/>
        <v/>
      </c>
      <c r="R338" s="178" t="str">
        <f t="shared" si="171"/>
        <v/>
      </c>
      <c r="S338" s="113" t="str">
        <f t="shared" si="172"/>
        <v/>
      </c>
      <c r="T338" s="113" t="str">
        <f t="shared" si="157"/>
        <v/>
      </c>
      <c r="U338" s="114" t="str">
        <f t="shared" si="173"/>
        <v/>
      </c>
      <c r="V338" s="114" t="str">
        <f t="shared" si="174"/>
        <v/>
      </c>
      <c r="W338" s="114" t="str">
        <f t="shared" si="175"/>
        <v/>
      </c>
      <c r="X338" s="114"/>
      <c r="Y338" s="149" t="str">
        <f t="shared" si="176"/>
        <v/>
      </c>
      <c r="Z338" s="149" t="str">
        <f t="shared" si="177"/>
        <v/>
      </c>
      <c r="AA338" s="178" t="str">
        <f t="shared" si="178"/>
        <v/>
      </c>
      <c r="AB338" s="113" t="str">
        <f t="shared" si="179"/>
        <v/>
      </c>
      <c r="AC338" s="113" t="str">
        <f t="shared" si="158"/>
        <v/>
      </c>
      <c r="AD338" s="114" t="str">
        <f t="shared" si="180"/>
        <v/>
      </c>
      <c r="AE338" s="114" t="str">
        <f t="shared" si="181"/>
        <v/>
      </c>
      <c r="AF338" s="114" t="str">
        <f t="shared" si="182"/>
        <v/>
      </c>
      <c r="AG338" s="114"/>
      <c r="AH338" s="176" t="str">
        <f t="shared" si="183"/>
        <v/>
      </c>
      <c r="AI338" s="176" t="str">
        <f t="shared" si="184"/>
        <v/>
      </c>
      <c r="AJ338" s="178" t="str">
        <f t="shared" si="185"/>
        <v/>
      </c>
      <c r="AK338" s="113" t="str">
        <f t="shared" si="186"/>
        <v/>
      </c>
      <c r="AL338" s="113" t="str">
        <f t="shared" si="159"/>
        <v/>
      </c>
      <c r="AM338" s="114" t="str">
        <f t="shared" si="187"/>
        <v/>
      </c>
      <c r="AN338" s="114" t="str">
        <f t="shared" si="188"/>
        <v/>
      </c>
      <c r="AO338" s="114" t="str">
        <f t="shared" si="189"/>
        <v/>
      </c>
    </row>
    <row r="339" spans="1:41" x14ac:dyDescent="0.3">
      <c r="A339" s="146">
        <f t="shared" si="160"/>
        <v>317</v>
      </c>
      <c r="B339" s="147" t="str">
        <f t="shared" si="153"/>
        <v/>
      </c>
      <c r="C339" s="147" t="str">
        <f t="shared" si="152"/>
        <v/>
      </c>
      <c r="D339" s="149" t="str">
        <f t="shared" si="161"/>
        <v/>
      </c>
      <c r="E339" s="149" t="str">
        <f t="shared" si="162"/>
        <v/>
      </c>
      <c r="F339" s="149" t="str">
        <f t="shared" si="154"/>
        <v/>
      </c>
      <c r="G339" s="149" t="str">
        <f t="shared" si="155"/>
        <v/>
      </c>
      <c r="H339" s="149" t="str">
        <f t="shared" si="163"/>
        <v/>
      </c>
      <c r="I339" s="149" t="str">
        <f t="shared" si="164"/>
        <v/>
      </c>
      <c r="J339" s="147" t="str">
        <f t="shared" si="165"/>
        <v/>
      </c>
      <c r="K339" s="175" t="str">
        <f t="shared" si="156"/>
        <v/>
      </c>
      <c r="L339" s="149" t="str">
        <f t="shared" si="166"/>
        <v/>
      </c>
      <c r="M339" s="149" t="str">
        <f t="shared" si="167"/>
        <v/>
      </c>
      <c r="N339" s="149" t="str">
        <f t="shared" si="168"/>
        <v/>
      </c>
      <c r="P339" s="149" t="str">
        <f t="shared" si="169"/>
        <v/>
      </c>
      <c r="Q339" s="149" t="str">
        <f t="shared" si="170"/>
        <v/>
      </c>
      <c r="R339" s="178" t="str">
        <f t="shared" si="171"/>
        <v/>
      </c>
      <c r="S339" s="113" t="str">
        <f t="shared" si="172"/>
        <v/>
      </c>
      <c r="T339" s="113" t="str">
        <f t="shared" si="157"/>
        <v/>
      </c>
      <c r="U339" s="114" t="str">
        <f t="shared" si="173"/>
        <v/>
      </c>
      <c r="V339" s="114" t="str">
        <f t="shared" si="174"/>
        <v/>
      </c>
      <c r="W339" s="114" t="str">
        <f t="shared" si="175"/>
        <v/>
      </c>
      <c r="X339" s="114"/>
      <c r="Y339" s="149" t="str">
        <f t="shared" si="176"/>
        <v/>
      </c>
      <c r="Z339" s="149" t="str">
        <f t="shared" si="177"/>
        <v/>
      </c>
      <c r="AA339" s="178" t="str">
        <f t="shared" si="178"/>
        <v/>
      </c>
      <c r="AB339" s="113" t="str">
        <f t="shared" si="179"/>
        <v/>
      </c>
      <c r="AC339" s="113" t="str">
        <f t="shared" si="158"/>
        <v/>
      </c>
      <c r="AD339" s="114" t="str">
        <f t="shared" si="180"/>
        <v/>
      </c>
      <c r="AE339" s="114" t="str">
        <f t="shared" si="181"/>
        <v/>
      </c>
      <c r="AF339" s="114" t="str">
        <f t="shared" si="182"/>
        <v/>
      </c>
      <c r="AG339" s="114"/>
      <c r="AH339" s="176" t="str">
        <f t="shared" si="183"/>
        <v/>
      </c>
      <c r="AI339" s="176" t="str">
        <f t="shared" si="184"/>
        <v/>
      </c>
      <c r="AJ339" s="178" t="str">
        <f t="shared" si="185"/>
        <v/>
      </c>
      <c r="AK339" s="113" t="str">
        <f t="shared" si="186"/>
        <v/>
      </c>
      <c r="AL339" s="113" t="str">
        <f t="shared" si="159"/>
        <v/>
      </c>
      <c r="AM339" s="114" t="str">
        <f t="shared" si="187"/>
        <v/>
      </c>
      <c r="AN339" s="114" t="str">
        <f t="shared" si="188"/>
        <v/>
      </c>
      <c r="AO339" s="114" t="str">
        <f t="shared" si="189"/>
        <v/>
      </c>
    </row>
    <row r="340" spans="1:41" x14ac:dyDescent="0.3">
      <c r="A340" s="146">
        <f t="shared" si="160"/>
        <v>318</v>
      </c>
      <c r="B340" s="147" t="str">
        <f t="shared" si="153"/>
        <v/>
      </c>
      <c r="C340" s="147" t="str">
        <f t="shared" si="152"/>
        <v/>
      </c>
      <c r="D340" s="149" t="str">
        <f t="shared" si="161"/>
        <v/>
      </c>
      <c r="E340" s="149" t="str">
        <f t="shared" si="162"/>
        <v/>
      </c>
      <c r="F340" s="149" t="str">
        <f t="shared" si="154"/>
        <v/>
      </c>
      <c r="G340" s="149" t="str">
        <f t="shared" si="155"/>
        <v/>
      </c>
      <c r="H340" s="149" t="str">
        <f t="shared" si="163"/>
        <v/>
      </c>
      <c r="I340" s="149" t="str">
        <f t="shared" si="164"/>
        <v/>
      </c>
      <c r="J340" s="147" t="str">
        <f t="shared" si="165"/>
        <v/>
      </c>
      <c r="K340" s="175" t="str">
        <f t="shared" si="156"/>
        <v/>
      </c>
      <c r="L340" s="149" t="str">
        <f t="shared" si="166"/>
        <v/>
      </c>
      <c r="M340" s="149" t="str">
        <f t="shared" si="167"/>
        <v/>
      </c>
      <c r="N340" s="149" t="str">
        <f t="shared" si="168"/>
        <v/>
      </c>
      <c r="P340" s="149" t="str">
        <f t="shared" si="169"/>
        <v/>
      </c>
      <c r="Q340" s="149" t="str">
        <f t="shared" si="170"/>
        <v/>
      </c>
      <c r="R340" s="178" t="str">
        <f t="shared" si="171"/>
        <v/>
      </c>
      <c r="S340" s="113" t="str">
        <f t="shared" si="172"/>
        <v/>
      </c>
      <c r="T340" s="113" t="str">
        <f t="shared" si="157"/>
        <v/>
      </c>
      <c r="U340" s="114" t="str">
        <f t="shared" si="173"/>
        <v/>
      </c>
      <c r="V340" s="114" t="str">
        <f t="shared" si="174"/>
        <v/>
      </c>
      <c r="W340" s="114" t="str">
        <f t="shared" si="175"/>
        <v/>
      </c>
      <c r="X340" s="114"/>
      <c r="Y340" s="149" t="str">
        <f t="shared" si="176"/>
        <v/>
      </c>
      <c r="Z340" s="149" t="str">
        <f t="shared" si="177"/>
        <v/>
      </c>
      <c r="AA340" s="178" t="str">
        <f t="shared" si="178"/>
        <v/>
      </c>
      <c r="AB340" s="113" t="str">
        <f t="shared" si="179"/>
        <v/>
      </c>
      <c r="AC340" s="113" t="str">
        <f t="shared" si="158"/>
        <v/>
      </c>
      <c r="AD340" s="114" t="str">
        <f t="shared" si="180"/>
        <v/>
      </c>
      <c r="AE340" s="114" t="str">
        <f t="shared" si="181"/>
        <v/>
      </c>
      <c r="AF340" s="114" t="str">
        <f t="shared" si="182"/>
        <v/>
      </c>
      <c r="AG340" s="114"/>
      <c r="AH340" s="176" t="str">
        <f t="shared" si="183"/>
        <v/>
      </c>
      <c r="AI340" s="176" t="str">
        <f t="shared" si="184"/>
        <v/>
      </c>
      <c r="AJ340" s="178" t="str">
        <f t="shared" si="185"/>
        <v/>
      </c>
      <c r="AK340" s="113" t="str">
        <f t="shared" si="186"/>
        <v/>
      </c>
      <c r="AL340" s="113" t="str">
        <f t="shared" si="159"/>
        <v/>
      </c>
      <c r="AM340" s="114" t="str">
        <f t="shared" si="187"/>
        <v/>
      </c>
      <c r="AN340" s="114" t="str">
        <f t="shared" si="188"/>
        <v/>
      </c>
      <c r="AO340" s="114" t="str">
        <f t="shared" si="189"/>
        <v/>
      </c>
    </row>
    <row r="341" spans="1:41" x14ac:dyDescent="0.3">
      <c r="A341" s="146">
        <f t="shared" si="160"/>
        <v>319</v>
      </c>
      <c r="B341" s="147" t="str">
        <f t="shared" si="153"/>
        <v/>
      </c>
      <c r="C341" s="147" t="str">
        <f t="shared" si="152"/>
        <v/>
      </c>
      <c r="D341" s="149" t="str">
        <f t="shared" si="161"/>
        <v/>
      </c>
      <c r="E341" s="149" t="str">
        <f t="shared" si="162"/>
        <v/>
      </c>
      <c r="F341" s="149" t="str">
        <f t="shared" si="154"/>
        <v/>
      </c>
      <c r="G341" s="149" t="str">
        <f t="shared" si="155"/>
        <v/>
      </c>
      <c r="H341" s="149" t="str">
        <f t="shared" si="163"/>
        <v/>
      </c>
      <c r="I341" s="149" t="str">
        <f t="shared" si="164"/>
        <v/>
      </c>
      <c r="J341" s="147" t="str">
        <f t="shared" si="165"/>
        <v/>
      </c>
      <c r="K341" s="175" t="str">
        <f t="shared" si="156"/>
        <v/>
      </c>
      <c r="L341" s="149" t="str">
        <f t="shared" si="166"/>
        <v/>
      </c>
      <c r="M341" s="149" t="str">
        <f t="shared" si="167"/>
        <v/>
      </c>
      <c r="N341" s="149" t="str">
        <f t="shared" si="168"/>
        <v/>
      </c>
      <c r="P341" s="149" t="str">
        <f t="shared" si="169"/>
        <v/>
      </c>
      <c r="Q341" s="149" t="str">
        <f t="shared" si="170"/>
        <v/>
      </c>
      <c r="R341" s="178" t="str">
        <f t="shared" si="171"/>
        <v/>
      </c>
      <c r="S341" s="113" t="str">
        <f t="shared" si="172"/>
        <v/>
      </c>
      <c r="T341" s="113" t="str">
        <f t="shared" si="157"/>
        <v/>
      </c>
      <c r="U341" s="114" t="str">
        <f t="shared" si="173"/>
        <v/>
      </c>
      <c r="V341" s="114" t="str">
        <f t="shared" si="174"/>
        <v/>
      </c>
      <c r="W341" s="114" t="str">
        <f t="shared" si="175"/>
        <v/>
      </c>
      <c r="X341" s="114"/>
      <c r="Y341" s="149" t="str">
        <f t="shared" si="176"/>
        <v/>
      </c>
      <c r="Z341" s="149" t="str">
        <f t="shared" si="177"/>
        <v/>
      </c>
      <c r="AA341" s="178" t="str">
        <f t="shared" si="178"/>
        <v/>
      </c>
      <c r="AB341" s="113" t="str">
        <f t="shared" si="179"/>
        <v/>
      </c>
      <c r="AC341" s="113" t="str">
        <f t="shared" si="158"/>
        <v/>
      </c>
      <c r="AD341" s="114" t="str">
        <f t="shared" si="180"/>
        <v/>
      </c>
      <c r="AE341" s="114" t="str">
        <f t="shared" si="181"/>
        <v/>
      </c>
      <c r="AF341" s="114" t="str">
        <f t="shared" si="182"/>
        <v/>
      </c>
      <c r="AG341" s="114"/>
      <c r="AH341" s="176" t="str">
        <f t="shared" si="183"/>
        <v/>
      </c>
      <c r="AI341" s="176" t="str">
        <f t="shared" si="184"/>
        <v/>
      </c>
      <c r="AJ341" s="178" t="str">
        <f t="shared" si="185"/>
        <v/>
      </c>
      <c r="AK341" s="113" t="str">
        <f t="shared" si="186"/>
        <v/>
      </c>
      <c r="AL341" s="113" t="str">
        <f t="shared" si="159"/>
        <v/>
      </c>
      <c r="AM341" s="114" t="str">
        <f t="shared" si="187"/>
        <v/>
      </c>
      <c r="AN341" s="114" t="str">
        <f t="shared" si="188"/>
        <v/>
      </c>
      <c r="AO341" s="114" t="str">
        <f t="shared" si="189"/>
        <v/>
      </c>
    </row>
    <row r="342" spans="1:41" x14ac:dyDescent="0.3">
      <c r="A342" s="146">
        <f t="shared" si="160"/>
        <v>320</v>
      </c>
      <c r="B342" s="147" t="str">
        <f t="shared" si="153"/>
        <v/>
      </c>
      <c r="C342" s="147" t="str">
        <f t="shared" ref="C342:C382" si="190">IF($A342&gt;$B$4,"",$B$11*$B$13-B342)</f>
        <v/>
      </c>
      <c r="D342" s="149" t="str">
        <f t="shared" si="161"/>
        <v/>
      </c>
      <c r="E342" s="149" t="str">
        <f t="shared" si="162"/>
        <v/>
      </c>
      <c r="F342" s="149" t="str">
        <f t="shared" si="154"/>
        <v/>
      </c>
      <c r="G342" s="149" t="str">
        <f t="shared" si="155"/>
        <v/>
      </c>
      <c r="H342" s="149" t="str">
        <f t="shared" si="163"/>
        <v/>
      </c>
      <c r="I342" s="149" t="str">
        <f t="shared" si="164"/>
        <v/>
      </c>
      <c r="J342" s="147" t="str">
        <f t="shared" si="165"/>
        <v/>
      </c>
      <c r="K342" s="175" t="str">
        <f t="shared" si="156"/>
        <v/>
      </c>
      <c r="L342" s="149" t="str">
        <f t="shared" si="166"/>
        <v/>
      </c>
      <c r="M342" s="149" t="str">
        <f t="shared" si="167"/>
        <v/>
      </c>
      <c r="N342" s="149" t="str">
        <f t="shared" si="168"/>
        <v/>
      </c>
      <c r="P342" s="149" t="str">
        <f t="shared" si="169"/>
        <v/>
      </c>
      <c r="Q342" s="149" t="str">
        <f t="shared" si="170"/>
        <v/>
      </c>
      <c r="R342" s="178" t="str">
        <f t="shared" si="171"/>
        <v/>
      </c>
      <c r="S342" s="113" t="str">
        <f t="shared" si="172"/>
        <v/>
      </c>
      <c r="T342" s="113" t="str">
        <f t="shared" si="157"/>
        <v/>
      </c>
      <c r="U342" s="114" t="str">
        <f t="shared" si="173"/>
        <v/>
      </c>
      <c r="V342" s="114" t="str">
        <f t="shared" si="174"/>
        <v/>
      </c>
      <c r="W342" s="114" t="str">
        <f t="shared" si="175"/>
        <v/>
      </c>
      <c r="X342" s="114"/>
      <c r="Y342" s="149" t="str">
        <f t="shared" si="176"/>
        <v/>
      </c>
      <c r="Z342" s="149" t="str">
        <f t="shared" si="177"/>
        <v/>
      </c>
      <c r="AA342" s="178" t="str">
        <f t="shared" si="178"/>
        <v/>
      </c>
      <c r="AB342" s="113" t="str">
        <f t="shared" si="179"/>
        <v/>
      </c>
      <c r="AC342" s="113" t="str">
        <f t="shared" si="158"/>
        <v/>
      </c>
      <c r="AD342" s="114" t="str">
        <f t="shared" si="180"/>
        <v/>
      </c>
      <c r="AE342" s="114" t="str">
        <f t="shared" si="181"/>
        <v/>
      </c>
      <c r="AF342" s="114" t="str">
        <f t="shared" si="182"/>
        <v/>
      </c>
      <c r="AG342" s="114"/>
      <c r="AH342" s="176" t="str">
        <f t="shared" si="183"/>
        <v/>
      </c>
      <c r="AI342" s="176" t="str">
        <f t="shared" si="184"/>
        <v/>
      </c>
      <c r="AJ342" s="178" t="str">
        <f t="shared" si="185"/>
        <v/>
      </c>
      <c r="AK342" s="113" t="str">
        <f t="shared" si="186"/>
        <v/>
      </c>
      <c r="AL342" s="113" t="str">
        <f t="shared" si="159"/>
        <v/>
      </c>
      <c r="AM342" s="114" t="str">
        <f t="shared" si="187"/>
        <v/>
      </c>
      <c r="AN342" s="114" t="str">
        <f t="shared" si="188"/>
        <v/>
      </c>
      <c r="AO342" s="114" t="str">
        <f t="shared" si="189"/>
        <v/>
      </c>
    </row>
    <row r="343" spans="1:41" x14ac:dyDescent="0.3">
      <c r="A343" s="146">
        <f t="shared" si="160"/>
        <v>321</v>
      </c>
      <c r="B343" s="147" t="str">
        <f t="shared" ref="B343:B382" si="191">IF(A343&gt;$B$4,"",B$4-A343)</f>
        <v/>
      </c>
      <c r="C343" s="147" t="str">
        <f t="shared" si="190"/>
        <v/>
      </c>
      <c r="D343" s="149" t="str">
        <f t="shared" si="161"/>
        <v/>
      </c>
      <c r="E343" s="149" t="str">
        <f t="shared" si="162"/>
        <v/>
      </c>
      <c r="F343" s="149" t="str">
        <f t="shared" ref="F343:F382" si="192">IF(A343&gt;$B$4,"",D342*$B$15)</f>
        <v/>
      </c>
      <c r="G343" s="149" t="str">
        <f t="shared" ref="G343:G382" si="193">IF(A343&gt;$B$4,"",D342*$B$16)</f>
        <v/>
      </c>
      <c r="H343" s="149" t="str">
        <f t="shared" si="163"/>
        <v/>
      </c>
      <c r="I343" s="149" t="str">
        <f t="shared" si="164"/>
        <v/>
      </c>
      <c r="J343" s="147" t="str">
        <f t="shared" si="165"/>
        <v/>
      </c>
      <c r="K343" s="175" t="str">
        <f t="shared" ref="K343:K382" si="194">IF(A343&gt;$B$4,"",1-(1-J343)^(1/$B$11))</f>
        <v/>
      </c>
      <c r="L343" s="149" t="str">
        <f t="shared" si="166"/>
        <v/>
      </c>
      <c r="M343" s="149" t="str">
        <f t="shared" si="167"/>
        <v/>
      </c>
      <c r="N343" s="149" t="str">
        <f t="shared" si="168"/>
        <v/>
      </c>
      <c r="P343" s="149" t="str">
        <f t="shared" si="169"/>
        <v/>
      </c>
      <c r="Q343" s="149" t="str">
        <f t="shared" si="170"/>
        <v/>
      </c>
      <c r="R343" s="178" t="str">
        <f t="shared" si="171"/>
        <v/>
      </c>
      <c r="S343" s="113" t="str">
        <f t="shared" si="172"/>
        <v/>
      </c>
      <c r="T343" s="113" t="str">
        <f t="shared" ref="T343:T382" si="195">IF(A343&gt;$B$4,"",S343/(1+$B$14)^(A343/$B$11*$B$8))</f>
        <v/>
      </c>
      <c r="U343" s="114" t="str">
        <f t="shared" si="173"/>
        <v/>
      </c>
      <c r="V343" s="114" t="str">
        <f t="shared" si="174"/>
        <v/>
      </c>
      <c r="W343" s="114" t="str">
        <f t="shared" si="175"/>
        <v/>
      </c>
      <c r="X343" s="114"/>
      <c r="Y343" s="149" t="str">
        <f t="shared" si="176"/>
        <v/>
      </c>
      <c r="Z343" s="149" t="str">
        <f t="shared" si="177"/>
        <v/>
      </c>
      <c r="AA343" s="178" t="str">
        <f t="shared" si="178"/>
        <v/>
      </c>
      <c r="AB343" s="113" t="str">
        <f t="shared" si="179"/>
        <v/>
      </c>
      <c r="AC343" s="113" t="str">
        <f t="shared" ref="AC343:AC382" si="196">IF(A343&gt;$B$4,"",AB343/(1+$B$14)^(A343/$B$11*$B$8))</f>
        <v/>
      </c>
      <c r="AD343" s="114" t="str">
        <f t="shared" si="180"/>
        <v/>
      </c>
      <c r="AE343" s="114" t="str">
        <f t="shared" si="181"/>
        <v/>
      </c>
      <c r="AF343" s="114" t="str">
        <f t="shared" si="182"/>
        <v/>
      </c>
      <c r="AG343" s="114"/>
      <c r="AH343" s="176" t="str">
        <f t="shared" si="183"/>
        <v/>
      </c>
      <c r="AI343" s="176" t="str">
        <f t="shared" si="184"/>
        <v/>
      </c>
      <c r="AJ343" s="178" t="str">
        <f t="shared" si="185"/>
        <v/>
      </c>
      <c r="AK343" s="113" t="str">
        <f t="shared" si="186"/>
        <v/>
      </c>
      <c r="AL343" s="113" t="str">
        <f t="shared" ref="AL343:AL382" si="197">IF(A343&gt;$B$4,"",AK343/(1+$B$14)^(A343/$B$11*$B$8))</f>
        <v/>
      </c>
      <c r="AM343" s="114" t="str">
        <f t="shared" si="187"/>
        <v/>
      </c>
      <c r="AN343" s="114" t="str">
        <f t="shared" si="188"/>
        <v/>
      </c>
      <c r="AO343" s="114" t="str">
        <f t="shared" si="189"/>
        <v/>
      </c>
    </row>
    <row r="344" spans="1:41" x14ac:dyDescent="0.3">
      <c r="A344" s="146">
        <f t="shared" ref="A344:A379" si="198">A343+1</f>
        <v>322</v>
      </c>
      <c r="B344" s="147" t="str">
        <f t="shared" si="191"/>
        <v/>
      </c>
      <c r="C344" s="147" t="str">
        <f t="shared" si="190"/>
        <v/>
      </c>
      <c r="D344" s="149" t="str">
        <f t="shared" ref="D344:D382" si="199">IF(A344&gt;$B$4,"",D343-I344-L344)</f>
        <v/>
      </c>
      <c r="E344" s="149" t="str">
        <f t="shared" ref="E344:E382" si="200">IF(A344&gt;$B$4,"",MIN(E343*(1-K343),D343*(1+$B$15)))</f>
        <v/>
      </c>
      <c r="F344" s="149" t="str">
        <f t="shared" si="192"/>
        <v/>
      </c>
      <c r="G344" s="149" t="str">
        <f t="shared" si="193"/>
        <v/>
      </c>
      <c r="H344" s="149" t="str">
        <f t="shared" ref="H344:H382" si="201">IF(A344&gt;$B$4,"",F344-G344)</f>
        <v/>
      </c>
      <c r="I344" s="149" t="str">
        <f t="shared" ref="I344:I382" si="202">IF(A344&gt;$B$4,"",E344-F344)</f>
        <v/>
      </c>
      <c r="J344" s="147" t="str">
        <f t="shared" ref="J344:J382" si="203">IF(A344&gt;$B$4,"",$B$9/100*MIN(C344/30,1)*0.06)</f>
        <v/>
      </c>
      <c r="K344" s="175" t="str">
        <f t="shared" si="194"/>
        <v/>
      </c>
      <c r="L344" s="149" t="str">
        <f t="shared" ref="L344:L382" si="204">IF(A344&gt;$B$4,"",(D343-I344)*K344)</f>
        <v/>
      </c>
      <c r="M344" s="149" t="str">
        <f t="shared" ref="M344:M382" si="205">IF(A344&gt;$B$4,"",G344+I344+L344)</f>
        <v/>
      </c>
      <c r="N344" s="149" t="str">
        <f t="shared" ref="N344:N382" si="206">IF($A344&gt;$B$4,"",I344+L344)</f>
        <v/>
      </c>
      <c r="P344" s="149" t="str">
        <f t="shared" ref="P344:P382" si="207">IF($A344&gt;$B$4,"",MAX(0,P343-R344))</f>
        <v/>
      </c>
      <c r="Q344" s="149" t="str">
        <f t="shared" ref="Q344:Q382" si="208">IF($A344&gt;$B$4,"",IF(P343&gt;0,$H$6*P343,0))</f>
        <v/>
      </c>
      <c r="R344" s="178" t="str">
        <f t="shared" ref="R344:R382" si="209">IF($A344&gt;$B$4,"",MIN(P343,$N344+AI344))</f>
        <v/>
      </c>
      <c r="S344" s="113" t="str">
        <f t="shared" ref="S344:S382" si="210">IF($A344&gt;$B$4,"",Q344+R344)</f>
        <v/>
      </c>
      <c r="T344" s="113" t="str">
        <f t="shared" si="195"/>
        <v/>
      </c>
      <c r="U344" s="114" t="str">
        <f t="shared" ref="U344:U382" si="211">IF($A344&gt;$B$4,"",A344/6)</f>
        <v/>
      </c>
      <c r="V344" s="114" t="str">
        <f t="shared" ref="V344:V382" si="212">IF($A344&gt;$B$4,"",T344/$T$21)</f>
        <v/>
      </c>
      <c r="W344" s="114" t="str">
        <f t="shared" ref="W344:W382" si="213">IF($A344&gt;$B$4,"",U344*(U344+1))</f>
        <v/>
      </c>
      <c r="X344" s="114"/>
      <c r="Y344" s="149" t="str">
        <f t="shared" ref="Y344:Y382" si="214">IF($A344&gt;$B$4,"",MAX(0,Y343-AA344))</f>
        <v/>
      </c>
      <c r="Z344" s="149" t="str">
        <f t="shared" ref="Z344:Z382" si="215">IF($A344&gt;$B$4,"",IF(Y343&gt;0,$H$7*Y343,0))</f>
        <v/>
      </c>
      <c r="AA344" s="178" t="str">
        <f t="shared" ref="AA344:AA382" si="216">IF($A344&gt;$B$4,"",IF(P344&gt;0,0,MIN(Y343,$N344-R344+AI344)))</f>
        <v/>
      </c>
      <c r="AB344" s="113" t="str">
        <f t="shared" ref="AB344:AB382" si="217">IF($A344&gt;$B$4,"",Z344+AA344)</f>
        <v/>
      </c>
      <c r="AC344" s="113" t="str">
        <f t="shared" si="196"/>
        <v/>
      </c>
      <c r="AD344" s="114" t="str">
        <f t="shared" ref="AD344:AD382" si="218">IF($A344&gt;$B$4,"",A344/6)</f>
        <v/>
      </c>
      <c r="AE344" s="114" t="str">
        <f t="shared" ref="AE344:AE382" si="219">IF($A344&gt;$B$4,"",AC344/$AC$21)</f>
        <v/>
      </c>
      <c r="AF344" s="114" t="str">
        <f t="shared" ref="AF344:AF382" si="220">IF($A344&gt;$B$4,"",AD344*(AD344+1))</f>
        <v/>
      </c>
      <c r="AG344" s="114"/>
      <c r="AH344" s="176" t="str">
        <f t="shared" ref="AH344:AH382" si="221">IF($A344&gt;$B$4,"",MAX(0,AH343-AJ344))</f>
        <v/>
      </c>
      <c r="AI344" s="176" t="str">
        <f t="shared" ref="AI344:AI382" si="222">IF($A344&gt;$B$4,"",IF(AH343&gt;0,$H$8*AH343,0))</f>
        <v/>
      </c>
      <c r="AJ344" s="178" t="str">
        <f t="shared" ref="AJ344:AJ382" si="223">IF($A344&gt;$B$4,"",IF(Y344&gt;0,-AI344,MIN(AH343,$N344-AA344)))</f>
        <v/>
      </c>
      <c r="AK344" s="113" t="str">
        <f t="shared" ref="AK344:AK382" si="224">IF($A344&gt;$B$4,"",AI344+AJ344)</f>
        <v/>
      </c>
      <c r="AL344" s="113" t="str">
        <f t="shared" si="197"/>
        <v/>
      </c>
      <c r="AM344" s="114" t="str">
        <f t="shared" ref="AM344:AM382" si="225">IF($A344&gt;$B$4,"",A344/6)</f>
        <v/>
      </c>
      <c r="AN344" s="114" t="str">
        <f t="shared" ref="AN344:AN382" si="226">IF($A344&gt;$B$4,"",AL344/$AL$21)</f>
        <v/>
      </c>
      <c r="AO344" s="114" t="str">
        <f t="shared" ref="AO344:AO382" si="227">IF($A344&gt;$B$4,"",AM344*(AM344+1))</f>
        <v/>
      </c>
    </row>
    <row r="345" spans="1:41" x14ac:dyDescent="0.3">
      <c r="A345" s="146">
        <f t="shared" si="198"/>
        <v>323</v>
      </c>
      <c r="B345" s="147" t="str">
        <f t="shared" si="191"/>
        <v/>
      </c>
      <c r="C345" s="147" t="str">
        <f t="shared" si="190"/>
        <v/>
      </c>
      <c r="D345" s="149" t="str">
        <f t="shared" si="199"/>
        <v/>
      </c>
      <c r="E345" s="149" t="str">
        <f t="shared" si="200"/>
        <v/>
      </c>
      <c r="F345" s="149" t="str">
        <f t="shared" si="192"/>
        <v/>
      </c>
      <c r="G345" s="149" t="str">
        <f t="shared" si="193"/>
        <v/>
      </c>
      <c r="H345" s="149" t="str">
        <f t="shared" si="201"/>
        <v/>
      </c>
      <c r="I345" s="149" t="str">
        <f t="shared" si="202"/>
        <v/>
      </c>
      <c r="J345" s="147" t="str">
        <f t="shared" si="203"/>
        <v/>
      </c>
      <c r="K345" s="175" t="str">
        <f t="shared" si="194"/>
        <v/>
      </c>
      <c r="L345" s="149" t="str">
        <f t="shared" si="204"/>
        <v/>
      </c>
      <c r="M345" s="149" t="str">
        <f t="shared" si="205"/>
        <v/>
      </c>
      <c r="N345" s="149" t="str">
        <f t="shared" si="206"/>
        <v/>
      </c>
      <c r="P345" s="149" t="str">
        <f t="shared" si="207"/>
        <v/>
      </c>
      <c r="Q345" s="149" t="str">
        <f t="shared" si="208"/>
        <v/>
      </c>
      <c r="R345" s="178" t="str">
        <f t="shared" si="209"/>
        <v/>
      </c>
      <c r="S345" s="113" t="str">
        <f t="shared" si="210"/>
        <v/>
      </c>
      <c r="T345" s="113" t="str">
        <f t="shared" si="195"/>
        <v/>
      </c>
      <c r="U345" s="114" t="str">
        <f t="shared" si="211"/>
        <v/>
      </c>
      <c r="V345" s="114" t="str">
        <f t="shared" si="212"/>
        <v/>
      </c>
      <c r="W345" s="114" t="str">
        <f t="shared" si="213"/>
        <v/>
      </c>
      <c r="X345" s="114"/>
      <c r="Y345" s="149" t="str">
        <f t="shared" si="214"/>
        <v/>
      </c>
      <c r="Z345" s="149" t="str">
        <f t="shared" si="215"/>
        <v/>
      </c>
      <c r="AA345" s="178" t="str">
        <f t="shared" si="216"/>
        <v/>
      </c>
      <c r="AB345" s="113" t="str">
        <f t="shared" si="217"/>
        <v/>
      </c>
      <c r="AC345" s="113" t="str">
        <f t="shared" si="196"/>
        <v/>
      </c>
      <c r="AD345" s="114" t="str">
        <f t="shared" si="218"/>
        <v/>
      </c>
      <c r="AE345" s="114" t="str">
        <f t="shared" si="219"/>
        <v/>
      </c>
      <c r="AF345" s="114" t="str">
        <f t="shared" si="220"/>
        <v/>
      </c>
      <c r="AG345" s="114"/>
      <c r="AH345" s="176" t="str">
        <f t="shared" si="221"/>
        <v/>
      </c>
      <c r="AI345" s="176" t="str">
        <f t="shared" si="222"/>
        <v/>
      </c>
      <c r="AJ345" s="178" t="str">
        <f t="shared" si="223"/>
        <v/>
      </c>
      <c r="AK345" s="113" t="str">
        <f t="shared" si="224"/>
        <v/>
      </c>
      <c r="AL345" s="113" t="str">
        <f t="shared" si="197"/>
        <v/>
      </c>
      <c r="AM345" s="114" t="str">
        <f t="shared" si="225"/>
        <v/>
      </c>
      <c r="AN345" s="114" t="str">
        <f t="shared" si="226"/>
        <v/>
      </c>
      <c r="AO345" s="114" t="str">
        <f t="shared" si="227"/>
        <v/>
      </c>
    </row>
    <row r="346" spans="1:41" x14ac:dyDescent="0.3">
      <c r="A346" s="146">
        <f t="shared" si="198"/>
        <v>324</v>
      </c>
      <c r="B346" s="147" t="str">
        <f t="shared" si="191"/>
        <v/>
      </c>
      <c r="C346" s="147" t="str">
        <f t="shared" si="190"/>
        <v/>
      </c>
      <c r="D346" s="149" t="str">
        <f t="shared" si="199"/>
        <v/>
      </c>
      <c r="E346" s="149" t="str">
        <f t="shared" si="200"/>
        <v/>
      </c>
      <c r="F346" s="149" t="str">
        <f t="shared" si="192"/>
        <v/>
      </c>
      <c r="G346" s="149" t="str">
        <f t="shared" si="193"/>
        <v/>
      </c>
      <c r="H346" s="149" t="str">
        <f t="shared" si="201"/>
        <v/>
      </c>
      <c r="I346" s="149" t="str">
        <f t="shared" si="202"/>
        <v/>
      </c>
      <c r="J346" s="147" t="str">
        <f t="shared" si="203"/>
        <v/>
      </c>
      <c r="K346" s="175" t="str">
        <f t="shared" si="194"/>
        <v/>
      </c>
      <c r="L346" s="149" t="str">
        <f t="shared" si="204"/>
        <v/>
      </c>
      <c r="M346" s="149" t="str">
        <f t="shared" si="205"/>
        <v/>
      </c>
      <c r="N346" s="149" t="str">
        <f t="shared" si="206"/>
        <v/>
      </c>
      <c r="P346" s="149" t="str">
        <f t="shared" si="207"/>
        <v/>
      </c>
      <c r="Q346" s="149" t="str">
        <f t="shared" si="208"/>
        <v/>
      </c>
      <c r="R346" s="178" t="str">
        <f t="shared" si="209"/>
        <v/>
      </c>
      <c r="S346" s="113" t="str">
        <f t="shared" si="210"/>
        <v/>
      </c>
      <c r="T346" s="113" t="str">
        <f t="shared" si="195"/>
        <v/>
      </c>
      <c r="U346" s="114" t="str">
        <f t="shared" si="211"/>
        <v/>
      </c>
      <c r="V346" s="114" t="str">
        <f t="shared" si="212"/>
        <v/>
      </c>
      <c r="W346" s="114" t="str">
        <f t="shared" si="213"/>
        <v/>
      </c>
      <c r="X346" s="114"/>
      <c r="Y346" s="149" t="str">
        <f t="shared" si="214"/>
        <v/>
      </c>
      <c r="Z346" s="149" t="str">
        <f t="shared" si="215"/>
        <v/>
      </c>
      <c r="AA346" s="178" t="str">
        <f t="shared" si="216"/>
        <v/>
      </c>
      <c r="AB346" s="113" t="str">
        <f t="shared" si="217"/>
        <v/>
      </c>
      <c r="AC346" s="113" t="str">
        <f t="shared" si="196"/>
        <v/>
      </c>
      <c r="AD346" s="114" t="str">
        <f t="shared" si="218"/>
        <v/>
      </c>
      <c r="AE346" s="114" t="str">
        <f t="shared" si="219"/>
        <v/>
      </c>
      <c r="AF346" s="114" t="str">
        <f t="shared" si="220"/>
        <v/>
      </c>
      <c r="AG346" s="114"/>
      <c r="AH346" s="176" t="str">
        <f t="shared" si="221"/>
        <v/>
      </c>
      <c r="AI346" s="176" t="str">
        <f t="shared" si="222"/>
        <v/>
      </c>
      <c r="AJ346" s="178" t="str">
        <f t="shared" si="223"/>
        <v/>
      </c>
      <c r="AK346" s="113" t="str">
        <f t="shared" si="224"/>
        <v/>
      </c>
      <c r="AL346" s="113" t="str">
        <f t="shared" si="197"/>
        <v/>
      </c>
      <c r="AM346" s="114" t="str">
        <f t="shared" si="225"/>
        <v/>
      </c>
      <c r="AN346" s="114" t="str">
        <f t="shared" si="226"/>
        <v/>
      </c>
      <c r="AO346" s="114" t="str">
        <f t="shared" si="227"/>
        <v/>
      </c>
    </row>
    <row r="347" spans="1:41" x14ac:dyDescent="0.3">
      <c r="A347" s="146">
        <f t="shared" si="198"/>
        <v>325</v>
      </c>
      <c r="B347" s="147" t="str">
        <f t="shared" si="191"/>
        <v/>
      </c>
      <c r="C347" s="147" t="str">
        <f t="shared" si="190"/>
        <v/>
      </c>
      <c r="D347" s="149" t="str">
        <f t="shared" si="199"/>
        <v/>
      </c>
      <c r="E347" s="149" t="str">
        <f t="shared" si="200"/>
        <v/>
      </c>
      <c r="F347" s="149" t="str">
        <f t="shared" si="192"/>
        <v/>
      </c>
      <c r="G347" s="149" t="str">
        <f t="shared" si="193"/>
        <v/>
      </c>
      <c r="H347" s="149" t="str">
        <f t="shared" si="201"/>
        <v/>
      </c>
      <c r="I347" s="149" t="str">
        <f t="shared" si="202"/>
        <v/>
      </c>
      <c r="J347" s="147" t="str">
        <f t="shared" si="203"/>
        <v/>
      </c>
      <c r="K347" s="175" t="str">
        <f t="shared" si="194"/>
        <v/>
      </c>
      <c r="L347" s="149" t="str">
        <f t="shared" si="204"/>
        <v/>
      </c>
      <c r="M347" s="149" t="str">
        <f t="shared" si="205"/>
        <v/>
      </c>
      <c r="N347" s="149" t="str">
        <f t="shared" si="206"/>
        <v/>
      </c>
      <c r="P347" s="149" t="str">
        <f t="shared" si="207"/>
        <v/>
      </c>
      <c r="Q347" s="149" t="str">
        <f t="shared" si="208"/>
        <v/>
      </c>
      <c r="R347" s="178" t="str">
        <f t="shared" si="209"/>
        <v/>
      </c>
      <c r="S347" s="113" t="str">
        <f t="shared" si="210"/>
        <v/>
      </c>
      <c r="T347" s="113" t="str">
        <f t="shared" si="195"/>
        <v/>
      </c>
      <c r="U347" s="114" t="str">
        <f t="shared" si="211"/>
        <v/>
      </c>
      <c r="V347" s="114" t="str">
        <f t="shared" si="212"/>
        <v/>
      </c>
      <c r="W347" s="114" t="str">
        <f t="shared" si="213"/>
        <v/>
      </c>
      <c r="X347" s="114"/>
      <c r="Y347" s="149" t="str">
        <f t="shared" si="214"/>
        <v/>
      </c>
      <c r="Z347" s="149" t="str">
        <f t="shared" si="215"/>
        <v/>
      </c>
      <c r="AA347" s="178" t="str">
        <f t="shared" si="216"/>
        <v/>
      </c>
      <c r="AB347" s="113" t="str">
        <f t="shared" si="217"/>
        <v/>
      </c>
      <c r="AC347" s="113" t="str">
        <f t="shared" si="196"/>
        <v/>
      </c>
      <c r="AD347" s="114" t="str">
        <f t="shared" si="218"/>
        <v/>
      </c>
      <c r="AE347" s="114" t="str">
        <f t="shared" si="219"/>
        <v/>
      </c>
      <c r="AF347" s="114" t="str">
        <f t="shared" si="220"/>
        <v/>
      </c>
      <c r="AG347" s="114"/>
      <c r="AH347" s="176" t="str">
        <f t="shared" si="221"/>
        <v/>
      </c>
      <c r="AI347" s="176" t="str">
        <f t="shared" si="222"/>
        <v/>
      </c>
      <c r="AJ347" s="178" t="str">
        <f t="shared" si="223"/>
        <v/>
      </c>
      <c r="AK347" s="113" t="str">
        <f t="shared" si="224"/>
        <v/>
      </c>
      <c r="AL347" s="113" t="str">
        <f t="shared" si="197"/>
        <v/>
      </c>
      <c r="AM347" s="114" t="str">
        <f t="shared" si="225"/>
        <v/>
      </c>
      <c r="AN347" s="114" t="str">
        <f t="shared" si="226"/>
        <v/>
      </c>
      <c r="AO347" s="114" t="str">
        <f t="shared" si="227"/>
        <v/>
      </c>
    </row>
    <row r="348" spans="1:41" x14ac:dyDescent="0.3">
      <c r="A348" s="146">
        <f t="shared" si="198"/>
        <v>326</v>
      </c>
      <c r="B348" s="147" t="str">
        <f t="shared" si="191"/>
        <v/>
      </c>
      <c r="C348" s="147" t="str">
        <f t="shared" si="190"/>
        <v/>
      </c>
      <c r="D348" s="149" t="str">
        <f t="shared" si="199"/>
        <v/>
      </c>
      <c r="E348" s="149" t="str">
        <f t="shared" si="200"/>
        <v/>
      </c>
      <c r="F348" s="149" t="str">
        <f t="shared" si="192"/>
        <v/>
      </c>
      <c r="G348" s="149" t="str">
        <f t="shared" si="193"/>
        <v/>
      </c>
      <c r="H348" s="149" t="str">
        <f t="shared" si="201"/>
        <v/>
      </c>
      <c r="I348" s="149" t="str">
        <f t="shared" si="202"/>
        <v/>
      </c>
      <c r="J348" s="147" t="str">
        <f t="shared" si="203"/>
        <v/>
      </c>
      <c r="K348" s="175" t="str">
        <f t="shared" si="194"/>
        <v/>
      </c>
      <c r="L348" s="149" t="str">
        <f t="shared" si="204"/>
        <v/>
      </c>
      <c r="M348" s="149" t="str">
        <f t="shared" si="205"/>
        <v/>
      </c>
      <c r="N348" s="149" t="str">
        <f t="shared" si="206"/>
        <v/>
      </c>
      <c r="P348" s="149" t="str">
        <f t="shared" si="207"/>
        <v/>
      </c>
      <c r="Q348" s="149" t="str">
        <f t="shared" si="208"/>
        <v/>
      </c>
      <c r="R348" s="178" t="str">
        <f t="shared" si="209"/>
        <v/>
      </c>
      <c r="S348" s="113" t="str">
        <f t="shared" si="210"/>
        <v/>
      </c>
      <c r="T348" s="113" t="str">
        <f t="shared" si="195"/>
        <v/>
      </c>
      <c r="U348" s="114" t="str">
        <f t="shared" si="211"/>
        <v/>
      </c>
      <c r="V348" s="114" t="str">
        <f t="shared" si="212"/>
        <v/>
      </c>
      <c r="W348" s="114" t="str">
        <f t="shared" si="213"/>
        <v/>
      </c>
      <c r="X348" s="114"/>
      <c r="Y348" s="149" t="str">
        <f t="shared" si="214"/>
        <v/>
      </c>
      <c r="Z348" s="149" t="str">
        <f t="shared" si="215"/>
        <v/>
      </c>
      <c r="AA348" s="178" t="str">
        <f t="shared" si="216"/>
        <v/>
      </c>
      <c r="AB348" s="113" t="str">
        <f t="shared" si="217"/>
        <v/>
      </c>
      <c r="AC348" s="113" t="str">
        <f t="shared" si="196"/>
        <v/>
      </c>
      <c r="AD348" s="114" t="str">
        <f t="shared" si="218"/>
        <v/>
      </c>
      <c r="AE348" s="114" t="str">
        <f t="shared" si="219"/>
        <v/>
      </c>
      <c r="AF348" s="114" t="str">
        <f t="shared" si="220"/>
        <v/>
      </c>
      <c r="AG348" s="114"/>
      <c r="AH348" s="176" t="str">
        <f t="shared" si="221"/>
        <v/>
      </c>
      <c r="AI348" s="176" t="str">
        <f t="shared" si="222"/>
        <v/>
      </c>
      <c r="AJ348" s="178" t="str">
        <f t="shared" si="223"/>
        <v/>
      </c>
      <c r="AK348" s="113" t="str">
        <f t="shared" si="224"/>
        <v/>
      </c>
      <c r="AL348" s="113" t="str">
        <f t="shared" si="197"/>
        <v/>
      </c>
      <c r="AM348" s="114" t="str">
        <f t="shared" si="225"/>
        <v/>
      </c>
      <c r="AN348" s="114" t="str">
        <f t="shared" si="226"/>
        <v/>
      </c>
      <c r="AO348" s="114" t="str">
        <f t="shared" si="227"/>
        <v/>
      </c>
    </row>
    <row r="349" spans="1:41" x14ac:dyDescent="0.3">
      <c r="A349" s="146">
        <f t="shared" si="198"/>
        <v>327</v>
      </c>
      <c r="B349" s="147" t="str">
        <f t="shared" si="191"/>
        <v/>
      </c>
      <c r="C349" s="147" t="str">
        <f t="shared" si="190"/>
        <v/>
      </c>
      <c r="D349" s="149" t="str">
        <f t="shared" si="199"/>
        <v/>
      </c>
      <c r="E349" s="149" t="str">
        <f t="shared" si="200"/>
        <v/>
      </c>
      <c r="F349" s="149" t="str">
        <f t="shared" si="192"/>
        <v/>
      </c>
      <c r="G349" s="149" t="str">
        <f t="shared" si="193"/>
        <v/>
      </c>
      <c r="H349" s="149" t="str">
        <f t="shared" si="201"/>
        <v/>
      </c>
      <c r="I349" s="149" t="str">
        <f t="shared" si="202"/>
        <v/>
      </c>
      <c r="J349" s="147" t="str">
        <f t="shared" si="203"/>
        <v/>
      </c>
      <c r="K349" s="175" t="str">
        <f t="shared" si="194"/>
        <v/>
      </c>
      <c r="L349" s="149" t="str">
        <f t="shared" si="204"/>
        <v/>
      </c>
      <c r="M349" s="149" t="str">
        <f t="shared" si="205"/>
        <v/>
      </c>
      <c r="N349" s="149" t="str">
        <f t="shared" si="206"/>
        <v/>
      </c>
      <c r="P349" s="149" t="str">
        <f t="shared" si="207"/>
        <v/>
      </c>
      <c r="Q349" s="149" t="str">
        <f t="shared" si="208"/>
        <v/>
      </c>
      <c r="R349" s="178" t="str">
        <f t="shared" si="209"/>
        <v/>
      </c>
      <c r="S349" s="113" t="str">
        <f t="shared" si="210"/>
        <v/>
      </c>
      <c r="T349" s="113" t="str">
        <f t="shared" si="195"/>
        <v/>
      </c>
      <c r="U349" s="114" t="str">
        <f t="shared" si="211"/>
        <v/>
      </c>
      <c r="V349" s="114" t="str">
        <f t="shared" si="212"/>
        <v/>
      </c>
      <c r="W349" s="114" t="str">
        <f t="shared" si="213"/>
        <v/>
      </c>
      <c r="X349" s="114"/>
      <c r="Y349" s="149" t="str">
        <f t="shared" si="214"/>
        <v/>
      </c>
      <c r="Z349" s="149" t="str">
        <f t="shared" si="215"/>
        <v/>
      </c>
      <c r="AA349" s="178" t="str">
        <f t="shared" si="216"/>
        <v/>
      </c>
      <c r="AB349" s="113" t="str">
        <f t="shared" si="217"/>
        <v/>
      </c>
      <c r="AC349" s="113" t="str">
        <f t="shared" si="196"/>
        <v/>
      </c>
      <c r="AD349" s="114" t="str">
        <f t="shared" si="218"/>
        <v/>
      </c>
      <c r="AE349" s="114" t="str">
        <f t="shared" si="219"/>
        <v/>
      </c>
      <c r="AF349" s="114" t="str">
        <f t="shared" si="220"/>
        <v/>
      </c>
      <c r="AG349" s="114"/>
      <c r="AH349" s="176" t="str">
        <f t="shared" si="221"/>
        <v/>
      </c>
      <c r="AI349" s="176" t="str">
        <f t="shared" si="222"/>
        <v/>
      </c>
      <c r="AJ349" s="178" t="str">
        <f t="shared" si="223"/>
        <v/>
      </c>
      <c r="AK349" s="113" t="str">
        <f t="shared" si="224"/>
        <v/>
      </c>
      <c r="AL349" s="113" t="str">
        <f t="shared" si="197"/>
        <v/>
      </c>
      <c r="AM349" s="114" t="str">
        <f t="shared" si="225"/>
        <v/>
      </c>
      <c r="AN349" s="114" t="str">
        <f t="shared" si="226"/>
        <v/>
      </c>
      <c r="AO349" s="114" t="str">
        <f t="shared" si="227"/>
        <v/>
      </c>
    </row>
    <row r="350" spans="1:41" x14ac:dyDescent="0.3">
      <c r="A350" s="146">
        <f t="shared" si="198"/>
        <v>328</v>
      </c>
      <c r="B350" s="147" t="str">
        <f t="shared" si="191"/>
        <v/>
      </c>
      <c r="C350" s="147" t="str">
        <f t="shared" si="190"/>
        <v/>
      </c>
      <c r="D350" s="149" t="str">
        <f t="shared" si="199"/>
        <v/>
      </c>
      <c r="E350" s="149" t="str">
        <f t="shared" si="200"/>
        <v/>
      </c>
      <c r="F350" s="149" t="str">
        <f t="shared" si="192"/>
        <v/>
      </c>
      <c r="G350" s="149" t="str">
        <f t="shared" si="193"/>
        <v/>
      </c>
      <c r="H350" s="149" t="str">
        <f t="shared" si="201"/>
        <v/>
      </c>
      <c r="I350" s="149" t="str">
        <f t="shared" si="202"/>
        <v/>
      </c>
      <c r="J350" s="147" t="str">
        <f t="shared" si="203"/>
        <v/>
      </c>
      <c r="K350" s="175" t="str">
        <f t="shared" si="194"/>
        <v/>
      </c>
      <c r="L350" s="149" t="str">
        <f t="shared" si="204"/>
        <v/>
      </c>
      <c r="M350" s="149" t="str">
        <f t="shared" si="205"/>
        <v/>
      </c>
      <c r="N350" s="149" t="str">
        <f t="shared" si="206"/>
        <v/>
      </c>
      <c r="P350" s="149" t="str">
        <f t="shared" si="207"/>
        <v/>
      </c>
      <c r="Q350" s="149" t="str">
        <f t="shared" si="208"/>
        <v/>
      </c>
      <c r="R350" s="178" t="str">
        <f t="shared" si="209"/>
        <v/>
      </c>
      <c r="S350" s="113" t="str">
        <f t="shared" si="210"/>
        <v/>
      </c>
      <c r="T350" s="113" t="str">
        <f t="shared" si="195"/>
        <v/>
      </c>
      <c r="U350" s="114" t="str">
        <f t="shared" si="211"/>
        <v/>
      </c>
      <c r="V350" s="114" t="str">
        <f t="shared" si="212"/>
        <v/>
      </c>
      <c r="W350" s="114" t="str">
        <f t="shared" si="213"/>
        <v/>
      </c>
      <c r="X350" s="114"/>
      <c r="Y350" s="149" t="str">
        <f t="shared" si="214"/>
        <v/>
      </c>
      <c r="Z350" s="149" t="str">
        <f t="shared" si="215"/>
        <v/>
      </c>
      <c r="AA350" s="178" t="str">
        <f t="shared" si="216"/>
        <v/>
      </c>
      <c r="AB350" s="113" t="str">
        <f t="shared" si="217"/>
        <v/>
      </c>
      <c r="AC350" s="113" t="str">
        <f t="shared" si="196"/>
        <v/>
      </c>
      <c r="AD350" s="114" t="str">
        <f t="shared" si="218"/>
        <v/>
      </c>
      <c r="AE350" s="114" t="str">
        <f t="shared" si="219"/>
        <v/>
      </c>
      <c r="AF350" s="114" t="str">
        <f t="shared" si="220"/>
        <v/>
      </c>
      <c r="AG350" s="114"/>
      <c r="AH350" s="176" t="str">
        <f t="shared" si="221"/>
        <v/>
      </c>
      <c r="AI350" s="176" t="str">
        <f t="shared" si="222"/>
        <v/>
      </c>
      <c r="AJ350" s="178" t="str">
        <f t="shared" si="223"/>
        <v/>
      </c>
      <c r="AK350" s="113" t="str">
        <f t="shared" si="224"/>
        <v/>
      </c>
      <c r="AL350" s="113" t="str">
        <f t="shared" si="197"/>
        <v/>
      </c>
      <c r="AM350" s="114" t="str">
        <f t="shared" si="225"/>
        <v/>
      </c>
      <c r="AN350" s="114" t="str">
        <f t="shared" si="226"/>
        <v/>
      </c>
      <c r="AO350" s="114" t="str">
        <f t="shared" si="227"/>
        <v/>
      </c>
    </row>
    <row r="351" spans="1:41" x14ac:dyDescent="0.3">
      <c r="A351" s="146">
        <f t="shared" si="198"/>
        <v>329</v>
      </c>
      <c r="B351" s="147" t="str">
        <f t="shared" si="191"/>
        <v/>
      </c>
      <c r="C351" s="147" t="str">
        <f t="shared" si="190"/>
        <v/>
      </c>
      <c r="D351" s="149" t="str">
        <f t="shared" si="199"/>
        <v/>
      </c>
      <c r="E351" s="149" t="str">
        <f t="shared" si="200"/>
        <v/>
      </c>
      <c r="F351" s="149" t="str">
        <f t="shared" si="192"/>
        <v/>
      </c>
      <c r="G351" s="149" t="str">
        <f t="shared" si="193"/>
        <v/>
      </c>
      <c r="H351" s="149" t="str">
        <f t="shared" si="201"/>
        <v/>
      </c>
      <c r="I351" s="149" t="str">
        <f t="shared" si="202"/>
        <v/>
      </c>
      <c r="J351" s="147" t="str">
        <f t="shared" si="203"/>
        <v/>
      </c>
      <c r="K351" s="175" t="str">
        <f t="shared" si="194"/>
        <v/>
      </c>
      <c r="L351" s="149" t="str">
        <f t="shared" si="204"/>
        <v/>
      </c>
      <c r="M351" s="149" t="str">
        <f t="shared" si="205"/>
        <v/>
      </c>
      <c r="N351" s="149" t="str">
        <f t="shared" si="206"/>
        <v/>
      </c>
      <c r="P351" s="149" t="str">
        <f t="shared" si="207"/>
        <v/>
      </c>
      <c r="Q351" s="149" t="str">
        <f t="shared" si="208"/>
        <v/>
      </c>
      <c r="R351" s="178" t="str">
        <f t="shared" si="209"/>
        <v/>
      </c>
      <c r="S351" s="113" t="str">
        <f t="shared" si="210"/>
        <v/>
      </c>
      <c r="T351" s="113" t="str">
        <f t="shared" si="195"/>
        <v/>
      </c>
      <c r="U351" s="114" t="str">
        <f t="shared" si="211"/>
        <v/>
      </c>
      <c r="V351" s="114" t="str">
        <f t="shared" si="212"/>
        <v/>
      </c>
      <c r="W351" s="114" t="str">
        <f t="shared" si="213"/>
        <v/>
      </c>
      <c r="X351" s="114"/>
      <c r="Y351" s="149" t="str">
        <f t="shared" si="214"/>
        <v/>
      </c>
      <c r="Z351" s="149" t="str">
        <f t="shared" si="215"/>
        <v/>
      </c>
      <c r="AA351" s="178" t="str">
        <f t="shared" si="216"/>
        <v/>
      </c>
      <c r="AB351" s="113" t="str">
        <f t="shared" si="217"/>
        <v/>
      </c>
      <c r="AC351" s="113" t="str">
        <f t="shared" si="196"/>
        <v/>
      </c>
      <c r="AD351" s="114" t="str">
        <f t="shared" si="218"/>
        <v/>
      </c>
      <c r="AE351" s="114" t="str">
        <f t="shared" si="219"/>
        <v/>
      </c>
      <c r="AF351" s="114" t="str">
        <f t="shared" si="220"/>
        <v/>
      </c>
      <c r="AG351" s="114"/>
      <c r="AH351" s="176" t="str">
        <f t="shared" si="221"/>
        <v/>
      </c>
      <c r="AI351" s="176" t="str">
        <f t="shared" si="222"/>
        <v/>
      </c>
      <c r="AJ351" s="178" t="str">
        <f t="shared" si="223"/>
        <v/>
      </c>
      <c r="AK351" s="113" t="str">
        <f t="shared" si="224"/>
        <v/>
      </c>
      <c r="AL351" s="113" t="str">
        <f t="shared" si="197"/>
        <v/>
      </c>
      <c r="AM351" s="114" t="str">
        <f t="shared" si="225"/>
        <v/>
      </c>
      <c r="AN351" s="114" t="str">
        <f t="shared" si="226"/>
        <v/>
      </c>
      <c r="AO351" s="114" t="str">
        <f t="shared" si="227"/>
        <v/>
      </c>
    </row>
    <row r="352" spans="1:41" x14ac:dyDescent="0.3">
      <c r="A352" s="146">
        <f t="shared" si="198"/>
        <v>330</v>
      </c>
      <c r="B352" s="147" t="str">
        <f t="shared" si="191"/>
        <v/>
      </c>
      <c r="C352" s="147" t="str">
        <f t="shared" si="190"/>
        <v/>
      </c>
      <c r="D352" s="149" t="str">
        <f t="shared" si="199"/>
        <v/>
      </c>
      <c r="E352" s="149" t="str">
        <f t="shared" si="200"/>
        <v/>
      </c>
      <c r="F352" s="149" t="str">
        <f t="shared" si="192"/>
        <v/>
      </c>
      <c r="G352" s="149" t="str">
        <f t="shared" si="193"/>
        <v/>
      </c>
      <c r="H352" s="149" t="str">
        <f t="shared" si="201"/>
        <v/>
      </c>
      <c r="I352" s="149" t="str">
        <f t="shared" si="202"/>
        <v/>
      </c>
      <c r="J352" s="147" t="str">
        <f t="shared" si="203"/>
        <v/>
      </c>
      <c r="K352" s="175" t="str">
        <f t="shared" si="194"/>
        <v/>
      </c>
      <c r="L352" s="149" t="str">
        <f t="shared" si="204"/>
        <v/>
      </c>
      <c r="M352" s="149" t="str">
        <f t="shared" si="205"/>
        <v/>
      </c>
      <c r="N352" s="149" t="str">
        <f t="shared" si="206"/>
        <v/>
      </c>
      <c r="P352" s="149" t="str">
        <f t="shared" si="207"/>
        <v/>
      </c>
      <c r="Q352" s="149" t="str">
        <f t="shared" si="208"/>
        <v/>
      </c>
      <c r="R352" s="178" t="str">
        <f t="shared" si="209"/>
        <v/>
      </c>
      <c r="S352" s="113" t="str">
        <f t="shared" si="210"/>
        <v/>
      </c>
      <c r="T352" s="113" t="str">
        <f t="shared" si="195"/>
        <v/>
      </c>
      <c r="U352" s="114" t="str">
        <f t="shared" si="211"/>
        <v/>
      </c>
      <c r="V352" s="114" t="str">
        <f t="shared" si="212"/>
        <v/>
      </c>
      <c r="W352" s="114" t="str">
        <f t="shared" si="213"/>
        <v/>
      </c>
      <c r="X352" s="114"/>
      <c r="Y352" s="149" t="str">
        <f t="shared" si="214"/>
        <v/>
      </c>
      <c r="Z352" s="149" t="str">
        <f t="shared" si="215"/>
        <v/>
      </c>
      <c r="AA352" s="178" t="str">
        <f t="shared" si="216"/>
        <v/>
      </c>
      <c r="AB352" s="113" t="str">
        <f t="shared" si="217"/>
        <v/>
      </c>
      <c r="AC352" s="113" t="str">
        <f t="shared" si="196"/>
        <v/>
      </c>
      <c r="AD352" s="114" t="str">
        <f t="shared" si="218"/>
        <v/>
      </c>
      <c r="AE352" s="114" t="str">
        <f t="shared" si="219"/>
        <v/>
      </c>
      <c r="AF352" s="114" t="str">
        <f t="shared" si="220"/>
        <v/>
      </c>
      <c r="AG352" s="114"/>
      <c r="AH352" s="176" t="str">
        <f t="shared" si="221"/>
        <v/>
      </c>
      <c r="AI352" s="176" t="str">
        <f t="shared" si="222"/>
        <v/>
      </c>
      <c r="AJ352" s="178" t="str">
        <f t="shared" si="223"/>
        <v/>
      </c>
      <c r="AK352" s="113" t="str">
        <f t="shared" si="224"/>
        <v/>
      </c>
      <c r="AL352" s="113" t="str">
        <f t="shared" si="197"/>
        <v/>
      </c>
      <c r="AM352" s="114" t="str">
        <f t="shared" si="225"/>
        <v/>
      </c>
      <c r="AN352" s="114" t="str">
        <f t="shared" si="226"/>
        <v/>
      </c>
      <c r="AO352" s="114" t="str">
        <f t="shared" si="227"/>
        <v/>
      </c>
    </row>
    <row r="353" spans="1:41" x14ac:dyDescent="0.3">
      <c r="A353" s="146">
        <f t="shared" si="198"/>
        <v>331</v>
      </c>
      <c r="B353" s="147" t="str">
        <f t="shared" si="191"/>
        <v/>
      </c>
      <c r="C353" s="147" t="str">
        <f t="shared" si="190"/>
        <v/>
      </c>
      <c r="D353" s="149" t="str">
        <f t="shared" si="199"/>
        <v/>
      </c>
      <c r="E353" s="149" t="str">
        <f t="shared" si="200"/>
        <v/>
      </c>
      <c r="F353" s="149" t="str">
        <f t="shared" si="192"/>
        <v/>
      </c>
      <c r="G353" s="149" t="str">
        <f t="shared" si="193"/>
        <v/>
      </c>
      <c r="H353" s="149" t="str">
        <f t="shared" si="201"/>
        <v/>
      </c>
      <c r="I353" s="149" t="str">
        <f t="shared" si="202"/>
        <v/>
      </c>
      <c r="J353" s="147" t="str">
        <f t="shared" si="203"/>
        <v/>
      </c>
      <c r="K353" s="175" t="str">
        <f t="shared" si="194"/>
        <v/>
      </c>
      <c r="L353" s="149" t="str">
        <f t="shared" si="204"/>
        <v/>
      </c>
      <c r="M353" s="149" t="str">
        <f t="shared" si="205"/>
        <v/>
      </c>
      <c r="N353" s="149" t="str">
        <f t="shared" si="206"/>
        <v/>
      </c>
      <c r="P353" s="149" t="str">
        <f t="shared" si="207"/>
        <v/>
      </c>
      <c r="Q353" s="149" t="str">
        <f t="shared" si="208"/>
        <v/>
      </c>
      <c r="R353" s="178" t="str">
        <f t="shared" si="209"/>
        <v/>
      </c>
      <c r="S353" s="113" t="str">
        <f t="shared" si="210"/>
        <v/>
      </c>
      <c r="T353" s="113" t="str">
        <f t="shared" si="195"/>
        <v/>
      </c>
      <c r="U353" s="114" t="str">
        <f t="shared" si="211"/>
        <v/>
      </c>
      <c r="V353" s="114" t="str">
        <f t="shared" si="212"/>
        <v/>
      </c>
      <c r="W353" s="114" t="str">
        <f t="shared" si="213"/>
        <v/>
      </c>
      <c r="X353" s="114"/>
      <c r="Y353" s="149" t="str">
        <f t="shared" si="214"/>
        <v/>
      </c>
      <c r="Z353" s="149" t="str">
        <f t="shared" si="215"/>
        <v/>
      </c>
      <c r="AA353" s="178" t="str">
        <f t="shared" si="216"/>
        <v/>
      </c>
      <c r="AB353" s="113" t="str">
        <f t="shared" si="217"/>
        <v/>
      </c>
      <c r="AC353" s="113" t="str">
        <f t="shared" si="196"/>
        <v/>
      </c>
      <c r="AD353" s="114" t="str">
        <f t="shared" si="218"/>
        <v/>
      </c>
      <c r="AE353" s="114" t="str">
        <f t="shared" si="219"/>
        <v/>
      </c>
      <c r="AF353" s="114" t="str">
        <f t="shared" si="220"/>
        <v/>
      </c>
      <c r="AG353" s="114"/>
      <c r="AH353" s="176" t="str">
        <f t="shared" si="221"/>
        <v/>
      </c>
      <c r="AI353" s="176" t="str">
        <f t="shared" si="222"/>
        <v/>
      </c>
      <c r="AJ353" s="178" t="str">
        <f t="shared" si="223"/>
        <v/>
      </c>
      <c r="AK353" s="113" t="str">
        <f t="shared" si="224"/>
        <v/>
      </c>
      <c r="AL353" s="113" t="str">
        <f t="shared" si="197"/>
        <v/>
      </c>
      <c r="AM353" s="114" t="str">
        <f t="shared" si="225"/>
        <v/>
      </c>
      <c r="AN353" s="114" t="str">
        <f t="shared" si="226"/>
        <v/>
      </c>
      <c r="AO353" s="114" t="str">
        <f t="shared" si="227"/>
        <v/>
      </c>
    </row>
    <row r="354" spans="1:41" x14ac:dyDescent="0.3">
      <c r="A354" s="146">
        <f t="shared" si="198"/>
        <v>332</v>
      </c>
      <c r="B354" s="147" t="str">
        <f t="shared" si="191"/>
        <v/>
      </c>
      <c r="C354" s="147" t="str">
        <f t="shared" si="190"/>
        <v/>
      </c>
      <c r="D354" s="149" t="str">
        <f t="shared" si="199"/>
        <v/>
      </c>
      <c r="E354" s="149" t="str">
        <f t="shared" si="200"/>
        <v/>
      </c>
      <c r="F354" s="149" t="str">
        <f t="shared" si="192"/>
        <v/>
      </c>
      <c r="G354" s="149" t="str">
        <f t="shared" si="193"/>
        <v/>
      </c>
      <c r="H354" s="149" t="str">
        <f t="shared" si="201"/>
        <v/>
      </c>
      <c r="I354" s="149" t="str">
        <f t="shared" si="202"/>
        <v/>
      </c>
      <c r="J354" s="147" t="str">
        <f t="shared" si="203"/>
        <v/>
      </c>
      <c r="K354" s="175" t="str">
        <f t="shared" si="194"/>
        <v/>
      </c>
      <c r="L354" s="149" t="str">
        <f t="shared" si="204"/>
        <v/>
      </c>
      <c r="M354" s="149" t="str">
        <f t="shared" si="205"/>
        <v/>
      </c>
      <c r="N354" s="149" t="str">
        <f t="shared" si="206"/>
        <v/>
      </c>
      <c r="P354" s="149" t="str">
        <f t="shared" si="207"/>
        <v/>
      </c>
      <c r="Q354" s="149" t="str">
        <f t="shared" si="208"/>
        <v/>
      </c>
      <c r="R354" s="178" t="str">
        <f t="shared" si="209"/>
        <v/>
      </c>
      <c r="S354" s="113" t="str">
        <f t="shared" si="210"/>
        <v/>
      </c>
      <c r="T354" s="113" t="str">
        <f t="shared" si="195"/>
        <v/>
      </c>
      <c r="U354" s="114" t="str">
        <f t="shared" si="211"/>
        <v/>
      </c>
      <c r="V354" s="114" t="str">
        <f t="shared" si="212"/>
        <v/>
      </c>
      <c r="W354" s="114" t="str">
        <f t="shared" si="213"/>
        <v/>
      </c>
      <c r="X354" s="114"/>
      <c r="Y354" s="149" t="str">
        <f t="shared" si="214"/>
        <v/>
      </c>
      <c r="Z354" s="149" t="str">
        <f t="shared" si="215"/>
        <v/>
      </c>
      <c r="AA354" s="178" t="str">
        <f t="shared" si="216"/>
        <v/>
      </c>
      <c r="AB354" s="113" t="str">
        <f t="shared" si="217"/>
        <v/>
      </c>
      <c r="AC354" s="113" t="str">
        <f t="shared" si="196"/>
        <v/>
      </c>
      <c r="AD354" s="114" t="str">
        <f t="shared" si="218"/>
        <v/>
      </c>
      <c r="AE354" s="114" t="str">
        <f t="shared" si="219"/>
        <v/>
      </c>
      <c r="AF354" s="114" t="str">
        <f t="shared" si="220"/>
        <v/>
      </c>
      <c r="AG354" s="114"/>
      <c r="AH354" s="176" t="str">
        <f t="shared" si="221"/>
        <v/>
      </c>
      <c r="AI354" s="176" t="str">
        <f t="shared" si="222"/>
        <v/>
      </c>
      <c r="AJ354" s="178" t="str">
        <f t="shared" si="223"/>
        <v/>
      </c>
      <c r="AK354" s="113" t="str">
        <f t="shared" si="224"/>
        <v/>
      </c>
      <c r="AL354" s="113" t="str">
        <f t="shared" si="197"/>
        <v/>
      </c>
      <c r="AM354" s="114" t="str">
        <f t="shared" si="225"/>
        <v/>
      </c>
      <c r="AN354" s="114" t="str">
        <f t="shared" si="226"/>
        <v/>
      </c>
      <c r="AO354" s="114" t="str">
        <f t="shared" si="227"/>
        <v/>
      </c>
    </row>
    <row r="355" spans="1:41" x14ac:dyDescent="0.3">
      <c r="A355" s="146">
        <f t="shared" si="198"/>
        <v>333</v>
      </c>
      <c r="B355" s="147" t="str">
        <f t="shared" si="191"/>
        <v/>
      </c>
      <c r="C355" s="147" t="str">
        <f t="shared" si="190"/>
        <v/>
      </c>
      <c r="D355" s="149" t="str">
        <f t="shared" si="199"/>
        <v/>
      </c>
      <c r="E355" s="149" t="str">
        <f t="shared" si="200"/>
        <v/>
      </c>
      <c r="F355" s="149" t="str">
        <f t="shared" si="192"/>
        <v/>
      </c>
      <c r="G355" s="149" t="str">
        <f t="shared" si="193"/>
        <v/>
      </c>
      <c r="H355" s="149" t="str">
        <f t="shared" si="201"/>
        <v/>
      </c>
      <c r="I355" s="149" t="str">
        <f t="shared" si="202"/>
        <v/>
      </c>
      <c r="J355" s="147" t="str">
        <f t="shared" si="203"/>
        <v/>
      </c>
      <c r="K355" s="175" t="str">
        <f t="shared" si="194"/>
        <v/>
      </c>
      <c r="L355" s="149" t="str">
        <f t="shared" si="204"/>
        <v/>
      </c>
      <c r="M355" s="149" t="str">
        <f t="shared" si="205"/>
        <v/>
      </c>
      <c r="N355" s="149" t="str">
        <f t="shared" si="206"/>
        <v/>
      </c>
      <c r="P355" s="149" t="str">
        <f t="shared" si="207"/>
        <v/>
      </c>
      <c r="Q355" s="149" t="str">
        <f t="shared" si="208"/>
        <v/>
      </c>
      <c r="R355" s="178" t="str">
        <f t="shared" si="209"/>
        <v/>
      </c>
      <c r="S355" s="113" t="str">
        <f t="shared" si="210"/>
        <v/>
      </c>
      <c r="T355" s="113" t="str">
        <f t="shared" si="195"/>
        <v/>
      </c>
      <c r="U355" s="114" t="str">
        <f t="shared" si="211"/>
        <v/>
      </c>
      <c r="V355" s="114" t="str">
        <f t="shared" si="212"/>
        <v/>
      </c>
      <c r="W355" s="114" t="str">
        <f t="shared" si="213"/>
        <v/>
      </c>
      <c r="X355" s="114"/>
      <c r="Y355" s="149" t="str">
        <f t="shared" si="214"/>
        <v/>
      </c>
      <c r="Z355" s="149" t="str">
        <f t="shared" si="215"/>
        <v/>
      </c>
      <c r="AA355" s="178" t="str">
        <f t="shared" si="216"/>
        <v/>
      </c>
      <c r="AB355" s="113" t="str">
        <f t="shared" si="217"/>
        <v/>
      </c>
      <c r="AC355" s="113" t="str">
        <f t="shared" si="196"/>
        <v/>
      </c>
      <c r="AD355" s="114" t="str">
        <f t="shared" si="218"/>
        <v/>
      </c>
      <c r="AE355" s="114" t="str">
        <f t="shared" si="219"/>
        <v/>
      </c>
      <c r="AF355" s="114" t="str">
        <f t="shared" si="220"/>
        <v/>
      </c>
      <c r="AG355" s="114"/>
      <c r="AH355" s="176" t="str">
        <f t="shared" si="221"/>
        <v/>
      </c>
      <c r="AI355" s="176" t="str">
        <f t="shared" si="222"/>
        <v/>
      </c>
      <c r="AJ355" s="178" t="str">
        <f t="shared" si="223"/>
        <v/>
      </c>
      <c r="AK355" s="113" t="str">
        <f t="shared" si="224"/>
        <v/>
      </c>
      <c r="AL355" s="113" t="str">
        <f t="shared" si="197"/>
        <v/>
      </c>
      <c r="AM355" s="114" t="str">
        <f t="shared" si="225"/>
        <v/>
      </c>
      <c r="AN355" s="114" t="str">
        <f t="shared" si="226"/>
        <v/>
      </c>
      <c r="AO355" s="114" t="str">
        <f t="shared" si="227"/>
        <v/>
      </c>
    </row>
    <row r="356" spans="1:41" x14ac:dyDescent="0.3">
      <c r="A356" s="146">
        <f t="shared" si="198"/>
        <v>334</v>
      </c>
      <c r="B356" s="147" t="str">
        <f t="shared" si="191"/>
        <v/>
      </c>
      <c r="C356" s="147" t="str">
        <f t="shared" si="190"/>
        <v/>
      </c>
      <c r="D356" s="149" t="str">
        <f t="shared" si="199"/>
        <v/>
      </c>
      <c r="E356" s="149" t="str">
        <f t="shared" si="200"/>
        <v/>
      </c>
      <c r="F356" s="149" t="str">
        <f t="shared" si="192"/>
        <v/>
      </c>
      <c r="G356" s="149" t="str">
        <f t="shared" si="193"/>
        <v/>
      </c>
      <c r="H356" s="149" t="str">
        <f t="shared" si="201"/>
        <v/>
      </c>
      <c r="I356" s="149" t="str">
        <f t="shared" si="202"/>
        <v/>
      </c>
      <c r="J356" s="147" t="str">
        <f t="shared" si="203"/>
        <v/>
      </c>
      <c r="K356" s="175" t="str">
        <f t="shared" si="194"/>
        <v/>
      </c>
      <c r="L356" s="149" t="str">
        <f t="shared" si="204"/>
        <v/>
      </c>
      <c r="M356" s="149" t="str">
        <f t="shared" si="205"/>
        <v/>
      </c>
      <c r="N356" s="149" t="str">
        <f t="shared" si="206"/>
        <v/>
      </c>
      <c r="P356" s="149" t="str">
        <f t="shared" si="207"/>
        <v/>
      </c>
      <c r="Q356" s="149" t="str">
        <f t="shared" si="208"/>
        <v/>
      </c>
      <c r="R356" s="178" t="str">
        <f t="shared" si="209"/>
        <v/>
      </c>
      <c r="S356" s="113" t="str">
        <f t="shared" si="210"/>
        <v/>
      </c>
      <c r="T356" s="113" t="str">
        <f t="shared" si="195"/>
        <v/>
      </c>
      <c r="U356" s="114" t="str">
        <f t="shared" si="211"/>
        <v/>
      </c>
      <c r="V356" s="114" t="str">
        <f t="shared" si="212"/>
        <v/>
      </c>
      <c r="W356" s="114" t="str">
        <f t="shared" si="213"/>
        <v/>
      </c>
      <c r="X356" s="114"/>
      <c r="Y356" s="149" t="str">
        <f t="shared" si="214"/>
        <v/>
      </c>
      <c r="Z356" s="149" t="str">
        <f t="shared" si="215"/>
        <v/>
      </c>
      <c r="AA356" s="178" t="str">
        <f t="shared" si="216"/>
        <v/>
      </c>
      <c r="AB356" s="113" t="str">
        <f t="shared" si="217"/>
        <v/>
      </c>
      <c r="AC356" s="113" t="str">
        <f t="shared" si="196"/>
        <v/>
      </c>
      <c r="AD356" s="114" t="str">
        <f t="shared" si="218"/>
        <v/>
      </c>
      <c r="AE356" s="114" t="str">
        <f t="shared" si="219"/>
        <v/>
      </c>
      <c r="AF356" s="114" t="str">
        <f t="shared" si="220"/>
        <v/>
      </c>
      <c r="AG356" s="114"/>
      <c r="AH356" s="176" t="str">
        <f t="shared" si="221"/>
        <v/>
      </c>
      <c r="AI356" s="176" t="str">
        <f t="shared" si="222"/>
        <v/>
      </c>
      <c r="AJ356" s="178" t="str">
        <f t="shared" si="223"/>
        <v/>
      </c>
      <c r="AK356" s="113" t="str">
        <f t="shared" si="224"/>
        <v/>
      </c>
      <c r="AL356" s="113" t="str">
        <f t="shared" si="197"/>
        <v/>
      </c>
      <c r="AM356" s="114" t="str">
        <f t="shared" si="225"/>
        <v/>
      </c>
      <c r="AN356" s="114" t="str">
        <f t="shared" si="226"/>
        <v/>
      </c>
      <c r="AO356" s="114" t="str">
        <f t="shared" si="227"/>
        <v/>
      </c>
    </row>
    <row r="357" spans="1:41" x14ac:dyDescent="0.3">
      <c r="A357" s="146">
        <f t="shared" si="198"/>
        <v>335</v>
      </c>
      <c r="B357" s="147" t="str">
        <f t="shared" si="191"/>
        <v/>
      </c>
      <c r="C357" s="147" t="str">
        <f t="shared" si="190"/>
        <v/>
      </c>
      <c r="D357" s="149" t="str">
        <f t="shared" si="199"/>
        <v/>
      </c>
      <c r="E357" s="149" t="str">
        <f t="shared" si="200"/>
        <v/>
      </c>
      <c r="F357" s="149" t="str">
        <f t="shared" si="192"/>
        <v/>
      </c>
      <c r="G357" s="149" t="str">
        <f t="shared" si="193"/>
        <v/>
      </c>
      <c r="H357" s="149" t="str">
        <f t="shared" si="201"/>
        <v/>
      </c>
      <c r="I357" s="149" t="str">
        <f t="shared" si="202"/>
        <v/>
      </c>
      <c r="J357" s="147" t="str">
        <f t="shared" si="203"/>
        <v/>
      </c>
      <c r="K357" s="175" t="str">
        <f t="shared" si="194"/>
        <v/>
      </c>
      <c r="L357" s="149" t="str">
        <f t="shared" si="204"/>
        <v/>
      </c>
      <c r="M357" s="149" t="str">
        <f t="shared" si="205"/>
        <v/>
      </c>
      <c r="N357" s="149" t="str">
        <f t="shared" si="206"/>
        <v/>
      </c>
      <c r="P357" s="149" t="str">
        <f t="shared" si="207"/>
        <v/>
      </c>
      <c r="Q357" s="149" t="str">
        <f t="shared" si="208"/>
        <v/>
      </c>
      <c r="R357" s="178" t="str">
        <f t="shared" si="209"/>
        <v/>
      </c>
      <c r="S357" s="113" t="str">
        <f t="shared" si="210"/>
        <v/>
      </c>
      <c r="T357" s="113" t="str">
        <f t="shared" si="195"/>
        <v/>
      </c>
      <c r="U357" s="114" t="str">
        <f t="shared" si="211"/>
        <v/>
      </c>
      <c r="V357" s="114" t="str">
        <f t="shared" si="212"/>
        <v/>
      </c>
      <c r="W357" s="114" t="str">
        <f t="shared" si="213"/>
        <v/>
      </c>
      <c r="X357" s="114"/>
      <c r="Y357" s="149" t="str">
        <f t="shared" si="214"/>
        <v/>
      </c>
      <c r="Z357" s="149" t="str">
        <f t="shared" si="215"/>
        <v/>
      </c>
      <c r="AA357" s="178" t="str">
        <f t="shared" si="216"/>
        <v/>
      </c>
      <c r="AB357" s="113" t="str">
        <f t="shared" si="217"/>
        <v/>
      </c>
      <c r="AC357" s="113" t="str">
        <f t="shared" si="196"/>
        <v/>
      </c>
      <c r="AD357" s="114" t="str">
        <f t="shared" si="218"/>
        <v/>
      </c>
      <c r="AE357" s="114" t="str">
        <f t="shared" si="219"/>
        <v/>
      </c>
      <c r="AF357" s="114" t="str">
        <f t="shared" si="220"/>
        <v/>
      </c>
      <c r="AG357" s="114"/>
      <c r="AH357" s="176" t="str">
        <f t="shared" si="221"/>
        <v/>
      </c>
      <c r="AI357" s="176" t="str">
        <f t="shared" si="222"/>
        <v/>
      </c>
      <c r="AJ357" s="178" t="str">
        <f t="shared" si="223"/>
        <v/>
      </c>
      <c r="AK357" s="113" t="str">
        <f t="shared" si="224"/>
        <v/>
      </c>
      <c r="AL357" s="113" t="str">
        <f t="shared" si="197"/>
        <v/>
      </c>
      <c r="AM357" s="114" t="str">
        <f t="shared" si="225"/>
        <v/>
      </c>
      <c r="AN357" s="114" t="str">
        <f t="shared" si="226"/>
        <v/>
      </c>
      <c r="AO357" s="114" t="str">
        <f t="shared" si="227"/>
        <v/>
      </c>
    </row>
    <row r="358" spans="1:41" x14ac:dyDescent="0.3">
      <c r="A358" s="146">
        <f t="shared" si="198"/>
        <v>336</v>
      </c>
      <c r="B358" s="147" t="str">
        <f t="shared" si="191"/>
        <v/>
      </c>
      <c r="C358" s="147" t="str">
        <f t="shared" si="190"/>
        <v/>
      </c>
      <c r="D358" s="149" t="str">
        <f t="shared" si="199"/>
        <v/>
      </c>
      <c r="E358" s="149" t="str">
        <f t="shared" si="200"/>
        <v/>
      </c>
      <c r="F358" s="149" t="str">
        <f t="shared" si="192"/>
        <v/>
      </c>
      <c r="G358" s="149" t="str">
        <f t="shared" si="193"/>
        <v/>
      </c>
      <c r="H358" s="149" t="str">
        <f t="shared" si="201"/>
        <v/>
      </c>
      <c r="I358" s="149" t="str">
        <f t="shared" si="202"/>
        <v/>
      </c>
      <c r="J358" s="147" t="str">
        <f t="shared" si="203"/>
        <v/>
      </c>
      <c r="K358" s="175" t="str">
        <f t="shared" si="194"/>
        <v/>
      </c>
      <c r="L358" s="149" t="str">
        <f t="shared" si="204"/>
        <v/>
      </c>
      <c r="M358" s="149" t="str">
        <f t="shared" si="205"/>
        <v/>
      </c>
      <c r="N358" s="149" t="str">
        <f t="shared" si="206"/>
        <v/>
      </c>
      <c r="P358" s="149" t="str">
        <f t="shared" si="207"/>
        <v/>
      </c>
      <c r="Q358" s="149" t="str">
        <f t="shared" si="208"/>
        <v/>
      </c>
      <c r="R358" s="178" t="str">
        <f t="shared" si="209"/>
        <v/>
      </c>
      <c r="S358" s="113" t="str">
        <f t="shared" si="210"/>
        <v/>
      </c>
      <c r="T358" s="113" t="str">
        <f t="shared" si="195"/>
        <v/>
      </c>
      <c r="U358" s="114" t="str">
        <f t="shared" si="211"/>
        <v/>
      </c>
      <c r="V358" s="114" t="str">
        <f t="shared" si="212"/>
        <v/>
      </c>
      <c r="W358" s="114" t="str">
        <f t="shared" si="213"/>
        <v/>
      </c>
      <c r="X358" s="114"/>
      <c r="Y358" s="149" t="str">
        <f t="shared" si="214"/>
        <v/>
      </c>
      <c r="Z358" s="149" t="str">
        <f t="shared" si="215"/>
        <v/>
      </c>
      <c r="AA358" s="178" t="str">
        <f t="shared" si="216"/>
        <v/>
      </c>
      <c r="AB358" s="113" t="str">
        <f t="shared" si="217"/>
        <v/>
      </c>
      <c r="AC358" s="113" t="str">
        <f t="shared" si="196"/>
        <v/>
      </c>
      <c r="AD358" s="114" t="str">
        <f t="shared" si="218"/>
        <v/>
      </c>
      <c r="AE358" s="114" t="str">
        <f t="shared" si="219"/>
        <v/>
      </c>
      <c r="AF358" s="114" t="str">
        <f t="shared" si="220"/>
        <v/>
      </c>
      <c r="AG358" s="114"/>
      <c r="AH358" s="176" t="str">
        <f t="shared" si="221"/>
        <v/>
      </c>
      <c r="AI358" s="176" t="str">
        <f t="shared" si="222"/>
        <v/>
      </c>
      <c r="AJ358" s="178" t="str">
        <f t="shared" si="223"/>
        <v/>
      </c>
      <c r="AK358" s="113" t="str">
        <f t="shared" si="224"/>
        <v/>
      </c>
      <c r="AL358" s="113" t="str">
        <f t="shared" si="197"/>
        <v/>
      </c>
      <c r="AM358" s="114" t="str">
        <f t="shared" si="225"/>
        <v/>
      </c>
      <c r="AN358" s="114" t="str">
        <f t="shared" si="226"/>
        <v/>
      </c>
      <c r="AO358" s="114" t="str">
        <f t="shared" si="227"/>
        <v/>
      </c>
    </row>
    <row r="359" spans="1:41" x14ac:dyDescent="0.3">
      <c r="A359" s="146">
        <f t="shared" si="198"/>
        <v>337</v>
      </c>
      <c r="B359" s="147" t="str">
        <f t="shared" si="191"/>
        <v/>
      </c>
      <c r="C359" s="147" t="str">
        <f t="shared" si="190"/>
        <v/>
      </c>
      <c r="D359" s="149" t="str">
        <f t="shared" si="199"/>
        <v/>
      </c>
      <c r="E359" s="149" t="str">
        <f t="shared" si="200"/>
        <v/>
      </c>
      <c r="F359" s="149" t="str">
        <f t="shared" si="192"/>
        <v/>
      </c>
      <c r="G359" s="149" t="str">
        <f t="shared" si="193"/>
        <v/>
      </c>
      <c r="H359" s="149" t="str">
        <f t="shared" si="201"/>
        <v/>
      </c>
      <c r="I359" s="149" t="str">
        <f t="shared" si="202"/>
        <v/>
      </c>
      <c r="J359" s="147" t="str">
        <f t="shared" si="203"/>
        <v/>
      </c>
      <c r="K359" s="175" t="str">
        <f t="shared" si="194"/>
        <v/>
      </c>
      <c r="L359" s="149" t="str">
        <f t="shared" si="204"/>
        <v/>
      </c>
      <c r="M359" s="149" t="str">
        <f t="shared" si="205"/>
        <v/>
      </c>
      <c r="N359" s="149" t="str">
        <f t="shared" si="206"/>
        <v/>
      </c>
      <c r="P359" s="149" t="str">
        <f t="shared" si="207"/>
        <v/>
      </c>
      <c r="Q359" s="149" t="str">
        <f t="shared" si="208"/>
        <v/>
      </c>
      <c r="R359" s="178" t="str">
        <f t="shared" si="209"/>
        <v/>
      </c>
      <c r="S359" s="113" t="str">
        <f t="shared" si="210"/>
        <v/>
      </c>
      <c r="T359" s="113" t="str">
        <f t="shared" si="195"/>
        <v/>
      </c>
      <c r="U359" s="114" t="str">
        <f t="shared" si="211"/>
        <v/>
      </c>
      <c r="V359" s="114" t="str">
        <f t="shared" si="212"/>
        <v/>
      </c>
      <c r="W359" s="114" t="str">
        <f t="shared" si="213"/>
        <v/>
      </c>
      <c r="X359" s="114"/>
      <c r="Y359" s="149" t="str">
        <f t="shared" si="214"/>
        <v/>
      </c>
      <c r="Z359" s="149" t="str">
        <f t="shared" si="215"/>
        <v/>
      </c>
      <c r="AA359" s="178" t="str">
        <f t="shared" si="216"/>
        <v/>
      </c>
      <c r="AB359" s="113" t="str">
        <f t="shared" si="217"/>
        <v/>
      </c>
      <c r="AC359" s="113" t="str">
        <f t="shared" si="196"/>
        <v/>
      </c>
      <c r="AD359" s="114" t="str">
        <f t="shared" si="218"/>
        <v/>
      </c>
      <c r="AE359" s="114" t="str">
        <f t="shared" si="219"/>
        <v/>
      </c>
      <c r="AF359" s="114" t="str">
        <f t="shared" si="220"/>
        <v/>
      </c>
      <c r="AG359" s="114"/>
      <c r="AH359" s="176" t="str">
        <f t="shared" si="221"/>
        <v/>
      </c>
      <c r="AI359" s="176" t="str">
        <f t="shared" si="222"/>
        <v/>
      </c>
      <c r="AJ359" s="178" t="str">
        <f t="shared" si="223"/>
        <v/>
      </c>
      <c r="AK359" s="113" t="str">
        <f t="shared" si="224"/>
        <v/>
      </c>
      <c r="AL359" s="113" t="str">
        <f t="shared" si="197"/>
        <v/>
      </c>
      <c r="AM359" s="114" t="str">
        <f t="shared" si="225"/>
        <v/>
      </c>
      <c r="AN359" s="114" t="str">
        <f t="shared" si="226"/>
        <v/>
      </c>
      <c r="AO359" s="114" t="str">
        <f t="shared" si="227"/>
        <v/>
      </c>
    </row>
    <row r="360" spans="1:41" x14ac:dyDescent="0.3">
      <c r="A360" s="146">
        <f t="shared" si="198"/>
        <v>338</v>
      </c>
      <c r="B360" s="147" t="str">
        <f t="shared" si="191"/>
        <v/>
      </c>
      <c r="C360" s="147" t="str">
        <f t="shared" si="190"/>
        <v/>
      </c>
      <c r="D360" s="149" t="str">
        <f t="shared" si="199"/>
        <v/>
      </c>
      <c r="E360" s="149" t="str">
        <f t="shared" si="200"/>
        <v/>
      </c>
      <c r="F360" s="149" t="str">
        <f t="shared" si="192"/>
        <v/>
      </c>
      <c r="G360" s="149" t="str">
        <f t="shared" si="193"/>
        <v/>
      </c>
      <c r="H360" s="149" t="str">
        <f t="shared" si="201"/>
        <v/>
      </c>
      <c r="I360" s="149" t="str">
        <f t="shared" si="202"/>
        <v/>
      </c>
      <c r="J360" s="147" t="str">
        <f t="shared" si="203"/>
        <v/>
      </c>
      <c r="K360" s="175" t="str">
        <f t="shared" si="194"/>
        <v/>
      </c>
      <c r="L360" s="149" t="str">
        <f t="shared" si="204"/>
        <v/>
      </c>
      <c r="M360" s="149" t="str">
        <f t="shared" si="205"/>
        <v/>
      </c>
      <c r="N360" s="149" t="str">
        <f t="shared" si="206"/>
        <v/>
      </c>
      <c r="P360" s="149" t="str">
        <f t="shared" si="207"/>
        <v/>
      </c>
      <c r="Q360" s="149" t="str">
        <f t="shared" si="208"/>
        <v/>
      </c>
      <c r="R360" s="178" t="str">
        <f t="shared" si="209"/>
        <v/>
      </c>
      <c r="S360" s="113" t="str">
        <f t="shared" si="210"/>
        <v/>
      </c>
      <c r="T360" s="113" t="str">
        <f t="shared" si="195"/>
        <v/>
      </c>
      <c r="U360" s="114" t="str">
        <f t="shared" si="211"/>
        <v/>
      </c>
      <c r="V360" s="114" t="str">
        <f t="shared" si="212"/>
        <v/>
      </c>
      <c r="W360" s="114" t="str">
        <f t="shared" si="213"/>
        <v/>
      </c>
      <c r="X360" s="114"/>
      <c r="Y360" s="149" t="str">
        <f t="shared" si="214"/>
        <v/>
      </c>
      <c r="Z360" s="149" t="str">
        <f t="shared" si="215"/>
        <v/>
      </c>
      <c r="AA360" s="178" t="str">
        <f t="shared" si="216"/>
        <v/>
      </c>
      <c r="AB360" s="113" t="str">
        <f t="shared" si="217"/>
        <v/>
      </c>
      <c r="AC360" s="113" t="str">
        <f t="shared" si="196"/>
        <v/>
      </c>
      <c r="AD360" s="114" t="str">
        <f t="shared" si="218"/>
        <v/>
      </c>
      <c r="AE360" s="114" t="str">
        <f t="shared" si="219"/>
        <v/>
      </c>
      <c r="AF360" s="114" t="str">
        <f t="shared" si="220"/>
        <v/>
      </c>
      <c r="AG360" s="114"/>
      <c r="AH360" s="176" t="str">
        <f t="shared" si="221"/>
        <v/>
      </c>
      <c r="AI360" s="176" t="str">
        <f t="shared" si="222"/>
        <v/>
      </c>
      <c r="AJ360" s="178" t="str">
        <f t="shared" si="223"/>
        <v/>
      </c>
      <c r="AK360" s="113" t="str">
        <f t="shared" si="224"/>
        <v/>
      </c>
      <c r="AL360" s="113" t="str">
        <f t="shared" si="197"/>
        <v/>
      </c>
      <c r="AM360" s="114" t="str">
        <f t="shared" si="225"/>
        <v/>
      </c>
      <c r="AN360" s="114" t="str">
        <f t="shared" si="226"/>
        <v/>
      </c>
      <c r="AO360" s="114" t="str">
        <f t="shared" si="227"/>
        <v/>
      </c>
    </row>
    <row r="361" spans="1:41" x14ac:dyDescent="0.3">
      <c r="A361" s="146">
        <f t="shared" si="198"/>
        <v>339</v>
      </c>
      <c r="B361" s="147" t="str">
        <f t="shared" si="191"/>
        <v/>
      </c>
      <c r="C361" s="147" t="str">
        <f t="shared" si="190"/>
        <v/>
      </c>
      <c r="D361" s="149" t="str">
        <f t="shared" si="199"/>
        <v/>
      </c>
      <c r="E361" s="149" t="str">
        <f t="shared" si="200"/>
        <v/>
      </c>
      <c r="F361" s="149" t="str">
        <f t="shared" si="192"/>
        <v/>
      </c>
      <c r="G361" s="149" t="str">
        <f t="shared" si="193"/>
        <v/>
      </c>
      <c r="H361" s="149" t="str">
        <f t="shared" si="201"/>
        <v/>
      </c>
      <c r="I361" s="149" t="str">
        <f t="shared" si="202"/>
        <v/>
      </c>
      <c r="J361" s="147" t="str">
        <f t="shared" si="203"/>
        <v/>
      </c>
      <c r="K361" s="175" t="str">
        <f t="shared" si="194"/>
        <v/>
      </c>
      <c r="L361" s="149" t="str">
        <f t="shared" si="204"/>
        <v/>
      </c>
      <c r="M361" s="149" t="str">
        <f t="shared" si="205"/>
        <v/>
      </c>
      <c r="N361" s="149" t="str">
        <f t="shared" si="206"/>
        <v/>
      </c>
      <c r="P361" s="149" t="str">
        <f t="shared" si="207"/>
        <v/>
      </c>
      <c r="Q361" s="149" t="str">
        <f t="shared" si="208"/>
        <v/>
      </c>
      <c r="R361" s="178" t="str">
        <f t="shared" si="209"/>
        <v/>
      </c>
      <c r="S361" s="113" t="str">
        <f t="shared" si="210"/>
        <v/>
      </c>
      <c r="T361" s="113" t="str">
        <f t="shared" si="195"/>
        <v/>
      </c>
      <c r="U361" s="114" t="str">
        <f t="shared" si="211"/>
        <v/>
      </c>
      <c r="V361" s="114" t="str">
        <f t="shared" si="212"/>
        <v/>
      </c>
      <c r="W361" s="114" t="str">
        <f t="shared" si="213"/>
        <v/>
      </c>
      <c r="X361" s="114"/>
      <c r="Y361" s="149" t="str">
        <f t="shared" si="214"/>
        <v/>
      </c>
      <c r="Z361" s="149" t="str">
        <f t="shared" si="215"/>
        <v/>
      </c>
      <c r="AA361" s="178" t="str">
        <f t="shared" si="216"/>
        <v/>
      </c>
      <c r="AB361" s="113" t="str">
        <f t="shared" si="217"/>
        <v/>
      </c>
      <c r="AC361" s="113" t="str">
        <f t="shared" si="196"/>
        <v/>
      </c>
      <c r="AD361" s="114" t="str">
        <f t="shared" si="218"/>
        <v/>
      </c>
      <c r="AE361" s="114" t="str">
        <f t="shared" si="219"/>
        <v/>
      </c>
      <c r="AF361" s="114" t="str">
        <f t="shared" si="220"/>
        <v/>
      </c>
      <c r="AG361" s="114"/>
      <c r="AH361" s="176" t="str">
        <f t="shared" si="221"/>
        <v/>
      </c>
      <c r="AI361" s="176" t="str">
        <f t="shared" si="222"/>
        <v/>
      </c>
      <c r="AJ361" s="178" t="str">
        <f t="shared" si="223"/>
        <v/>
      </c>
      <c r="AK361" s="113" t="str">
        <f t="shared" si="224"/>
        <v/>
      </c>
      <c r="AL361" s="113" t="str">
        <f t="shared" si="197"/>
        <v/>
      </c>
      <c r="AM361" s="114" t="str">
        <f t="shared" si="225"/>
        <v/>
      </c>
      <c r="AN361" s="114" t="str">
        <f t="shared" si="226"/>
        <v/>
      </c>
      <c r="AO361" s="114" t="str">
        <f t="shared" si="227"/>
        <v/>
      </c>
    </row>
    <row r="362" spans="1:41" x14ac:dyDescent="0.3">
      <c r="A362" s="146">
        <f t="shared" si="198"/>
        <v>340</v>
      </c>
      <c r="B362" s="147" t="str">
        <f t="shared" si="191"/>
        <v/>
      </c>
      <c r="C362" s="147" t="str">
        <f t="shared" si="190"/>
        <v/>
      </c>
      <c r="D362" s="149" t="str">
        <f t="shared" si="199"/>
        <v/>
      </c>
      <c r="E362" s="149" t="str">
        <f t="shared" si="200"/>
        <v/>
      </c>
      <c r="F362" s="149" t="str">
        <f t="shared" si="192"/>
        <v/>
      </c>
      <c r="G362" s="149" t="str">
        <f t="shared" si="193"/>
        <v/>
      </c>
      <c r="H362" s="149" t="str">
        <f t="shared" si="201"/>
        <v/>
      </c>
      <c r="I362" s="149" t="str">
        <f t="shared" si="202"/>
        <v/>
      </c>
      <c r="J362" s="147" t="str">
        <f t="shared" si="203"/>
        <v/>
      </c>
      <c r="K362" s="175" t="str">
        <f t="shared" si="194"/>
        <v/>
      </c>
      <c r="L362" s="149" t="str">
        <f t="shared" si="204"/>
        <v/>
      </c>
      <c r="M362" s="149" t="str">
        <f t="shared" si="205"/>
        <v/>
      </c>
      <c r="N362" s="149" t="str">
        <f t="shared" si="206"/>
        <v/>
      </c>
      <c r="P362" s="149" t="str">
        <f t="shared" si="207"/>
        <v/>
      </c>
      <c r="Q362" s="149" t="str">
        <f t="shared" si="208"/>
        <v/>
      </c>
      <c r="R362" s="178" t="str">
        <f t="shared" si="209"/>
        <v/>
      </c>
      <c r="S362" s="113" t="str">
        <f t="shared" si="210"/>
        <v/>
      </c>
      <c r="T362" s="113" t="str">
        <f t="shared" si="195"/>
        <v/>
      </c>
      <c r="U362" s="114" t="str">
        <f t="shared" si="211"/>
        <v/>
      </c>
      <c r="V362" s="114" t="str">
        <f t="shared" si="212"/>
        <v/>
      </c>
      <c r="W362" s="114" t="str">
        <f t="shared" si="213"/>
        <v/>
      </c>
      <c r="X362" s="114"/>
      <c r="Y362" s="149" t="str">
        <f t="shared" si="214"/>
        <v/>
      </c>
      <c r="Z362" s="149" t="str">
        <f t="shared" si="215"/>
        <v/>
      </c>
      <c r="AA362" s="178" t="str">
        <f t="shared" si="216"/>
        <v/>
      </c>
      <c r="AB362" s="113" t="str">
        <f t="shared" si="217"/>
        <v/>
      </c>
      <c r="AC362" s="113" t="str">
        <f t="shared" si="196"/>
        <v/>
      </c>
      <c r="AD362" s="114" t="str">
        <f t="shared" si="218"/>
        <v/>
      </c>
      <c r="AE362" s="114" t="str">
        <f t="shared" si="219"/>
        <v/>
      </c>
      <c r="AF362" s="114" t="str">
        <f t="shared" si="220"/>
        <v/>
      </c>
      <c r="AG362" s="114"/>
      <c r="AH362" s="176" t="str">
        <f t="shared" si="221"/>
        <v/>
      </c>
      <c r="AI362" s="176" t="str">
        <f t="shared" si="222"/>
        <v/>
      </c>
      <c r="AJ362" s="178" t="str">
        <f t="shared" si="223"/>
        <v/>
      </c>
      <c r="AK362" s="113" t="str">
        <f t="shared" si="224"/>
        <v/>
      </c>
      <c r="AL362" s="113" t="str">
        <f t="shared" si="197"/>
        <v/>
      </c>
      <c r="AM362" s="114" t="str">
        <f t="shared" si="225"/>
        <v/>
      </c>
      <c r="AN362" s="114" t="str">
        <f t="shared" si="226"/>
        <v/>
      </c>
      <c r="AO362" s="114" t="str">
        <f t="shared" si="227"/>
        <v/>
      </c>
    </row>
    <row r="363" spans="1:41" x14ac:dyDescent="0.3">
      <c r="A363" s="146">
        <f t="shared" si="198"/>
        <v>341</v>
      </c>
      <c r="B363" s="147" t="str">
        <f t="shared" si="191"/>
        <v/>
      </c>
      <c r="C363" s="147" t="str">
        <f t="shared" si="190"/>
        <v/>
      </c>
      <c r="D363" s="149" t="str">
        <f t="shared" si="199"/>
        <v/>
      </c>
      <c r="E363" s="149" t="str">
        <f t="shared" si="200"/>
        <v/>
      </c>
      <c r="F363" s="149" t="str">
        <f t="shared" si="192"/>
        <v/>
      </c>
      <c r="G363" s="149" t="str">
        <f t="shared" si="193"/>
        <v/>
      </c>
      <c r="H363" s="149" t="str">
        <f t="shared" si="201"/>
        <v/>
      </c>
      <c r="I363" s="149" t="str">
        <f t="shared" si="202"/>
        <v/>
      </c>
      <c r="J363" s="147" t="str">
        <f t="shared" si="203"/>
        <v/>
      </c>
      <c r="K363" s="175" t="str">
        <f t="shared" si="194"/>
        <v/>
      </c>
      <c r="L363" s="149" t="str">
        <f t="shared" si="204"/>
        <v/>
      </c>
      <c r="M363" s="149" t="str">
        <f t="shared" si="205"/>
        <v/>
      </c>
      <c r="N363" s="149" t="str">
        <f t="shared" si="206"/>
        <v/>
      </c>
      <c r="P363" s="149" t="str">
        <f t="shared" si="207"/>
        <v/>
      </c>
      <c r="Q363" s="149" t="str">
        <f t="shared" si="208"/>
        <v/>
      </c>
      <c r="R363" s="178" t="str">
        <f t="shared" si="209"/>
        <v/>
      </c>
      <c r="S363" s="113" t="str">
        <f t="shared" si="210"/>
        <v/>
      </c>
      <c r="T363" s="113" t="str">
        <f t="shared" si="195"/>
        <v/>
      </c>
      <c r="U363" s="114" t="str">
        <f t="shared" si="211"/>
        <v/>
      </c>
      <c r="V363" s="114" t="str">
        <f t="shared" si="212"/>
        <v/>
      </c>
      <c r="W363" s="114" t="str">
        <f t="shared" si="213"/>
        <v/>
      </c>
      <c r="X363" s="114"/>
      <c r="Y363" s="149" t="str">
        <f t="shared" si="214"/>
        <v/>
      </c>
      <c r="Z363" s="149" t="str">
        <f t="shared" si="215"/>
        <v/>
      </c>
      <c r="AA363" s="178" t="str">
        <f t="shared" si="216"/>
        <v/>
      </c>
      <c r="AB363" s="113" t="str">
        <f t="shared" si="217"/>
        <v/>
      </c>
      <c r="AC363" s="113" t="str">
        <f t="shared" si="196"/>
        <v/>
      </c>
      <c r="AD363" s="114" t="str">
        <f t="shared" si="218"/>
        <v/>
      </c>
      <c r="AE363" s="114" t="str">
        <f t="shared" si="219"/>
        <v/>
      </c>
      <c r="AF363" s="114" t="str">
        <f t="shared" si="220"/>
        <v/>
      </c>
      <c r="AG363" s="114"/>
      <c r="AH363" s="176" t="str">
        <f t="shared" si="221"/>
        <v/>
      </c>
      <c r="AI363" s="176" t="str">
        <f t="shared" si="222"/>
        <v/>
      </c>
      <c r="AJ363" s="178" t="str">
        <f t="shared" si="223"/>
        <v/>
      </c>
      <c r="AK363" s="113" t="str">
        <f t="shared" si="224"/>
        <v/>
      </c>
      <c r="AL363" s="113" t="str">
        <f t="shared" si="197"/>
        <v/>
      </c>
      <c r="AM363" s="114" t="str">
        <f t="shared" si="225"/>
        <v/>
      </c>
      <c r="AN363" s="114" t="str">
        <f t="shared" si="226"/>
        <v/>
      </c>
      <c r="AO363" s="114" t="str">
        <f t="shared" si="227"/>
        <v/>
      </c>
    </row>
    <row r="364" spans="1:41" x14ac:dyDescent="0.3">
      <c r="A364" s="146">
        <f t="shared" si="198"/>
        <v>342</v>
      </c>
      <c r="B364" s="147" t="str">
        <f t="shared" si="191"/>
        <v/>
      </c>
      <c r="C364" s="147" t="str">
        <f t="shared" si="190"/>
        <v/>
      </c>
      <c r="D364" s="149" t="str">
        <f t="shared" si="199"/>
        <v/>
      </c>
      <c r="E364" s="149" t="str">
        <f t="shared" si="200"/>
        <v/>
      </c>
      <c r="F364" s="149" t="str">
        <f t="shared" si="192"/>
        <v/>
      </c>
      <c r="G364" s="149" t="str">
        <f t="shared" si="193"/>
        <v/>
      </c>
      <c r="H364" s="149" t="str">
        <f t="shared" si="201"/>
        <v/>
      </c>
      <c r="I364" s="149" t="str">
        <f t="shared" si="202"/>
        <v/>
      </c>
      <c r="J364" s="147" t="str">
        <f t="shared" si="203"/>
        <v/>
      </c>
      <c r="K364" s="175" t="str">
        <f t="shared" si="194"/>
        <v/>
      </c>
      <c r="L364" s="149" t="str">
        <f t="shared" si="204"/>
        <v/>
      </c>
      <c r="M364" s="149" t="str">
        <f t="shared" si="205"/>
        <v/>
      </c>
      <c r="N364" s="149" t="str">
        <f t="shared" si="206"/>
        <v/>
      </c>
      <c r="P364" s="149" t="str">
        <f t="shared" si="207"/>
        <v/>
      </c>
      <c r="Q364" s="149" t="str">
        <f t="shared" si="208"/>
        <v/>
      </c>
      <c r="R364" s="178" t="str">
        <f t="shared" si="209"/>
        <v/>
      </c>
      <c r="S364" s="113" t="str">
        <f t="shared" si="210"/>
        <v/>
      </c>
      <c r="T364" s="113" t="str">
        <f t="shared" si="195"/>
        <v/>
      </c>
      <c r="U364" s="114" t="str">
        <f t="shared" si="211"/>
        <v/>
      </c>
      <c r="V364" s="114" t="str">
        <f t="shared" si="212"/>
        <v/>
      </c>
      <c r="W364" s="114" t="str">
        <f t="shared" si="213"/>
        <v/>
      </c>
      <c r="X364" s="114"/>
      <c r="Y364" s="149" t="str">
        <f t="shared" si="214"/>
        <v/>
      </c>
      <c r="Z364" s="149" t="str">
        <f t="shared" si="215"/>
        <v/>
      </c>
      <c r="AA364" s="178" t="str">
        <f t="shared" si="216"/>
        <v/>
      </c>
      <c r="AB364" s="113" t="str">
        <f t="shared" si="217"/>
        <v/>
      </c>
      <c r="AC364" s="113" t="str">
        <f t="shared" si="196"/>
        <v/>
      </c>
      <c r="AD364" s="114" t="str">
        <f t="shared" si="218"/>
        <v/>
      </c>
      <c r="AE364" s="114" t="str">
        <f t="shared" si="219"/>
        <v/>
      </c>
      <c r="AF364" s="114" t="str">
        <f t="shared" si="220"/>
        <v/>
      </c>
      <c r="AG364" s="114"/>
      <c r="AH364" s="176" t="str">
        <f t="shared" si="221"/>
        <v/>
      </c>
      <c r="AI364" s="176" t="str">
        <f t="shared" si="222"/>
        <v/>
      </c>
      <c r="AJ364" s="178" t="str">
        <f t="shared" si="223"/>
        <v/>
      </c>
      <c r="AK364" s="113" t="str">
        <f t="shared" si="224"/>
        <v/>
      </c>
      <c r="AL364" s="113" t="str">
        <f t="shared" si="197"/>
        <v/>
      </c>
      <c r="AM364" s="114" t="str">
        <f t="shared" si="225"/>
        <v/>
      </c>
      <c r="AN364" s="114" t="str">
        <f t="shared" si="226"/>
        <v/>
      </c>
      <c r="AO364" s="114" t="str">
        <f t="shared" si="227"/>
        <v/>
      </c>
    </row>
    <row r="365" spans="1:41" x14ac:dyDescent="0.3">
      <c r="A365" s="146">
        <f t="shared" si="198"/>
        <v>343</v>
      </c>
      <c r="B365" s="147" t="str">
        <f t="shared" si="191"/>
        <v/>
      </c>
      <c r="C365" s="147" t="str">
        <f t="shared" si="190"/>
        <v/>
      </c>
      <c r="D365" s="149" t="str">
        <f t="shared" si="199"/>
        <v/>
      </c>
      <c r="E365" s="149" t="str">
        <f t="shared" si="200"/>
        <v/>
      </c>
      <c r="F365" s="149" t="str">
        <f t="shared" si="192"/>
        <v/>
      </c>
      <c r="G365" s="149" t="str">
        <f t="shared" si="193"/>
        <v/>
      </c>
      <c r="H365" s="149" t="str">
        <f t="shared" si="201"/>
        <v/>
      </c>
      <c r="I365" s="149" t="str">
        <f t="shared" si="202"/>
        <v/>
      </c>
      <c r="J365" s="147" t="str">
        <f t="shared" si="203"/>
        <v/>
      </c>
      <c r="K365" s="175" t="str">
        <f t="shared" si="194"/>
        <v/>
      </c>
      <c r="L365" s="149" t="str">
        <f t="shared" si="204"/>
        <v/>
      </c>
      <c r="M365" s="149" t="str">
        <f t="shared" si="205"/>
        <v/>
      </c>
      <c r="N365" s="149" t="str">
        <f t="shared" si="206"/>
        <v/>
      </c>
      <c r="P365" s="149" t="str">
        <f t="shared" si="207"/>
        <v/>
      </c>
      <c r="Q365" s="149" t="str">
        <f t="shared" si="208"/>
        <v/>
      </c>
      <c r="R365" s="178" t="str">
        <f t="shared" si="209"/>
        <v/>
      </c>
      <c r="S365" s="113" t="str">
        <f t="shared" si="210"/>
        <v/>
      </c>
      <c r="T365" s="113" t="str">
        <f t="shared" si="195"/>
        <v/>
      </c>
      <c r="U365" s="114" t="str">
        <f t="shared" si="211"/>
        <v/>
      </c>
      <c r="V365" s="114" t="str">
        <f t="shared" si="212"/>
        <v/>
      </c>
      <c r="W365" s="114" t="str">
        <f t="shared" si="213"/>
        <v/>
      </c>
      <c r="X365" s="114"/>
      <c r="Y365" s="149" t="str">
        <f t="shared" si="214"/>
        <v/>
      </c>
      <c r="Z365" s="149" t="str">
        <f t="shared" si="215"/>
        <v/>
      </c>
      <c r="AA365" s="178" t="str">
        <f t="shared" si="216"/>
        <v/>
      </c>
      <c r="AB365" s="113" t="str">
        <f t="shared" si="217"/>
        <v/>
      </c>
      <c r="AC365" s="113" t="str">
        <f t="shared" si="196"/>
        <v/>
      </c>
      <c r="AD365" s="114" t="str">
        <f t="shared" si="218"/>
        <v/>
      </c>
      <c r="AE365" s="114" t="str">
        <f t="shared" si="219"/>
        <v/>
      </c>
      <c r="AF365" s="114" t="str">
        <f t="shared" si="220"/>
        <v/>
      </c>
      <c r="AG365" s="114"/>
      <c r="AH365" s="176" t="str">
        <f t="shared" si="221"/>
        <v/>
      </c>
      <c r="AI365" s="176" t="str">
        <f t="shared" si="222"/>
        <v/>
      </c>
      <c r="AJ365" s="178" t="str">
        <f t="shared" si="223"/>
        <v/>
      </c>
      <c r="AK365" s="113" t="str">
        <f t="shared" si="224"/>
        <v/>
      </c>
      <c r="AL365" s="113" t="str">
        <f t="shared" si="197"/>
        <v/>
      </c>
      <c r="AM365" s="114" t="str">
        <f t="shared" si="225"/>
        <v/>
      </c>
      <c r="AN365" s="114" t="str">
        <f t="shared" si="226"/>
        <v/>
      </c>
      <c r="AO365" s="114" t="str">
        <f t="shared" si="227"/>
        <v/>
      </c>
    </row>
    <row r="366" spans="1:41" x14ac:dyDescent="0.3">
      <c r="A366" s="146">
        <f t="shared" si="198"/>
        <v>344</v>
      </c>
      <c r="B366" s="147" t="str">
        <f t="shared" si="191"/>
        <v/>
      </c>
      <c r="C366" s="147" t="str">
        <f t="shared" si="190"/>
        <v/>
      </c>
      <c r="D366" s="149" t="str">
        <f t="shared" si="199"/>
        <v/>
      </c>
      <c r="E366" s="149" t="str">
        <f t="shared" si="200"/>
        <v/>
      </c>
      <c r="F366" s="149" t="str">
        <f t="shared" si="192"/>
        <v/>
      </c>
      <c r="G366" s="149" t="str">
        <f t="shared" si="193"/>
        <v/>
      </c>
      <c r="H366" s="149" t="str">
        <f t="shared" si="201"/>
        <v/>
      </c>
      <c r="I366" s="149" t="str">
        <f t="shared" si="202"/>
        <v/>
      </c>
      <c r="J366" s="147" t="str">
        <f t="shared" si="203"/>
        <v/>
      </c>
      <c r="K366" s="175" t="str">
        <f t="shared" si="194"/>
        <v/>
      </c>
      <c r="L366" s="149" t="str">
        <f t="shared" si="204"/>
        <v/>
      </c>
      <c r="M366" s="149" t="str">
        <f t="shared" si="205"/>
        <v/>
      </c>
      <c r="N366" s="149" t="str">
        <f t="shared" si="206"/>
        <v/>
      </c>
      <c r="P366" s="149" t="str">
        <f t="shared" si="207"/>
        <v/>
      </c>
      <c r="Q366" s="149" t="str">
        <f t="shared" si="208"/>
        <v/>
      </c>
      <c r="R366" s="178" t="str">
        <f t="shared" si="209"/>
        <v/>
      </c>
      <c r="S366" s="113" t="str">
        <f t="shared" si="210"/>
        <v/>
      </c>
      <c r="T366" s="113" t="str">
        <f t="shared" si="195"/>
        <v/>
      </c>
      <c r="U366" s="114" t="str">
        <f t="shared" si="211"/>
        <v/>
      </c>
      <c r="V366" s="114" t="str">
        <f t="shared" si="212"/>
        <v/>
      </c>
      <c r="W366" s="114" t="str">
        <f t="shared" si="213"/>
        <v/>
      </c>
      <c r="X366" s="114"/>
      <c r="Y366" s="149" t="str">
        <f t="shared" si="214"/>
        <v/>
      </c>
      <c r="Z366" s="149" t="str">
        <f t="shared" si="215"/>
        <v/>
      </c>
      <c r="AA366" s="178" t="str">
        <f t="shared" si="216"/>
        <v/>
      </c>
      <c r="AB366" s="113" t="str">
        <f t="shared" si="217"/>
        <v/>
      </c>
      <c r="AC366" s="113" t="str">
        <f t="shared" si="196"/>
        <v/>
      </c>
      <c r="AD366" s="114" t="str">
        <f t="shared" si="218"/>
        <v/>
      </c>
      <c r="AE366" s="114" t="str">
        <f t="shared" si="219"/>
        <v/>
      </c>
      <c r="AF366" s="114" t="str">
        <f t="shared" si="220"/>
        <v/>
      </c>
      <c r="AG366" s="114"/>
      <c r="AH366" s="176" t="str">
        <f t="shared" si="221"/>
        <v/>
      </c>
      <c r="AI366" s="176" t="str">
        <f t="shared" si="222"/>
        <v/>
      </c>
      <c r="AJ366" s="178" t="str">
        <f t="shared" si="223"/>
        <v/>
      </c>
      <c r="AK366" s="113" t="str">
        <f t="shared" si="224"/>
        <v/>
      </c>
      <c r="AL366" s="113" t="str">
        <f t="shared" si="197"/>
        <v/>
      </c>
      <c r="AM366" s="114" t="str">
        <f t="shared" si="225"/>
        <v/>
      </c>
      <c r="AN366" s="114" t="str">
        <f t="shared" si="226"/>
        <v/>
      </c>
      <c r="AO366" s="114" t="str">
        <f t="shared" si="227"/>
        <v/>
      </c>
    </row>
    <row r="367" spans="1:41" x14ac:dyDescent="0.3">
      <c r="A367" s="146">
        <f t="shared" si="198"/>
        <v>345</v>
      </c>
      <c r="B367" s="147" t="str">
        <f t="shared" si="191"/>
        <v/>
      </c>
      <c r="C367" s="147" t="str">
        <f t="shared" si="190"/>
        <v/>
      </c>
      <c r="D367" s="149" t="str">
        <f t="shared" si="199"/>
        <v/>
      </c>
      <c r="E367" s="149" t="str">
        <f t="shared" si="200"/>
        <v/>
      </c>
      <c r="F367" s="149" t="str">
        <f t="shared" si="192"/>
        <v/>
      </c>
      <c r="G367" s="149" t="str">
        <f t="shared" si="193"/>
        <v/>
      </c>
      <c r="H367" s="149" t="str">
        <f t="shared" si="201"/>
        <v/>
      </c>
      <c r="I367" s="149" t="str">
        <f t="shared" si="202"/>
        <v/>
      </c>
      <c r="J367" s="147" t="str">
        <f t="shared" si="203"/>
        <v/>
      </c>
      <c r="K367" s="175" t="str">
        <f t="shared" si="194"/>
        <v/>
      </c>
      <c r="L367" s="149" t="str">
        <f t="shared" si="204"/>
        <v/>
      </c>
      <c r="M367" s="149" t="str">
        <f t="shared" si="205"/>
        <v/>
      </c>
      <c r="N367" s="149" t="str">
        <f t="shared" si="206"/>
        <v/>
      </c>
      <c r="P367" s="149" t="str">
        <f t="shared" si="207"/>
        <v/>
      </c>
      <c r="Q367" s="149" t="str">
        <f t="shared" si="208"/>
        <v/>
      </c>
      <c r="R367" s="178" t="str">
        <f t="shared" si="209"/>
        <v/>
      </c>
      <c r="S367" s="113" t="str">
        <f t="shared" si="210"/>
        <v/>
      </c>
      <c r="T367" s="113" t="str">
        <f t="shared" si="195"/>
        <v/>
      </c>
      <c r="U367" s="114" t="str">
        <f t="shared" si="211"/>
        <v/>
      </c>
      <c r="V367" s="114" t="str">
        <f t="shared" si="212"/>
        <v/>
      </c>
      <c r="W367" s="114" t="str">
        <f t="shared" si="213"/>
        <v/>
      </c>
      <c r="X367" s="114"/>
      <c r="Y367" s="149" t="str">
        <f t="shared" si="214"/>
        <v/>
      </c>
      <c r="Z367" s="149" t="str">
        <f t="shared" si="215"/>
        <v/>
      </c>
      <c r="AA367" s="178" t="str">
        <f t="shared" si="216"/>
        <v/>
      </c>
      <c r="AB367" s="113" t="str">
        <f t="shared" si="217"/>
        <v/>
      </c>
      <c r="AC367" s="113" t="str">
        <f t="shared" si="196"/>
        <v/>
      </c>
      <c r="AD367" s="114" t="str">
        <f t="shared" si="218"/>
        <v/>
      </c>
      <c r="AE367" s="114" t="str">
        <f t="shared" si="219"/>
        <v/>
      </c>
      <c r="AF367" s="114" t="str">
        <f t="shared" si="220"/>
        <v/>
      </c>
      <c r="AG367" s="114"/>
      <c r="AH367" s="176" t="str">
        <f t="shared" si="221"/>
        <v/>
      </c>
      <c r="AI367" s="176" t="str">
        <f t="shared" si="222"/>
        <v/>
      </c>
      <c r="AJ367" s="178" t="str">
        <f t="shared" si="223"/>
        <v/>
      </c>
      <c r="AK367" s="113" t="str">
        <f t="shared" si="224"/>
        <v/>
      </c>
      <c r="AL367" s="113" t="str">
        <f t="shared" si="197"/>
        <v/>
      </c>
      <c r="AM367" s="114" t="str">
        <f t="shared" si="225"/>
        <v/>
      </c>
      <c r="AN367" s="114" t="str">
        <f t="shared" si="226"/>
        <v/>
      </c>
      <c r="AO367" s="114" t="str">
        <f t="shared" si="227"/>
        <v/>
      </c>
    </row>
    <row r="368" spans="1:41" x14ac:dyDescent="0.3">
      <c r="A368" s="146">
        <f t="shared" si="198"/>
        <v>346</v>
      </c>
      <c r="B368" s="147" t="str">
        <f t="shared" si="191"/>
        <v/>
      </c>
      <c r="C368" s="147" t="str">
        <f t="shared" si="190"/>
        <v/>
      </c>
      <c r="D368" s="149" t="str">
        <f t="shared" si="199"/>
        <v/>
      </c>
      <c r="E368" s="149" t="str">
        <f t="shared" si="200"/>
        <v/>
      </c>
      <c r="F368" s="149" t="str">
        <f t="shared" si="192"/>
        <v/>
      </c>
      <c r="G368" s="149" t="str">
        <f t="shared" si="193"/>
        <v/>
      </c>
      <c r="H368" s="149" t="str">
        <f t="shared" si="201"/>
        <v/>
      </c>
      <c r="I368" s="149" t="str">
        <f t="shared" si="202"/>
        <v/>
      </c>
      <c r="J368" s="147" t="str">
        <f t="shared" si="203"/>
        <v/>
      </c>
      <c r="K368" s="175" t="str">
        <f t="shared" si="194"/>
        <v/>
      </c>
      <c r="L368" s="149" t="str">
        <f t="shared" si="204"/>
        <v/>
      </c>
      <c r="M368" s="149" t="str">
        <f t="shared" si="205"/>
        <v/>
      </c>
      <c r="N368" s="149" t="str">
        <f t="shared" si="206"/>
        <v/>
      </c>
      <c r="P368" s="149" t="str">
        <f t="shared" si="207"/>
        <v/>
      </c>
      <c r="Q368" s="149" t="str">
        <f t="shared" si="208"/>
        <v/>
      </c>
      <c r="R368" s="178" t="str">
        <f t="shared" si="209"/>
        <v/>
      </c>
      <c r="S368" s="113" t="str">
        <f t="shared" si="210"/>
        <v/>
      </c>
      <c r="T368" s="113" t="str">
        <f t="shared" si="195"/>
        <v/>
      </c>
      <c r="U368" s="114" t="str">
        <f t="shared" si="211"/>
        <v/>
      </c>
      <c r="V368" s="114" t="str">
        <f t="shared" si="212"/>
        <v/>
      </c>
      <c r="W368" s="114" t="str">
        <f t="shared" si="213"/>
        <v/>
      </c>
      <c r="X368" s="114"/>
      <c r="Y368" s="149" t="str">
        <f t="shared" si="214"/>
        <v/>
      </c>
      <c r="Z368" s="149" t="str">
        <f t="shared" si="215"/>
        <v/>
      </c>
      <c r="AA368" s="178" t="str">
        <f t="shared" si="216"/>
        <v/>
      </c>
      <c r="AB368" s="113" t="str">
        <f t="shared" si="217"/>
        <v/>
      </c>
      <c r="AC368" s="113" t="str">
        <f t="shared" si="196"/>
        <v/>
      </c>
      <c r="AD368" s="114" t="str">
        <f t="shared" si="218"/>
        <v/>
      </c>
      <c r="AE368" s="114" t="str">
        <f t="shared" si="219"/>
        <v/>
      </c>
      <c r="AF368" s="114" t="str">
        <f t="shared" si="220"/>
        <v/>
      </c>
      <c r="AG368" s="114"/>
      <c r="AH368" s="176" t="str">
        <f t="shared" si="221"/>
        <v/>
      </c>
      <c r="AI368" s="176" t="str">
        <f t="shared" si="222"/>
        <v/>
      </c>
      <c r="AJ368" s="178" t="str">
        <f t="shared" si="223"/>
        <v/>
      </c>
      <c r="AK368" s="113" t="str">
        <f t="shared" si="224"/>
        <v/>
      </c>
      <c r="AL368" s="113" t="str">
        <f t="shared" si="197"/>
        <v/>
      </c>
      <c r="AM368" s="114" t="str">
        <f t="shared" si="225"/>
        <v/>
      </c>
      <c r="AN368" s="114" t="str">
        <f t="shared" si="226"/>
        <v/>
      </c>
      <c r="AO368" s="114" t="str">
        <f t="shared" si="227"/>
        <v/>
      </c>
    </row>
    <row r="369" spans="1:41" x14ac:dyDescent="0.3">
      <c r="A369" s="146">
        <f t="shared" si="198"/>
        <v>347</v>
      </c>
      <c r="B369" s="147" t="str">
        <f t="shared" si="191"/>
        <v/>
      </c>
      <c r="C369" s="147" t="str">
        <f t="shared" si="190"/>
        <v/>
      </c>
      <c r="D369" s="149" t="str">
        <f t="shared" si="199"/>
        <v/>
      </c>
      <c r="E369" s="149" t="str">
        <f t="shared" si="200"/>
        <v/>
      </c>
      <c r="F369" s="149" t="str">
        <f t="shared" si="192"/>
        <v/>
      </c>
      <c r="G369" s="149" t="str">
        <f t="shared" si="193"/>
        <v/>
      </c>
      <c r="H369" s="149" t="str">
        <f t="shared" si="201"/>
        <v/>
      </c>
      <c r="I369" s="149" t="str">
        <f t="shared" si="202"/>
        <v/>
      </c>
      <c r="J369" s="147" t="str">
        <f t="shared" si="203"/>
        <v/>
      </c>
      <c r="K369" s="175" t="str">
        <f t="shared" si="194"/>
        <v/>
      </c>
      <c r="L369" s="149" t="str">
        <f t="shared" si="204"/>
        <v/>
      </c>
      <c r="M369" s="149" t="str">
        <f t="shared" si="205"/>
        <v/>
      </c>
      <c r="N369" s="149" t="str">
        <f t="shared" si="206"/>
        <v/>
      </c>
      <c r="P369" s="149" t="str">
        <f t="shared" si="207"/>
        <v/>
      </c>
      <c r="Q369" s="149" t="str">
        <f t="shared" si="208"/>
        <v/>
      </c>
      <c r="R369" s="178" t="str">
        <f t="shared" si="209"/>
        <v/>
      </c>
      <c r="S369" s="113" t="str">
        <f t="shared" si="210"/>
        <v/>
      </c>
      <c r="T369" s="113" t="str">
        <f t="shared" si="195"/>
        <v/>
      </c>
      <c r="U369" s="114" t="str">
        <f t="shared" si="211"/>
        <v/>
      </c>
      <c r="V369" s="114" t="str">
        <f t="shared" si="212"/>
        <v/>
      </c>
      <c r="W369" s="114" t="str">
        <f t="shared" si="213"/>
        <v/>
      </c>
      <c r="X369" s="114"/>
      <c r="Y369" s="149" t="str">
        <f t="shared" si="214"/>
        <v/>
      </c>
      <c r="Z369" s="149" t="str">
        <f t="shared" si="215"/>
        <v/>
      </c>
      <c r="AA369" s="178" t="str">
        <f t="shared" si="216"/>
        <v/>
      </c>
      <c r="AB369" s="113" t="str">
        <f t="shared" si="217"/>
        <v/>
      </c>
      <c r="AC369" s="113" t="str">
        <f t="shared" si="196"/>
        <v/>
      </c>
      <c r="AD369" s="114" t="str">
        <f t="shared" si="218"/>
        <v/>
      </c>
      <c r="AE369" s="114" t="str">
        <f t="shared" si="219"/>
        <v/>
      </c>
      <c r="AF369" s="114" t="str">
        <f t="shared" si="220"/>
        <v/>
      </c>
      <c r="AG369" s="114"/>
      <c r="AH369" s="176" t="str">
        <f t="shared" si="221"/>
        <v/>
      </c>
      <c r="AI369" s="176" t="str">
        <f t="shared" si="222"/>
        <v/>
      </c>
      <c r="AJ369" s="178" t="str">
        <f t="shared" si="223"/>
        <v/>
      </c>
      <c r="AK369" s="113" t="str">
        <f t="shared" si="224"/>
        <v/>
      </c>
      <c r="AL369" s="113" t="str">
        <f t="shared" si="197"/>
        <v/>
      </c>
      <c r="AM369" s="114" t="str">
        <f t="shared" si="225"/>
        <v/>
      </c>
      <c r="AN369" s="114" t="str">
        <f t="shared" si="226"/>
        <v/>
      </c>
      <c r="AO369" s="114" t="str">
        <f t="shared" si="227"/>
        <v/>
      </c>
    </row>
    <row r="370" spans="1:41" x14ac:dyDescent="0.3">
      <c r="A370" s="146">
        <f t="shared" si="198"/>
        <v>348</v>
      </c>
      <c r="B370" s="147" t="str">
        <f t="shared" si="191"/>
        <v/>
      </c>
      <c r="C370" s="147" t="str">
        <f t="shared" si="190"/>
        <v/>
      </c>
      <c r="D370" s="149" t="str">
        <f t="shared" si="199"/>
        <v/>
      </c>
      <c r="E370" s="149" t="str">
        <f t="shared" si="200"/>
        <v/>
      </c>
      <c r="F370" s="149" t="str">
        <f t="shared" si="192"/>
        <v/>
      </c>
      <c r="G370" s="149" t="str">
        <f t="shared" si="193"/>
        <v/>
      </c>
      <c r="H370" s="149" t="str">
        <f t="shared" si="201"/>
        <v/>
      </c>
      <c r="I370" s="149" t="str">
        <f t="shared" si="202"/>
        <v/>
      </c>
      <c r="J370" s="147" t="str">
        <f t="shared" si="203"/>
        <v/>
      </c>
      <c r="K370" s="175" t="str">
        <f t="shared" si="194"/>
        <v/>
      </c>
      <c r="L370" s="149" t="str">
        <f t="shared" si="204"/>
        <v/>
      </c>
      <c r="M370" s="149" t="str">
        <f t="shared" si="205"/>
        <v/>
      </c>
      <c r="N370" s="149" t="str">
        <f t="shared" si="206"/>
        <v/>
      </c>
      <c r="P370" s="149" t="str">
        <f t="shared" si="207"/>
        <v/>
      </c>
      <c r="Q370" s="149" t="str">
        <f t="shared" si="208"/>
        <v/>
      </c>
      <c r="R370" s="178" t="str">
        <f t="shared" si="209"/>
        <v/>
      </c>
      <c r="S370" s="113" t="str">
        <f t="shared" si="210"/>
        <v/>
      </c>
      <c r="T370" s="113" t="str">
        <f t="shared" si="195"/>
        <v/>
      </c>
      <c r="U370" s="114" t="str">
        <f t="shared" si="211"/>
        <v/>
      </c>
      <c r="V370" s="114" t="str">
        <f t="shared" si="212"/>
        <v/>
      </c>
      <c r="W370" s="114" t="str">
        <f t="shared" si="213"/>
        <v/>
      </c>
      <c r="X370" s="114"/>
      <c r="Y370" s="149" t="str">
        <f t="shared" si="214"/>
        <v/>
      </c>
      <c r="Z370" s="149" t="str">
        <f t="shared" si="215"/>
        <v/>
      </c>
      <c r="AA370" s="178" t="str">
        <f t="shared" si="216"/>
        <v/>
      </c>
      <c r="AB370" s="113" t="str">
        <f t="shared" si="217"/>
        <v/>
      </c>
      <c r="AC370" s="113" t="str">
        <f t="shared" si="196"/>
        <v/>
      </c>
      <c r="AD370" s="114" t="str">
        <f t="shared" si="218"/>
        <v/>
      </c>
      <c r="AE370" s="114" t="str">
        <f t="shared" si="219"/>
        <v/>
      </c>
      <c r="AF370" s="114" t="str">
        <f t="shared" si="220"/>
        <v/>
      </c>
      <c r="AG370" s="114"/>
      <c r="AH370" s="176" t="str">
        <f t="shared" si="221"/>
        <v/>
      </c>
      <c r="AI370" s="176" t="str">
        <f t="shared" si="222"/>
        <v/>
      </c>
      <c r="AJ370" s="178" t="str">
        <f t="shared" si="223"/>
        <v/>
      </c>
      <c r="AK370" s="113" t="str">
        <f t="shared" si="224"/>
        <v/>
      </c>
      <c r="AL370" s="113" t="str">
        <f t="shared" si="197"/>
        <v/>
      </c>
      <c r="AM370" s="114" t="str">
        <f t="shared" si="225"/>
        <v/>
      </c>
      <c r="AN370" s="114" t="str">
        <f t="shared" si="226"/>
        <v/>
      </c>
      <c r="AO370" s="114" t="str">
        <f t="shared" si="227"/>
        <v/>
      </c>
    </row>
    <row r="371" spans="1:41" x14ac:dyDescent="0.3">
      <c r="A371" s="146">
        <f t="shared" si="198"/>
        <v>349</v>
      </c>
      <c r="B371" s="147" t="str">
        <f t="shared" si="191"/>
        <v/>
      </c>
      <c r="C371" s="147" t="str">
        <f t="shared" si="190"/>
        <v/>
      </c>
      <c r="D371" s="149" t="str">
        <f t="shared" si="199"/>
        <v/>
      </c>
      <c r="E371" s="149" t="str">
        <f t="shared" si="200"/>
        <v/>
      </c>
      <c r="F371" s="149" t="str">
        <f t="shared" si="192"/>
        <v/>
      </c>
      <c r="G371" s="149" t="str">
        <f t="shared" si="193"/>
        <v/>
      </c>
      <c r="H371" s="149" t="str">
        <f t="shared" si="201"/>
        <v/>
      </c>
      <c r="I371" s="149" t="str">
        <f t="shared" si="202"/>
        <v/>
      </c>
      <c r="J371" s="147" t="str">
        <f t="shared" si="203"/>
        <v/>
      </c>
      <c r="K371" s="175" t="str">
        <f t="shared" si="194"/>
        <v/>
      </c>
      <c r="L371" s="149" t="str">
        <f t="shared" si="204"/>
        <v/>
      </c>
      <c r="M371" s="149" t="str">
        <f t="shared" si="205"/>
        <v/>
      </c>
      <c r="N371" s="149" t="str">
        <f t="shared" si="206"/>
        <v/>
      </c>
      <c r="P371" s="149" t="str">
        <f t="shared" si="207"/>
        <v/>
      </c>
      <c r="Q371" s="149" t="str">
        <f t="shared" si="208"/>
        <v/>
      </c>
      <c r="R371" s="178" t="str">
        <f t="shared" si="209"/>
        <v/>
      </c>
      <c r="S371" s="113" t="str">
        <f t="shared" si="210"/>
        <v/>
      </c>
      <c r="T371" s="113" t="str">
        <f t="shared" si="195"/>
        <v/>
      </c>
      <c r="U371" s="114" t="str">
        <f t="shared" si="211"/>
        <v/>
      </c>
      <c r="V371" s="114" t="str">
        <f t="shared" si="212"/>
        <v/>
      </c>
      <c r="W371" s="114" t="str">
        <f t="shared" si="213"/>
        <v/>
      </c>
      <c r="X371" s="114"/>
      <c r="Y371" s="149" t="str">
        <f t="shared" si="214"/>
        <v/>
      </c>
      <c r="Z371" s="149" t="str">
        <f t="shared" si="215"/>
        <v/>
      </c>
      <c r="AA371" s="178" t="str">
        <f t="shared" si="216"/>
        <v/>
      </c>
      <c r="AB371" s="113" t="str">
        <f t="shared" si="217"/>
        <v/>
      </c>
      <c r="AC371" s="113" t="str">
        <f t="shared" si="196"/>
        <v/>
      </c>
      <c r="AD371" s="114" t="str">
        <f t="shared" si="218"/>
        <v/>
      </c>
      <c r="AE371" s="114" t="str">
        <f t="shared" si="219"/>
        <v/>
      </c>
      <c r="AF371" s="114" t="str">
        <f t="shared" si="220"/>
        <v/>
      </c>
      <c r="AG371" s="114"/>
      <c r="AH371" s="176" t="str">
        <f t="shared" si="221"/>
        <v/>
      </c>
      <c r="AI371" s="176" t="str">
        <f t="shared" si="222"/>
        <v/>
      </c>
      <c r="AJ371" s="178" t="str">
        <f t="shared" si="223"/>
        <v/>
      </c>
      <c r="AK371" s="113" t="str">
        <f t="shared" si="224"/>
        <v/>
      </c>
      <c r="AL371" s="113" t="str">
        <f t="shared" si="197"/>
        <v/>
      </c>
      <c r="AM371" s="114" t="str">
        <f t="shared" si="225"/>
        <v/>
      </c>
      <c r="AN371" s="114" t="str">
        <f t="shared" si="226"/>
        <v/>
      </c>
      <c r="AO371" s="114" t="str">
        <f t="shared" si="227"/>
        <v/>
      </c>
    </row>
    <row r="372" spans="1:41" x14ac:dyDescent="0.3">
      <c r="A372" s="146">
        <f t="shared" si="198"/>
        <v>350</v>
      </c>
      <c r="B372" s="147" t="str">
        <f t="shared" si="191"/>
        <v/>
      </c>
      <c r="C372" s="147" t="str">
        <f t="shared" si="190"/>
        <v/>
      </c>
      <c r="D372" s="149" t="str">
        <f t="shared" si="199"/>
        <v/>
      </c>
      <c r="E372" s="149" t="str">
        <f t="shared" si="200"/>
        <v/>
      </c>
      <c r="F372" s="149" t="str">
        <f t="shared" si="192"/>
        <v/>
      </c>
      <c r="G372" s="149" t="str">
        <f t="shared" si="193"/>
        <v/>
      </c>
      <c r="H372" s="149" t="str">
        <f t="shared" si="201"/>
        <v/>
      </c>
      <c r="I372" s="149" t="str">
        <f t="shared" si="202"/>
        <v/>
      </c>
      <c r="J372" s="147" t="str">
        <f t="shared" si="203"/>
        <v/>
      </c>
      <c r="K372" s="175" t="str">
        <f t="shared" si="194"/>
        <v/>
      </c>
      <c r="L372" s="149" t="str">
        <f t="shared" si="204"/>
        <v/>
      </c>
      <c r="M372" s="149" t="str">
        <f t="shared" si="205"/>
        <v/>
      </c>
      <c r="N372" s="149" t="str">
        <f t="shared" si="206"/>
        <v/>
      </c>
      <c r="P372" s="149" t="str">
        <f t="shared" si="207"/>
        <v/>
      </c>
      <c r="Q372" s="149" t="str">
        <f t="shared" si="208"/>
        <v/>
      </c>
      <c r="R372" s="178" t="str">
        <f t="shared" si="209"/>
        <v/>
      </c>
      <c r="S372" s="113" t="str">
        <f t="shared" si="210"/>
        <v/>
      </c>
      <c r="T372" s="113" t="str">
        <f t="shared" si="195"/>
        <v/>
      </c>
      <c r="U372" s="114" t="str">
        <f t="shared" si="211"/>
        <v/>
      </c>
      <c r="V372" s="114" t="str">
        <f t="shared" si="212"/>
        <v/>
      </c>
      <c r="W372" s="114" t="str">
        <f t="shared" si="213"/>
        <v/>
      </c>
      <c r="X372" s="114"/>
      <c r="Y372" s="149" t="str">
        <f t="shared" si="214"/>
        <v/>
      </c>
      <c r="Z372" s="149" t="str">
        <f t="shared" si="215"/>
        <v/>
      </c>
      <c r="AA372" s="178" t="str">
        <f t="shared" si="216"/>
        <v/>
      </c>
      <c r="AB372" s="113" t="str">
        <f t="shared" si="217"/>
        <v/>
      </c>
      <c r="AC372" s="113" t="str">
        <f t="shared" si="196"/>
        <v/>
      </c>
      <c r="AD372" s="114" t="str">
        <f t="shared" si="218"/>
        <v/>
      </c>
      <c r="AE372" s="114" t="str">
        <f t="shared" si="219"/>
        <v/>
      </c>
      <c r="AF372" s="114" t="str">
        <f t="shared" si="220"/>
        <v/>
      </c>
      <c r="AG372" s="114"/>
      <c r="AH372" s="176" t="str">
        <f t="shared" si="221"/>
        <v/>
      </c>
      <c r="AI372" s="176" t="str">
        <f t="shared" si="222"/>
        <v/>
      </c>
      <c r="AJ372" s="178" t="str">
        <f t="shared" si="223"/>
        <v/>
      </c>
      <c r="AK372" s="113" t="str">
        <f t="shared" si="224"/>
        <v/>
      </c>
      <c r="AL372" s="113" t="str">
        <f t="shared" si="197"/>
        <v/>
      </c>
      <c r="AM372" s="114" t="str">
        <f t="shared" si="225"/>
        <v/>
      </c>
      <c r="AN372" s="114" t="str">
        <f t="shared" si="226"/>
        <v/>
      </c>
      <c r="AO372" s="114" t="str">
        <f t="shared" si="227"/>
        <v/>
      </c>
    </row>
    <row r="373" spans="1:41" x14ac:dyDescent="0.3">
      <c r="A373" s="146">
        <f t="shared" si="198"/>
        <v>351</v>
      </c>
      <c r="B373" s="147" t="str">
        <f t="shared" si="191"/>
        <v/>
      </c>
      <c r="C373" s="147" t="str">
        <f t="shared" si="190"/>
        <v/>
      </c>
      <c r="D373" s="149" t="str">
        <f t="shared" si="199"/>
        <v/>
      </c>
      <c r="E373" s="149" t="str">
        <f t="shared" si="200"/>
        <v/>
      </c>
      <c r="F373" s="149" t="str">
        <f t="shared" si="192"/>
        <v/>
      </c>
      <c r="G373" s="149" t="str">
        <f t="shared" si="193"/>
        <v/>
      </c>
      <c r="H373" s="149" t="str">
        <f t="shared" si="201"/>
        <v/>
      </c>
      <c r="I373" s="149" t="str">
        <f t="shared" si="202"/>
        <v/>
      </c>
      <c r="J373" s="147" t="str">
        <f t="shared" si="203"/>
        <v/>
      </c>
      <c r="K373" s="175" t="str">
        <f t="shared" si="194"/>
        <v/>
      </c>
      <c r="L373" s="149" t="str">
        <f t="shared" si="204"/>
        <v/>
      </c>
      <c r="M373" s="149" t="str">
        <f t="shared" si="205"/>
        <v/>
      </c>
      <c r="N373" s="149" t="str">
        <f t="shared" si="206"/>
        <v/>
      </c>
      <c r="P373" s="149" t="str">
        <f t="shared" si="207"/>
        <v/>
      </c>
      <c r="Q373" s="149" t="str">
        <f t="shared" si="208"/>
        <v/>
      </c>
      <c r="R373" s="178" t="str">
        <f t="shared" si="209"/>
        <v/>
      </c>
      <c r="S373" s="113" t="str">
        <f t="shared" si="210"/>
        <v/>
      </c>
      <c r="T373" s="113" t="str">
        <f t="shared" si="195"/>
        <v/>
      </c>
      <c r="U373" s="114" t="str">
        <f t="shared" si="211"/>
        <v/>
      </c>
      <c r="V373" s="114" t="str">
        <f t="shared" si="212"/>
        <v/>
      </c>
      <c r="W373" s="114" t="str">
        <f t="shared" si="213"/>
        <v/>
      </c>
      <c r="X373" s="114"/>
      <c r="Y373" s="149" t="str">
        <f t="shared" si="214"/>
        <v/>
      </c>
      <c r="Z373" s="149" t="str">
        <f t="shared" si="215"/>
        <v/>
      </c>
      <c r="AA373" s="178" t="str">
        <f t="shared" si="216"/>
        <v/>
      </c>
      <c r="AB373" s="113" t="str">
        <f t="shared" si="217"/>
        <v/>
      </c>
      <c r="AC373" s="113" t="str">
        <f t="shared" si="196"/>
        <v/>
      </c>
      <c r="AD373" s="114" t="str">
        <f t="shared" si="218"/>
        <v/>
      </c>
      <c r="AE373" s="114" t="str">
        <f t="shared" si="219"/>
        <v/>
      </c>
      <c r="AF373" s="114" t="str">
        <f t="shared" si="220"/>
        <v/>
      </c>
      <c r="AG373" s="114"/>
      <c r="AH373" s="176" t="str">
        <f t="shared" si="221"/>
        <v/>
      </c>
      <c r="AI373" s="176" t="str">
        <f t="shared" si="222"/>
        <v/>
      </c>
      <c r="AJ373" s="178" t="str">
        <f t="shared" si="223"/>
        <v/>
      </c>
      <c r="AK373" s="113" t="str">
        <f t="shared" si="224"/>
        <v/>
      </c>
      <c r="AL373" s="113" t="str">
        <f t="shared" si="197"/>
        <v/>
      </c>
      <c r="AM373" s="114" t="str">
        <f t="shared" si="225"/>
        <v/>
      </c>
      <c r="AN373" s="114" t="str">
        <f t="shared" si="226"/>
        <v/>
      </c>
      <c r="AO373" s="114" t="str">
        <f t="shared" si="227"/>
        <v/>
      </c>
    </row>
    <row r="374" spans="1:41" x14ac:dyDescent="0.3">
      <c r="A374" s="146">
        <f t="shared" si="198"/>
        <v>352</v>
      </c>
      <c r="B374" s="147" t="str">
        <f t="shared" si="191"/>
        <v/>
      </c>
      <c r="C374" s="147" t="str">
        <f t="shared" si="190"/>
        <v/>
      </c>
      <c r="D374" s="149" t="str">
        <f t="shared" si="199"/>
        <v/>
      </c>
      <c r="E374" s="149" t="str">
        <f t="shared" si="200"/>
        <v/>
      </c>
      <c r="F374" s="149" t="str">
        <f t="shared" si="192"/>
        <v/>
      </c>
      <c r="G374" s="149" t="str">
        <f t="shared" si="193"/>
        <v/>
      </c>
      <c r="H374" s="149" t="str">
        <f t="shared" si="201"/>
        <v/>
      </c>
      <c r="I374" s="149" t="str">
        <f t="shared" si="202"/>
        <v/>
      </c>
      <c r="J374" s="147" t="str">
        <f t="shared" si="203"/>
        <v/>
      </c>
      <c r="K374" s="175" t="str">
        <f t="shared" si="194"/>
        <v/>
      </c>
      <c r="L374" s="149" t="str">
        <f t="shared" si="204"/>
        <v/>
      </c>
      <c r="M374" s="149" t="str">
        <f t="shared" si="205"/>
        <v/>
      </c>
      <c r="N374" s="149" t="str">
        <f t="shared" si="206"/>
        <v/>
      </c>
      <c r="P374" s="149" t="str">
        <f t="shared" si="207"/>
        <v/>
      </c>
      <c r="Q374" s="149" t="str">
        <f t="shared" si="208"/>
        <v/>
      </c>
      <c r="R374" s="178" t="str">
        <f t="shared" si="209"/>
        <v/>
      </c>
      <c r="S374" s="113" t="str">
        <f t="shared" si="210"/>
        <v/>
      </c>
      <c r="T374" s="113" t="str">
        <f t="shared" si="195"/>
        <v/>
      </c>
      <c r="U374" s="114" t="str">
        <f t="shared" si="211"/>
        <v/>
      </c>
      <c r="V374" s="114" t="str">
        <f t="shared" si="212"/>
        <v/>
      </c>
      <c r="W374" s="114" t="str">
        <f t="shared" si="213"/>
        <v/>
      </c>
      <c r="X374" s="114"/>
      <c r="Y374" s="149" t="str">
        <f t="shared" si="214"/>
        <v/>
      </c>
      <c r="Z374" s="149" t="str">
        <f t="shared" si="215"/>
        <v/>
      </c>
      <c r="AA374" s="178" t="str">
        <f t="shared" si="216"/>
        <v/>
      </c>
      <c r="AB374" s="113" t="str">
        <f t="shared" si="217"/>
        <v/>
      </c>
      <c r="AC374" s="113" t="str">
        <f t="shared" si="196"/>
        <v/>
      </c>
      <c r="AD374" s="114" t="str">
        <f t="shared" si="218"/>
        <v/>
      </c>
      <c r="AE374" s="114" t="str">
        <f t="shared" si="219"/>
        <v/>
      </c>
      <c r="AF374" s="114" t="str">
        <f t="shared" si="220"/>
        <v/>
      </c>
      <c r="AG374" s="114"/>
      <c r="AH374" s="176" t="str">
        <f t="shared" si="221"/>
        <v/>
      </c>
      <c r="AI374" s="176" t="str">
        <f t="shared" si="222"/>
        <v/>
      </c>
      <c r="AJ374" s="178" t="str">
        <f t="shared" si="223"/>
        <v/>
      </c>
      <c r="AK374" s="113" t="str">
        <f t="shared" si="224"/>
        <v/>
      </c>
      <c r="AL374" s="113" t="str">
        <f t="shared" si="197"/>
        <v/>
      </c>
      <c r="AM374" s="114" t="str">
        <f t="shared" si="225"/>
        <v/>
      </c>
      <c r="AN374" s="114" t="str">
        <f t="shared" si="226"/>
        <v/>
      </c>
      <c r="AO374" s="114" t="str">
        <f t="shared" si="227"/>
        <v/>
      </c>
    </row>
    <row r="375" spans="1:41" x14ac:dyDescent="0.3">
      <c r="A375" s="146">
        <f t="shared" si="198"/>
        <v>353</v>
      </c>
      <c r="B375" s="147" t="str">
        <f t="shared" si="191"/>
        <v/>
      </c>
      <c r="C375" s="147" t="str">
        <f t="shared" si="190"/>
        <v/>
      </c>
      <c r="D375" s="149" t="str">
        <f t="shared" si="199"/>
        <v/>
      </c>
      <c r="E375" s="149" t="str">
        <f t="shared" si="200"/>
        <v/>
      </c>
      <c r="F375" s="149" t="str">
        <f t="shared" si="192"/>
        <v/>
      </c>
      <c r="G375" s="149" t="str">
        <f t="shared" si="193"/>
        <v/>
      </c>
      <c r="H375" s="149" t="str">
        <f t="shared" si="201"/>
        <v/>
      </c>
      <c r="I375" s="149" t="str">
        <f t="shared" si="202"/>
        <v/>
      </c>
      <c r="J375" s="147" t="str">
        <f t="shared" si="203"/>
        <v/>
      </c>
      <c r="K375" s="175" t="str">
        <f t="shared" si="194"/>
        <v/>
      </c>
      <c r="L375" s="149" t="str">
        <f t="shared" si="204"/>
        <v/>
      </c>
      <c r="M375" s="149" t="str">
        <f t="shared" si="205"/>
        <v/>
      </c>
      <c r="N375" s="149" t="str">
        <f t="shared" si="206"/>
        <v/>
      </c>
      <c r="P375" s="149" t="str">
        <f t="shared" si="207"/>
        <v/>
      </c>
      <c r="Q375" s="149" t="str">
        <f t="shared" si="208"/>
        <v/>
      </c>
      <c r="R375" s="178" t="str">
        <f t="shared" si="209"/>
        <v/>
      </c>
      <c r="S375" s="113" t="str">
        <f t="shared" si="210"/>
        <v/>
      </c>
      <c r="T375" s="113" t="str">
        <f t="shared" si="195"/>
        <v/>
      </c>
      <c r="U375" s="114" t="str">
        <f t="shared" si="211"/>
        <v/>
      </c>
      <c r="V375" s="114" t="str">
        <f t="shared" si="212"/>
        <v/>
      </c>
      <c r="W375" s="114" t="str">
        <f t="shared" si="213"/>
        <v/>
      </c>
      <c r="X375" s="114"/>
      <c r="Y375" s="149" t="str">
        <f t="shared" si="214"/>
        <v/>
      </c>
      <c r="Z375" s="149" t="str">
        <f t="shared" si="215"/>
        <v/>
      </c>
      <c r="AA375" s="178" t="str">
        <f t="shared" si="216"/>
        <v/>
      </c>
      <c r="AB375" s="113" t="str">
        <f t="shared" si="217"/>
        <v/>
      </c>
      <c r="AC375" s="113" t="str">
        <f t="shared" si="196"/>
        <v/>
      </c>
      <c r="AD375" s="114" t="str">
        <f t="shared" si="218"/>
        <v/>
      </c>
      <c r="AE375" s="114" t="str">
        <f t="shared" si="219"/>
        <v/>
      </c>
      <c r="AF375" s="114" t="str">
        <f t="shared" si="220"/>
        <v/>
      </c>
      <c r="AG375" s="114"/>
      <c r="AH375" s="176" t="str">
        <f t="shared" si="221"/>
        <v/>
      </c>
      <c r="AI375" s="176" t="str">
        <f t="shared" si="222"/>
        <v/>
      </c>
      <c r="AJ375" s="178" t="str">
        <f t="shared" si="223"/>
        <v/>
      </c>
      <c r="AK375" s="113" t="str">
        <f t="shared" si="224"/>
        <v/>
      </c>
      <c r="AL375" s="113" t="str">
        <f t="shared" si="197"/>
        <v/>
      </c>
      <c r="AM375" s="114" t="str">
        <f t="shared" si="225"/>
        <v/>
      </c>
      <c r="AN375" s="114" t="str">
        <f t="shared" si="226"/>
        <v/>
      </c>
      <c r="AO375" s="114" t="str">
        <f t="shared" si="227"/>
        <v/>
      </c>
    </row>
    <row r="376" spans="1:41" x14ac:dyDescent="0.3">
      <c r="A376" s="146">
        <f t="shared" si="198"/>
        <v>354</v>
      </c>
      <c r="B376" s="147" t="str">
        <f t="shared" si="191"/>
        <v/>
      </c>
      <c r="C376" s="147" t="str">
        <f t="shared" si="190"/>
        <v/>
      </c>
      <c r="D376" s="149" t="str">
        <f t="shared" si="199"/>
        <v/>
      </c>
      <c r="E376" s="149" t="str">
        <f t="shared" si="200"/>
        <v/>
      </c>
      <c r="F376" s="149" t="str">
        <f t="shared" si="192"/>
        <v/>
      </c>
      <c r="G376" s="149" t="str">
        <f t="shared" si="193"/>
        <v/>
      </c>
      <c r="H376" s="149" t="str">
        <f t="shared" si="201"/>
        <v/>
      </c>
      <c r="I376" s="149" t="str">
        <f t="shared" si="202"/>
        <v/>
      </c>
      <c r="J376" s="147" t="str">
        <f t="shared" si="203"/>
        <v/>
      </c>
      <c r="K376" s="175" t="str">
        <f t="shared" si="194"/>
        <v/>
      </c>
      <c r="L376" s="149" t="str">
        <f t="shared" si="204"/>
        <v/>
      </c>
      <c r="M376" s="149" t="str">
        <f t="shared" si="205"/>
        <v/>
      </c>
      <c r="N376" s="149" t="str">
        <f t="shared" si="206"/>
        <v/>
      </c>
      <c r="P376" s="149" t="str">
        <f t="shared" si="207"/>
        <v/>
      </c>
      <c r="Q376" s="149" t="str">
        <f t="shared" si="208"/>
        <v/>
      </c>
      <c r="R376" s="178" t="str">
        <f t="shared" si="209"/>
        <v/>
      </c>
      <c r="S376" s="113" t="str">
        <f t="shared" si="210"/>
        <v/>
      </c>
      <c r="T376" s="113" t="str">
        <f t="shared" si="195"/>
        <v/>
      </c>
      <c r="U376" s="114" t="str">
        <f t="shared" si="211"/>
        <v/>
      </c>
      <c r="V376" s="114" t="str">
        <f t="shared" si="212"/>
        <v/>
      </c>
      <c r="W376" s="114" t="str">
        <f t="shared" si="213"/>
        <v/>
      </c>
      <c r="X376" s="114"/>
      <c r="Y376" s="149" t="str">
        <f t="shared" si="214"/>
        <v/>
      </c>
      <c r="Z376" s="149" t="str">
        <f t="shared" si="215"/>
        <v/>
      </c>
      <c r="AA376" s="178" t="str">
        <f t="shared" si="216"/>
        <v/>
      </c>
      <c r="AB376" s="113" t="str">
        <f t="shared" si="217"/>
        <v/>
      </c>
      <c r="AC376" s="113" t="str">
        <f t="shared" si="196"/>
        <v/>
      </c>
      <c r="AD376" s="114" t="str">
        <f t="shared" si="218"/>
        <v/>
      </c>
      <c r="AE376" s="114" t="str">
        <f t="shared" si="219"/>
        <v/>
      </c>
      <c r="AF376" s="114" t="str">
        <f t="shared" si="220"/>
        <v/>
      </c>
      <c r="AG376" s="114"/>
      <c r="AH376" s="176" t="str">
        <f t="shared" si="221"/>
        <v/>
      </c>
      <c r="AI376" s="176" t="str">
        <f t="shared" si="222"/>
        <v/>
      </c>
      <c r="AJ376" s="178" t="str">
        <f t="shared" si="223"/>
        <v/>
      </c>
      <c r="AK376" s="113" t="str">
        <f t="shared" si="224"/>
        <v/>
      </c>
      <c r="AL376" s="113" t="str">
        <f t="shared" si="197"/>
        <v/>
      </c>
      <c r="AM376" s="114" t="str">
        <f t="shared" si="225"/>
        <v/>
      </c>
      <c r="AN376" s="114" t="str">
        <f t="shared" si="226"/>
        <v/>
      </c>
      <c r="AO376" s="114" t="str">
        <f t="shared" si="227"/>
        <v/>
      </c>
    </row>
    <row r="377" spans="1:41" x14ac:dyDescent="0.3">
      <c r="A377" s="146">
        <f t="shared" si="198"/>
        <v>355</v>
      </c>
      <c r="B377" s="147" t="str">
        <f t="shared" si="191"/>
        <v/>
      </c>
      <c r="C377" s="147" t="str">
        <f t="shared" si="190"/>
        <v/>
      </c>
      <c r="D377" s="149" t="str">
        <f t="shared" si="199"/>
        <v/>
      </c>
      <c r="E377" s="149" t="str">
        <f t="shared" si="200"/>
        <v/>
      </c>
      <c r="F377" s="149" t="str">
        <f t="shared" si="192"/>
        <v/>
      </c>
      <c r="G377" s="149" t="str">
        <f t="shared" si="193"/>
        <v/>
      </c>
      <c r="H377" s="149" t="str">
        <f t="shared" si="201"/>
        <v/>
      </c>
      <c r="I377" s="149" t="str">
        <f t="shared" si="202"/>
        <v/>
      </c>
      <c r="J377" s="147" t="str">
        <f t="shared" si="203"/>
        <v/>
      </c>
      <c r="K377" s="175" t="str">
        <f t="shared" si="194"/>
        <v/>
      </c>
      <c r="L377" s="149" t="str">
        <f t="shared" si="204"/>
        <v/>
      </c>
      <c r="M377" s="149" t="str">
        <f t="shared" si="205"/>
        <v/>
      </c>
      <c r="N377" s="149" t="str">
        <f t="shared" si="206"/>
        <v/>
      </c>
      <c r="P377" s="149" t="str">
        <f t="shared" si="207"/>
        <v/>
      </c>
      <c r="Q377" s="149" t="str">
        <f t="shared" si="208"/>
        <v/>
      </c>
      <c r="R377" s="178" t="str">
        <f t="shared" si="209"/>
        <v/>
      </c>
      <c r="S377" s="113" t="str">
        <f t="shared" si="210"/>
        <v/>
      </c>
      <c r="T377" s="113" t="str">
        <f t="shared" si="195"/>
        <v/>
      </c>
      <c r="U377" s="114" t="str">
        <f t="shared" si="211"/>
        <v/>
      </c>
      <c r="V377" s="114" t="str">
        <f t="shared" si="212"/>
        <v/>
      </c>
      <c r="W377" s="114" t="str">
        <f t="shared" si="213"/>
        <v/>
      </c>
      <c r="X377" s="114"/>
      <c r="Y377" s="149" t="str">
        <f t="shared" si="214"/>
        <v/>
      </c>
      <c r="Z377" s="149" t="str">
        <f t="shared" si="215"/>
        <v/>
      </c>
      <c r="AA377" s="178" t="str">
        <f t="shared" si="216"/>
        <v/>
      </c>
      <c r="AB377" s="113" t="str">
        <f t="shared" si="217"/>
        <v/>
      </c>
      <c r="AC377" s="113" t="str">
        <f t="shared" si="196"/>
        <v/>
      </c>
      <c r="AD377" s="114" t="str">
        <f t="shared" si="218"/>
        <v/>
      </c>
      <c r="AE377" s="114" t="str">
        <f t="shared" si="219"/>
        <v/>
      </c>
      <c r="AF377" s="114" t="str">
        <f t="shared" si="220"/>
        <v/>
      </c>
      <c r="AG377" s="114"/>
      <c r="AH377" s="176" t="str">
        <f t="shared" si="221"/>
        <v/>
      </c>
      <c r="AI377" s="176" t="str">
        <f t="shared" si="222"/>
        <v/>
      </c>
      <c r="AJ377" s="178" t="str">
        <f t="shared" si="223"/>
        <v/>
      </c>
      <c r="AK377" s="113" t="str">
        <f t="shared" si="224"/>
        <v/>
      </c>
      <c r="AL377" s="113" t="str">
        <f t="shared" si="197"/>
        <v/>
      </c>
      <c r="AM377" s="114" t="str">
        <f t="shared" si="225"/>
        <v/>
      </c>
      <c r="AN377" s="114" t="str">
        <f t="shared" si="226"/>
        <v/>
      </c>
      <c r="AO377" s="114" t="str">
        <f t="shared" si="227"/>
        <v/>
      </c>
    </row>
    <row r="378" spans="1:41" x14ac:dyDescent="0.3">
      <c r="A378" s="146">
        <f t="shared" si="198"/>
        <v>356</v>
      </c>
      <c r="B378" s="147" t="str">
        <f t="shared" si="191"/>
        <v/>
      </c>
      <c r="C378" s="147" t="str">
        <f t="shared" si="190"/>
        <v/>
      </c>
      <c r="D378" s="149" t="str">
        <f t="shared" si="199"/>
        <v/>
      </c>
      <c r="E378" s="149" t="str">
        <f t="shared" si="200"/>
        <v/>
      </c>
      <c r="F378" s="149" t="str">
        <f t="shared" si="192"/>
        <v/>
      </c>
      <c r="G378" s="149" t="str">
        <f t="shared" si="193"/>
        <v/>
      </c>
      <c r="H378" s="149" t="str">
        <f t="shared" si="201"/>
        <v/>
      </c>
      <c r="I378" s="149" t="str">
        <f t="shared" si="202"/>
        <v/>
      </c>
      <c r="J378" s="147" t="str">
        <f t="shared" si="203"/>
        <v/>
      </c>
      <c r="K378" s="175" t="str">
        <f t="shared" si="194"/>
        <v/>
      </c>
      <c r="L378" s="149" t="str">
        <f t="shared" si="204"/>
        <v/>
      </c>
      <c r="M378" s="149" t="str">
        <f t="shared" si="205"/>
        <v/>
      </c>
      <c r="N378" s="149" t="str">
        <f t="shared" si="206"/>
        <v/>
      </c>
      <c r="P378" s="149" t="str">
        <f t="shared" si="207"/>
        <v/>
      </c>
      <c r="Q378" s="149" t="str">
        <f t="shared" si="208"/>
        <v/>
      </c>
      <c r="R378" s="178" t="str">
        <f t="shared" si="209"/>
        <v/>
      </c>
      <c r="S378" s="113" t="str">
        <f t="shared" si="210"/>
        <v/>
      </c>
      <c r="T378" s="113" t="str">
        <f t="shared" si="195"/>
        <v/>
      </c>
      <c r="U378" s="114" t="str">
        <f t="shared" si="211"/>
        <v/>
      </c>
      <c r="V378" s="114" t="str">
        <f t="shared" si="212"/>
        <v/>
      </c>
      <c r="W378" s="114" t="str">
        <f t="shared" si="213"/>
        <v/>
      </c>
      <c r="X378" s="114"/>
      <c r="Y378" s="149" t="str">
        <f t="shared" si="214"/>
        <v/>
      </c>
      <c r="Z378" s="149" t="str">
        <f t="shared" si="215"/>
        <v/>
      </c>
      <c r="AA378" s="178" t="str">
        <f t="shared" si="216"/>
        <v/>
      </c>
      <c r="AB378" s="113" t="str">
        <f t="shared" si="217"/>
        <v/>
      </c>
      <c r="AC378" s="113" t="str">
        <f t="shared" si="196"/>
        <v/>
      </c>
      <c r="AD378" s="114" t="str">
        <f t="shared" si="218"/>
        <v/>
      </c>
      <c r="AE378" s="114" t="str">
        <f t="shared" si="219"/>
        <v/>
      </c>
      <c r="AF378" s="114" t="str">
        <f t="shared" si="220"/>
        <v/>
      </c>
      <c r="AG378" s="114"/>
      <c r="AH378" s="176" t="str">
        <f t="shared" si="221"/>
        <v/>
      </c>
      <c r="AI378" s="176" t="str">
        <f t="shared" si="222"/>
        <v/>
      </c>
      <c r="AJ378" s="178" t="str">
        <f t="shared" si="223"/>
        <v/>
      </c>
      <c r="AK378" s="113" t="str">
        <f t="shared" si="224"/>
        <v/>
      </c>
      <c r="AL378" s="113" t="str">
        <f t="shared" si="197"/>
        <v/>
      </c>
      <c r="AM378" s="114" t="str">
        <f t="shared" si="225"/>
        <v/>
      </c>
      <c r="AN378" s="114" t="str">
        <f t="shared" si="226"/>
        <v/>
      </c>
      <c r="AO378" s="114" t="str">
        <f t="shared" si="227"/>
        <v/>
      </c>
    </row>
    <row r="379" spans="1:41" x14ac:dyDescent="0.3">
      <c r="A379" s="146">
        <f t="shared" si="198"/>
        <v>357</v>
      </c>
      <c r="B379" s="147" t="str">
        <f t="shared" si="191"/>
        <v/>
      </c>
      <c r="C379" s="147" t="str">
        <f t="shared" si="190"/>
        <v/>
      </c>
      <c r="D379" s="149" t="str">
        <f t="shared" si="199"/>
        <v/>
      </c>
      <c r="E379" s="149" t="str">
        <f t="shared" si="200"/>
        <v/>
      </c>
      <c r="F379" s="149" t="str">
        <f t="shared" si="192"/>
        <v/>
      </c>
      <c r="G379" s="149" t="str">
        <f t="shared" si="193"/>
        <v/>
      </c>
      <c r="H379" s="149" t="str">
        <f t="shared" si="201"/>
        <v/>
      </c>
      <c r="I379" s="149" t="str">
        <f t="shared" si="202"/>
        <v/>
      </c>
      <c r="J379" s="147" t="str">
        <f t="shared" si="203"/>
        <v/>
      </c>
      <c r="K379" s="175" t="str">
        <f t="shared" si="194"/>
        <v/>
      </c>
      <c r="L379" s="149" t="str">
        <f t="shared" si="204"/>
        <v/>
      </c>
      <c r="M379" s="149" t="str">
        <f t="shared" si="205"/>
        <v/>
      </c>
      <c r="N379" s="149" t="str">
        <f t="shared" si="206"/>
        <v/>
      </c>
      <c r="P379" s="149" t="str">
        <f t="shared" si="207"/>
        <v/>
      </c>
      <c r="Q379" s="149" t="str">
        <f t="shared" si="208"/>
        <v/>
      </c>
      <c r="R379" s="178" t="str">
        <f t="shared" si="209"/>
        <v/>
      </c>
      <c r="S379" s="113" t="str">
        <f t="shared" si="210"/>
        <v/>
      </c>
      <c r="T379" s="113" t="str">
        <f t="shared" si="195"/>
        <v/>
      </c>
      <c r="U379" s="114" t="str">
        <f t="shared" si="211"/>
        <v/>
      </c>
      <c r="V379" s="114" t="str">
        <f t="shared" si="212"/>
        <v/>
      </c>
      <c r="W379" s="114" t="str">
        <f t="shared" si="213"/>
        <v/>
      </c>
      <c r="X379" s="114"/>
      <c r="Y379" s="149" t="str">
        <f t="shared" si="214"/>
        <v/>
      </c>
      <c r="Z379" s="149" t="str">
        <f t="shared" si="215"/>
        <v/>
      </c>
      <c r="AA379" s="178" t="str">
        <f t="shared" si="216"/>
        <v/>
      </c>
      <c r="AB379" s="113" t="str">
        <f t="shared" si="217"/>
        <v/>
      </c>
      <c r="AC379" s="113" t="str">
        <f t="shared" si="196"/>
        <v/>
      </c>
      <c r="AD379" s="114" t="str">
        <f t="shared" si="218"/>
        <v/>
      </c>
      <c r="AE379" s="114" t="str">
        <f t="shared" si="219"/>
        <v/>
      </c>
      <c r="AF379" s="114" t="str">
        <f t="shared" si="220"/>
        <v/>
      </c>
      <c r="AG379" s="114"/>
      <c r="AH379" s="176" t="str">
        <f t="shared" si="221"/>
        <v/>
      </c>
      <c r="AI379" s="176" t="str">
        <f t="shared" si="222"/>
        <v/>
      </c>
      <c r="AJ379" s="178" t="str">
        <f t="shared" si="223"/>
        <v/>
      </c>
      <c r="AK379" s="113" t="str">
        <f t="shared" si="224"/>
        <v/>
      </c>
      <c r="AL379" s="113" t="str">
        <f t="shared" si="197"/>
        <v/>
      </c>
      <c r="AM379" s="114" t="str">
        <f t="shared" si="225"/>
        <v/>
      </c>
      <c r="AN379" s="114" t="str">
        <f t="shared" si="226"/>
        <v/>
      </c>
      <c r="AO379" s="114" t="str">
        <f t="shared" si="227"/>
        <v/>
      </c>
    </row>
    <row r="380" spans="1:41" x14ac:dyDescent="0.3">
      <c r="A380" s="146">
        <f>A379+1</f>
        <v>358</v>
      </c>
      <c r="B380" s="147" t="str">
        <f t="shared" si="191"/>
        <v/>
      </c>
      <c r="C380" s="147" t="str">
        <f t="shared" si="190"/>
        <v/>
      </c>
      <c r="D380" s="149" t="str">
        <f t="shared" si="199"/>
        <v/>
      </c>
      <c r="E380" s="149" t="str">
        <f t="shared" si="200"/>
        <v/>
      </c>
      <c r="F380" s="149" t="str">
        <f t="shared" si="192"/>
        <v/>
      </c>
      <c r="G380" s="149" t="str">
        <f t="shared" si="193"/>
        <v/>
      </c>
      <c r="H380" s="149" t="str">
        <f t="shared" si="201"/>
        <v/>
      </c>
      <c r="I380" s="149" t="str">
        <f t="shared" si="202"/>
        <v/>
      </c>
      <c r="J380" s="147" t="str">
        <f t="shared" si="203"/>
        <v/>
      </c>
      <c r="K380" s="175" t="str">
        <f t="shared" si="194"/>
        <v/>
      </c>
      <c r="L380" s="149" t="str">
        <f t="shared" si="204"/>
        <v/>
      </c>
      <c r="M380" s="149" t="str">
        <f t="shared" si="205"/>
        <v/>
      </c>
      <c r="N380" s="149" t="str">
        <f t="shared" si="206"/>
        <v/>
      </c>
      <c r="P380" s="149" t="str">
        <f t="shared" si="207"/>
        <v/>
      </c>
      <c r="Q380" s="149" t="str">
        <f t="shared" si="208"/>
        <v/>
      </c>
      <c r="R380" s="178" t="str">
        <f t="shared" si="209"/>
        <v/>
      </c>
      <c r="S380" s="113" t="str">
        <f t="shared" si="210"/>
        <v/>
      </c>
      <c r="T380" s="113" t="str">
        <f t="shared" si="195"/>
        <v/>
      </c>
      <c r="U380" s="114" t="str">
        <f t="shared" si="211"/>
        <v/>
      </c>
      <c r="V380" s="114" t="str">
        <f t="shared" si="212"/>
        <v/>
      </c>
      <c r="W380" s="114" t="str">
        <f t="shared" si="213"/>
        <v/>
      </c>
      <c r="X380" s="114"/>
      <c r="Y380" s="149" t="str">
        <f t="shared" si="214"/>
        <v/>
      </c>
      <c r="Z380" s="149" t="str">
        <f t="shared" si="215"/>
        <v/>
      </c>
      <c r="AA380" s="178" t="str">
        <f t="shared" si="216"/>
        <v/>
      </c>
      <c r="AB380" s="113" t="str">
        <f t="shared" si="217"/>
        <v/>
      </c>
      <c r="AC380" s="113" t="str">
        <f t="shared" si="196"/>
        <v/>
      </c>
      <c r="AD380" s="114" t="str">
        <f t="shared" si="218"/>
        <v/>
      </c>
      <c r="AE380" s="114" t="str">
        <f t="shared" si="219"/>
        <v/>
      </c>
      <c r="AF380" s="114" t="str">
        <f t="shared" si="220"/>
        <v/>
      </c>
      <c r="AG380" s="114"/>
      <c r="AH380" s="176" t="str">
        <f t="shared" si="221"/>
        <v/>
      </c>
      <c r="AI380" s="176" t="str">
        <f t="shared" si="222"/>
        <v/>
      </c>
      <c r="AJ380" s="178" t="str">
        <f t="shared" si="223"/>
        <v/>
      </c>
      <c r="AK380" s="113" t="str">
        <f t="shared" si="224"/>
        <v/>
      </c>
      <c r="AL380" s="113" t="str">
        <f t="shared" si="197"/>
        <v/>
      </c>
      <c r="AM380" s="114" t="str">
        <f t="shared" si="225"/>
        <v/>
      </c>
      <c r="AN380" s="114" t="str">
        <f t="shared" si="226"/>
        <v/>
      </c>
      <c r="AO380" s="114" t="str">
        <f t="shared" si="227"/>
        <v/>
      </c>
    </row>
    <row r="381" spans="1:41" x14ac:dyDescent="0.3">
      <c r="A381" s="146">
        <f>A380+1</f>
        <v>359</v>
      </c>
      <c r="B381" s="147" t="str">
        <f t="shared" si="191"/>
        <v/>
      </c>
      <c r="C381" s="147" t="str">
        <f t="shared" si="190"/>
        <v/>
      </c>
      <c r="D381" s="149" t="str">
        <f t="shared" si="199"/>
        <v/>
      </c>
      <c r="E381" s="149" t="str">
        <f t="shared" si="200"/>
        <v/>
      </c>
      <c r="F381" s="149" t="str">
        <f t="shared" si="192"/>
        <v/>
      </c>
      <c r="G381" s="149" t="str">
        <f t="shared" si="193"/>
        <v/>
      </c>
      <c r="H381" s="149" t="str">
        <f t="shared" si="201"/>
        <v/>
      </c>
      <c r="I381" s="149" t="str">
        <f t="shared" si="202"/>
        <v/>
      </c>
      <c r="J381" s="147" t="str">
        <f t="shared" si="203"/>
        <v/>
      </c>
      <c r="K381" s="175" t="str">
        <f t="shared" si="194"/>
        <v/>
      </c>
      <c r="L381" s="149" t="str">
        <f t="shared" si="204"/>
        <v/>
      </c>
      <c r="M381" s="149" t="str">
        <f t="shared" si="205"/>
        <v/>
      </c>
      <c r="N381" s="149" t="str">
        <f t="shared" si="206"/>
        <v/>
      </c>
      <c r="P381" s="149" t="str">
        <f t="shared" si="207"/>
        <v/>
      </c>
      <c r="Q381" s="149" t="str">
        <f t="shared" si="208"/>
        <v/>
      </c>
      <c r="R381" s="178" t="str">
        <f t="shared" si="209"/>
        <v/>
      </c>
      <c r="S381" s="113" t="str">
        <f t="shared" si="210"/>
        <v/>
      </c>
      <c r="T381" s="113" t="str">
        <f t="shared" si="195"/>
        <v/>
      </c>
      <c r="U381" s="114" t="str">
        <f t="shared" si="211"/>
        <v/>
      </c>
      <c r="V381" s="114" t="str">
        <f t="shared" si="212"/>
        <v/>
      </c>
      <c r="W381" s="114" t="str">
        <f t="shared" si="213"/>
        <v/>
      </c>
      <c r="X381" s="114"/>
      <c r="Y381" s="149" t="str">
        <f t="shared" si="214"/>
        <v/>
      </c>
      <c r="Z381" s="149" t="str">
        <f t="shared" si="215"/>
        <v/>
      </c>
      <c r="AA381" s="178" t="str">
        <f t="shared" si="216"/>
        <v/>
      </c>
      <c r="AB381" s="113" t="str">
        <f t="shared" si="217"/>
        <v/>
      </c>
      <c r="AC381" s="113" t="str">
        <f t="shared" si="196"/>
        <v/>
      </c>
      <c r="AD381" s="114" t="str">
        <f t="shared" si="218"/>
        <v/>
      </c>
      <c r="AE381" s="114" t="str">
        <f t="shared" si="219"/>
        <v/>
      </c>
      <c r="AF381" s="114" t="str">
        <f t="shared" si="220"/>
        <v/>
      </c>
      <c r="AG381" s="114"/>
      <c r="AH381" s="176" t="str">
        <f t="shared" si="221"/>
        <v/>
      </c>
      <c r="AI381" s="176" t="str">
        <f t="shared" si="222"/>
        <v/>
      </c>
      <c r="AJ381" s="178" t="str">
        <f t="shared" si="223"/>
        <v/>
      </c>
      <c r="AK381" s="113" t="str">
        <f t="shared" si="224"/>
        <v/>
      </c>
      <c r="AL381" s="113" t="str">
        <f t="shared" si="197"/>
        <v/>
      </c>
      <c r="AM381" s="114" t="str">
        <f t="shared" si="225"/>
        <v/>
      </c>
      <c r="AN381" s="114" t="str">
        <f t="shared" si="226"/>
        <v/>
      </c>
      <c r="AO381" s="114" t="str">
        <f t="shared" si="227"/>
        <v/>
      </c>
    </row>
    <row r="382" spans="1:41" x14ac:dyDescent="0.3">
      <c r="A382" s="146">
        <f>A381+1</f>
        <v>360</v>
      </c>
      <c r="B382" s="147" t="str">
        <f t="shared" si="191"/>
        <v/>
      </c>
      <c r="C382" s="147" t="str">
        <f t="shared" si="190"/>
        <v/>
      </c>
      <c r="D382" s="149" t="str">
        <f t="shared" si="199"/>
        <v/>
      </c>
      <c r="E382" s="149" t="str">
        <f t="shared" si="200"/>
        <v/>
      </c>
      <c r="F382" s="149" t="str">
        <f t="shared" si="192"/>
        <v/>
      </c>
      <c r="G382" s="149" t="str">
        <f t="shared" si="193"/>
        <v/>
      </c>
      <c r="H382" s="149" t="str">
        <f t="shared" si="201"/>
        <v/>
      </c>
      <c r="I382" s="149" t="str">
        <f t="shared" si="202"/>
        <v/>
      </c>
      <c r="J382" s="147" t="str">
        <f t="shared" si="203"/>
        <v/>
      </c>
      <c r="K382" s="175" t="str">
        <f t="shared" si="194"/>
        <v/>
      </c>
      <c r="L382" s="149" t="str">
        <f t="shared" si="204"/>
        <v/>
      </c>
      <c r="M382" s="149" t="str">
        <f t="shared" si="205"/>
        <v/>
      </c>
      <c r="N382" s="149" t="str">
        <f t="shared" si="206"/>
        <v/>
      </c>
      <c r="P382" s="149" t="str">
        <f t="shared" si="207"/>
        <v/>
      </c>
      <c r="Q382" s="149" t="str">
        <f t="shared" si="208"/>
        <v/>
      </c>
      <c r="R382" s="178" t="str">
        <f t="shared" si="209"/>
        <v/>
      </c>
      <c r="S382" s="113" t="str">
        <f t="shared" si="210"/>
        <v/>
      </c>
      <c r="T382" s="113" t="str">
        <f t="shared" si="195"/>
        <v/>
      </c>
      <c r="U382" s="114" t="str">
        <f t="shared" si="211"/>
        <v/>
      </c>
      <c r="V382" s="114" t="str">
        <f t="shared" si="212"/>
        <v/>
      </c>
      <c r="W382" s="114" t="str">
        <f t="shared" si="213"/>
        <v/>
      </c>
      <c r="X382" s="114"/>
      <c r="Y382" s="149" t="str">
        <f t="shared" si="214"/>
        <v/>
      </c>
      <c r="Z382" s="149" t="str">
        <f t="shared" si="215"/>
        <v/>
      </c>
      <c r="AA382" s="178" t="str">
        <f t="shared" si="216"/>
        <v/>
      </c>
      <c r="AB382" s="113" t="str">
        <f t="shared" si="217"/>
        <v/>
      </c>
      <c r="AC382" s="113" t="str">
        <f t="shared" si="196"/>
        <v/>
      </c>
      <c r="AD382" s="114" t="str">
        <f t="shared" si="218"/>
        <v/>
      </c>
      <c r="AE382" s="114" t="str">
        <f t="shared" si="219"/>
        <v/>
      </c>
      <c r="AF382" s="114" t="str">
        <f t="shared" si="220"/>
        <v/>
      </c>
      <c r="AG382" s="114"/>
      <c r="AH382" s="176" t="str">
        <f t="shared" si="221"/>
        <v/>
      </c>
      <c r="AI382" s="176" t="str">
        <f t="shared" si="222"/>
        <v/>
      </c>
      <c r="AJ382" s="178" t="str">
        <f t="shared" si="223"/>
        <v/>
      </c>
      <c r="AK382" s="113" t="str">
        <f t="shared" si="224"/>
        <v/>
      </c>
      <c r="AL382" s="113" t="str">
        <f t="shared" si="197"/>
        <v/>
      </c>
      <c r="AM382" s="114" t="str">
        <f t="shared" si="225"/>
        <v/>
      </c>
      <c r="AN382" s="114" t="str">
        <f t="shared" si="226"/>
        <v/>
      </c>
      <c r="AO382" s="114" t="str">
        <f t="shared" si="227"/>
        <v/>
      </c>
    </row>
  </sheetData>
  <mergeCells count="7">
    <mergeCell ref="AH19:AO19"/>
    <mergeCell ref="E18:M18"/>
    <mergeCell ref="E19:I19"/>
    <mergeCell ref="J19:L19"/>
    <mergeCell ref="M19:N19"/>
    <mergeCell ref="P19:W19"/>
    <mergeCell ref="Y19:AF19"/>
  </mergeCells>
  <pageMargins left="0.7" right="0.7" top="0.75" bottom="0.75" header="0.3" footer="0.3"/>
  <pageSetup orientation="portrait" horizontalDpi="360" verticalDpi="360"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A1D7F-58FC-40D9-A2CC-8142A0AB037C}">
  <dimension ref="A1:I25"/>
  <sheetViews>
    <sheetView zoomScale="164" workbookViewId="0">
      <selection activeCell="F15" sqref="F15"/>
    </sheetView>
  </sheetViews>
  <sheetFormatPr defaultColWidth="11.453125" defaultRowHeight="12.5" x14ac:dyDescent="0.25"/>
  <cols>
    <col min="1" max="1" width="20" style="4" bestFit="1" customWidth="1"/>
    <col min="2" max="2" width="13.7265625" style="4" bestFit="1" customWidth="1"/>
    <col min="3" max="5" width="11.7265625" style="4" bestFit="1" customWidth="1"/>
    <col min="6" max="6" width="12" style="4" bestFit="1" customWidth="1"/>
    <col min="7" max="16384" width="11.453125" style="4"/>
  </cols>
  <sheetData>
    <row r="1" spans="1:7" x14ac:dyDescent="0.25">
      <c r="A1" s="4" t="s">
        <v>272</v>
      </c>
    </row>
    <row r="2" spans="1:7" x14ac:dyDescent="0.25">
      <c r="A2" s="4" t="s">
        <v>273</v>
      </c>
      <c r="B2" s="199">
        <v>100000</v>
      </c>
    </row>
    <row r="3" spans="1:7" x14ac:dyDescent="0.25">
      <c r="A3" s="4" t="s">
        <v>313</v>
      </c>
      <c r="B3" s="137">
        <v>4.7500000000000001E-2</v>
      </c>
      <c r="G3" s="5"/>
    </row>
    <row r="4" spans="1:7" x14ac:dyDescent="0.25">
      <c r="A4" s="4" t="s">
        <v>314</v>
      </c>
      <c r="B4" s="206">
        <f>fixed_rate+spread</f>
        <v>5.3999999999999999E-2</v>
      </c>
      <c r="G4" s="5"/>
    </row>
    <row r="5" spans="1:7" x14ac:dyDescent="0.25">
      <c r="A5" s="4" t="s">
        <v>274</v>
      </c>
      <c r="B5" s="200">
        <v>6.4999999999999997E-3</v>
      </c>
      <c r="G5" s="5"/>
    </row>
    <row r="7" spans="1:7" x14ac:dyDescent="0.25">
      <c r="A7" s="4" t="s">
        <v>275</v>
      </c>
      <c r="B7" s="120">
        <v>6</v>
      </c>
      <c r="C7" s="120">
        <v>4</v>
      </c>
      <c r="D7" s="120">
        <v>10</v>
      </c>
      <c r="E7" s="120">
        <v>16</v>
      </c>
    </row>
    <row r="8" spans="1:7" x14ac:dyDescent="0.25">
      <c r="A8" s="4" t="s">
        <v>276</v>
      </c>
      <c r="B8" s="138">
        <v>5.3499999999999999E-2</v>
      </c>
      <c r="C8" s="138">
        <v>5.5E-2</v>
      </c>
      <c r="D8" s="138">
        <v>5.2499999999999998E-2</v>
      </c>
      <c r="E8" s="138">
        <v>5.0999999999999997E-2</v>
      </c>
    </row>
    <row r="9" spans="1:7" x14ac:dyDescent="0.25">
      <c r="A9" s="4" t="s">
        <v>312</v>
      </c>
      <c r="B9" s="205">
        <f>B8+spread</f>
        <v>0.06</v>
      </c>
      <c r="C9" s="205">
        <f>C8+spread</f>
        <v>6.1499999999999999E-2</v>
      </c>
      <c r="D9" s="205">
        <f>D8+spread</f>
        <v>5.8999999999999997E-2</v>
      </c>
      <c r="E9" s="205">
        <f>E8+spread</f>
        <v>5.7499999999999996E-2</v>
      </c>
    </row>
    <row r="10" spans="1:7" x14ac:dyDescent="0.25">
      <c r="B10" s="205"/>
      <c r="C10" s="205"/>
      <c r="D10" s="205"/>
      <c r="E10" s="205"/>
    </row>
    <row r="11" spans="1:7" x14ac:dyDescent="0.25">
      <c r="A11" s="4" t="str">
        <f>CONCATENATE("f(",C7,",",D7,")")</f>
        <v>f(4,10)</v>
      </c>
      <c r="B11" s="4">
        <f>((1+D9/2)^(D7/B7)/(1+C9/2)^(C7/B7)-1)*2</f>
        <v>5.733501787870221E-2</v>
      </c>
      <c r="C11" s="5"/>
      <c r="D11" s="5"/>
      <c r="E11" s="5"/>
    </row>
    <row r="12" spans="1:7" x14ac:dyDescent="0.25">
      <c r="A12" s="4" t="str">
        <f>CONCATENATE("f(",D7,",",E7,")")</f>
        <v>f(10,16)</v>
      </c>
      <c r="B12" s="4">
        <f>((1+E9/2)^(E7/B7)/(1+D9/2)^(D7/B7)-1)*2</f>
        <v>5.5002427970129553E-2</v>
      </c>
      <c r="C12" s="5"/>
      <c r="D12" s="5"/>
      <c r="E12" s="5"/>
    </row>
    <row r="14" spans="1:7" x14ac:dyDescent="0.25">
      <c r="A14" s="4" t="s">
        <v>311</v>
      </c>
      <c r="C14" s="4">
        <f>-($B$4-B9)/2*(1+C9/2)^(-C7/B7)</f>
        <v>2.9400340422050422E-3</v>
      </c>
      <c r="D14" s="4">
        <f>-($B$4-B11)/2*(1+D9/2)^(-D7/$B$7)</f>
        <v>1.5886354611732698E-3</v>
      </c>
      <c r="E14" s="4">
        <f>-($B$4-B12)/2*(1+E9/2)^(-E7/$B$7)</f>
        <v>4.6472594415656389E-4</v>
      </c>
      <c r="F14" s="201">
        <f>SUM(C14:E14)</f>
        <v>4.9933954475348758E-3</v>
      </c>
    </row>
    <row r="15" spans="1:7" x14ac:dyDescent="0.25">
      <c r="A15" s="4" t="s">
        <v>85</v>
      </c>
      <c r="B15" s="202"/>
      <c r="C15" s="4">
        <f>C14*notional</f>
        <v>294.00340422050419</v>
      </c>
      <c r="D15" s="4">
        <f>D14*notional</f>
        <v>158.86354611732699</v>
      </c>
      <c r="E15" s="4">
        <f>E14*notional</f>
        <v>46.472594415656388</v>
      </c>
      <c r="F15" s="201">
        <f>F14*notional</f>
        <v>499.33954475348759</v>
      </c>
    </row>
    <row r="21" spans="1:9" x14ac:dyDescent="0.25">
      <c r="A21" s="10"/>
      <c r="B21" s="225"/>
      <c r="C21" s="225"/>
    </row>
    <row r="22" spans="1:9" x14ac:dyDescent="0.25">
      <c r="E22" s="10"/>
      <c r="H22" s="10"/>
      <c r="I22" s="10"/>
    </row>
    <row r="23" spans="1:9" x14ac:dyDescent="0.25">
      <c r="A23" s="5"/>
      <c r="C23" s="5"/>
      <c r="F23" s="5"/>
    </row>
    <row r="24" spans="1:9" x14ac:dyDescent="0.25">
      <c r="A24" s="5"/>
      <c r="C24" s="5"/>
      <c r="F24" s="5"/>
    </row>
    <row r="25" spans="1:9" x14ac:dyDescent="0.25">
      <c r="A25" s="5"/>
      <c r="C25" s="5"/>
      <c r="F25" s="5"/>
    </row>
  </sheetData>
  <mergeCells count="1">
    <mergeCell ref="B21:C2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17C38-33F2-46B5-BFE1-533CCC015C45}">
  <sheetPr codeName="Sheet16"/>
  <dimension ref="A1:S83"/>
  <sheetViews>
    <sheetView zoomScale="70" zoomScaleNormal="70" workbookViewId="0">
      <selection activeCell="D76" sqref="D76"/>
    </sheetView>
  </sheetViews>
  <sheetFormatPr defaultColWidth="26.1796875" defaultRowHeight="15.5" x14ac:dyDescent="0.35"/>
  <cols>
    <col min="1" max="1" width="16" style="76" customWidth="1"/>
    <col min="2" max="2" width="13.81640625" style="76" customWidth="1"/>
    <col min="3" max="3" width="15.81640625" style="76" bestFit="1" customWidth="1"/>
    <col min="4" max="4" width="16.54296875" style="76" bestFit="1" customWidth="1"/>
    <col min="5" max="5" width="14.453125" style="76" bestFit="1" customWidth="1"/>
    <col min="6" max="6" width="13.7265625" style="76" bestFit="1" customWidth="1"/>
    <col min="7" max="7" width="9.1796875" style="76" bestFit="1" customWidth="1"/>
    <col min="8" max="10" width="8.26953125" style="76" bestFit="1" customWidth="1"/>
    <col min="11" max="11" width="16.54296875" style="76" bestFit="1" customWidth="1"/>
    <col min="12" max="12" width="12.1796875" style="76" customWidth="1"/>
    <col min="13" max="13" width="5.54296875" style="76" customWidth="1"/>
    <col min="14" max="15" width="9.1796875" style="76" bestFit="1" customWidth="1"/>
    <col min="16" max="17" width="8.26953125" style="76" bestFit="1" customWidth="1"/>
    <col min="18" max="18" width="17.26953125" style="76" bestFit="1" customWidth="1"/>
    <col min="19" max="19" width="14.54296875" style="76" customWidth="1"/>
    <col min="20" max="16384" width="26.1796875" style="76"/>
  </cols>
  <sheetData>
    <row r="1" spans="1:13" x14ac:dyDescent="0.35">
      <c r="A1" s="209" t="s">
        <v>284</v>
      </c>
      <c r="B1" s="209"/>
      <c r="C1" s="209"/>
      <c r="D1" s="209"/>
      <c r="E1" s="209"/>
      <c r="F1" s="209"/>
      <c r="G1" s="209"/>
      <c r="H1" s="209"/>
      <c r="I1" s="209"/>
      <c r="J1" s="209"/>
      <c r="K1" s="209"/>
      <c r="L1" s="209"/>
      <c r="M1" s="209"/>
    </row>
    <row r="2" spans="1:13" x14ac:dyDescent="0.35">
      <c r="A2" s="214" t="s">
        <v>161</v>
      </c>
      <c r="B2" s="214"/>
      <c r="C2" s="214"/>
      <c r="D2" s="214"/>
      <c r="E2" s="214"/>
      <c r="F2" s="214"/>
      <c r="G2" s="214"/>
      <c r="H2" s="214"/>
      <c r="I2" s="214"/>
      <c r="J2" s="214"/>
      <c r="K2" s="214"/>
      <c r="L2" s="214"/>
      <c r="M2" s="214"/>
    </row>
    <row r="4" spans="1:13" x14ac:dyDescent="0.35">
      <c r="A4" s="91" t="s">
        <v>139</v>
      </c>
      <c r="B4" s="91" t="s">
        <v>140</v>
      </c>
    </row>
    <row r="5" spans="1:13" x14ac:dyDescent="0.35">
      <c r="A5" s="92">
        <v>0.5</v>
      </c>
      <c r="B5" s="93">
        <v>4.061E-2</v>
      </c>
      <c r="G5" s="81"/>
    </row>
    <row r="6" spans="1:13" x14ac:dyDescent="0.35">
      <c r="A6" s="92">
        <f>A5+0.5</f>
        <v>1</v>
      </c>
      <c r="B6" s="93">
        <v>4.172E-2</v>
      </c>
      <c r="G6" s="81"/>
    </row>
    <row r="7" spans="1:13" x14ac:dyDescent="0.35">
      <c r="A7" s="92">
        <f t="shared" ref="A7:A14" si="0">A6+0.5</f>
        <v>1.5</v>
      </c>
      <c r="B7" s="93">
        <v>3.95E-2</v>
      </c>
      <c r="G7" s="81"/>
    </row>
    <row r="8" spans="1:13" x14ac:dyDescent="0.35">
      <c r="A8" s="92">
        <f t="shared" si="0"/>
        <v>2</v>
      </c>
      <c r="B8" s="93">
        <v>3.6339999999999997E-2</v>
      </c>
      <c r="G8" s="81"/>
    </row>
    <row r="9" spans="1:13" x14ac:dyDescent="0.35">
      <c r="A9" s="92">
        <f t="shared" si="0"/>
        <v>2.5</v>
      </c>
      <c r="B9" s="93">
        <v>3.4270000000000002E-2</v>
      </c>
      <c r="G9" s="81"/>
    </row>
    <row r="10" spans="1:13" x14ac:dyDescent="0.35">
      <c r="A10" s="92">
        <f t="shared" si="0"/>
        <v>3</v>
      </c>
      <c r="B10" s="93">
        <v>3.2669999999999998E-2</v>
      </c>
      <c r="G10" s="81"/>
    </row>
    <row r="11" spans="1:13" x14ac:dyDescent="0.35">
      <c r="A11" s="92">
        <f t="shared" si="0"/>
        <v>3.5</v>
      </c>
      <c r="B11" s="93">
        <v>3.1620000000000002E-2</v>
      </c>
      <c r="G11" s="81"/>
    </row>
    <row r="12" spans="1:13" x14ac:dyDescent="0.35">
      <c r="A12" s="92">
        <f t="shared" si="0"/>
        <v>4</v>
      </c>
      <c r="B12" s="93">
        <v>3.0589999999999999E-2</v>
      </c>
      <c r="G12" s="81"/>
    </row>
    <row r="13" spans="1:13" x14ac:dyDescent="0.35">
      <c r="A13" s="92">
        <f t="shared" si="0"/>
        <v>4.5</v>
      </c>
      <c r="B13" s="93">
        <v>2.9850000000000002E-2</v>
      </c>
      <c r="G13" s="81"/>
    </row>
    <row r="14" spans="1:13" x14ac:dyDescent="0.35">
      <c r="A14" s="92">
        <f t="shared" si="0"/>
        <v>5</v>
      </c>
      <c r="B14" s="93">
        <v>2.9149999999999999E-2</v>
      </c>
      <c r="G14" s="81"/>
    </row>
    <row r="15" spans="1:13" x14ac:dyDescent="0.35">
      <c r="G15" s="81"/>
    </row>
    <row r="16" spans="1:13" x14ac:dyDescent="0.35">
      <c r="A16" s="214" t="s">
        <v>162</v>
      </c>
      <c r="B16" s="214"/>
      <c r="C16" s="214"/>
      <c r="D16" s="214"/>
      <c r="E16" s="214"/>
      <c r="F16" s="214"/>
      <c r="G16" s="214"/>
      <c r="H16" s="214"/>
      <c r="I16" s="214"/>
      <c r="J16" s="214"/>
      <c r="K16" s="214"/>
      <c r="L16" s="214"/>
      <c r="M16" s="214"/>
    </row>
    <row r="17" spans="1:19" x14ac:dyDescent="0.35">
      <c r="A17" s="74"/>
      <c r="B17" s="74"/>
      <c r="C17" s="74"/>
      <c r="D17" s="74"/>
      <c r="E17" s="74"/>
      <c r="F17" s="74"/>
      <c r="G17" s="74"/>
      <c r="H17" s="74"/>
      <c r="I17" s="74"/>
      <c r="J17" s="74"/>
      <c r="K17" s="74"/>
      <c r="L17" s="74"/>
      <c r="M17" s="74"/>
    </row>
    <row r="18" spans="1:19" x14ac:dyDescent="0.35">
      <c r="A18" s="125" t="s">
        <v>163</v>
      </c>
      <c r="B18" s="125"/>
      <c r="C18" s="125"/>
      <c r="D18" s="125"/>
      <c r="E18" s="125"/>
      <c r="F18" s="125"/>
      <c r="G18" s="125"/>
      <c r="H18" s="125"/>
      <c r="I18" s="125"/>
      <c r="J18" s="125"/>
      <c r="K18" s="125"/>
      <c r="L18" s="125"/>
      <c r="M18" s="125"/>
      <c r="N18" s="125"/>
      <c r="O18" s="125"/>
      <c r="P18" s="125"/>
      <c r="Q18" s="125"/>
      <c r="R18" s="125"/>
      <c r="S18" s="125"/>
    </row>
    <row r="19" spans="1:19" x14ac:dyDescent="0.35">
      <c r="A19" s="125" t="s">
        <v>164</v>
      </c>
      <c r="B19" s="125"/>
      <c r="C19" s="125"/>
      <c r="D19" s="125"/>
      <c r="E19" s="125"/>
      <c r="F19" s="125"/>
      <c r="G19" s="125"/>
      <c r="H19" s="125"/>
      <c r="I19" s="125"/>
      <c r="J19" s="125"/>
      <c r="K19" s="125"/>
      <c r="L19" s="125"/>
      <c r="M19" s="125"/>
      <c r="N19" s="125"/>
      <c r="O19" s="125"/>
      <c r="P19" s="125"/>
      <c r="Q19" s="125"/>
      <c r="R19" s="125"/>
      <c r="S19" s="125"/>
    </row>
    <row r="20" spans="1:19" x14ac:dyDescent="0.35">
      <c r="A20" s="215" t="s">
        <v>141</v>
      </c>
      <c r="B20" s="215"/>
      <c r="C20" s="139">
        <v>100000</v>
      </c>
      <c r="G20" s="81"/>
    </row>
    <row r="21" spans="1:19" x14ac:dyDescent="0.35">
      <c r="A21" s="215" t="s">
        <v>123</v>
      </c>
      <c r="B21" s="215"/>
      <c r="C21" s="75">
        <v>5</v>
      </c>
      <c r="G21" s="81" t="s">
        <v>285</v>
      </c>
      <c r="N21" s="81" t="s">
        <v>286</v>
      </c>
    </row>
    <row r="22" spans="1:19" x14ac:dyDescent="0.35">
      <c r="A22" s="215" t="s">
        <v>145</v>
      </c>
      <c r="B22" s="215"/>
      <c r="C22" s="75">
        <v>2</v>
      </c>
      <c r="G22" s="215" t="s">
        <v>142</v>
      </c>
      <c r="H22" s="215"/>
      <c r="I22" s="108">
        <v>4.2500000000000003E-2</v>
      </c>
      <c r="N22" s="215" t="s">
        <v>143</v>
      </c>
      <c r="O22" s="215"/>
      <c r="P22" s="108">
        <v>2.5000000000000001E-2</v>
      </c>
    </row>
    <row r="23" spans="1:19" x14ac:dyDescent="0.35">
      <c r="G23" s="215" t="s">
        <v>144</v>
      </c>
      <c r="H23" s="215"/>
      <c r="I23" s="140">
        <v>0.17</v>
      </c>
      <c r="N23" s="215" t="s">
        <v>144</v>
      </c>
      <c r="O23" s="215"/>
      <c r="P23" s="140">
        <v>0.17</v>
      </c>
    </row>
    <row r="24" spans="1:19" x14ac:dyDescent="0.35">
      <c r="G24" s="81"/>
    </row>
    <row r="27" spans="1:19" x14ac:dyDescent="0.35">
      <c r="A27" s="83" t="s">
        <v>84</v>
      </c>
      <c r="B27" s="83" t="s">
        <v>139</v>
      </c>
      <c r="C27" s="83" t="s">
        <v>140</v>
      </c>
      <c r="D27" s="83" t="s">
        <v>146</v>
      </c>
      <c r="E27" s="83" t="s">
        <v>147</v>
      </c>
      <c r="F27" s="83" t="s">
        <v>148</v>
      </c>
      <c r="G27" s="226" t="s">
        <v>149</v>
      </c>
      <c r="H27" s="226"/>
      <c r="I27" s="226"/>
      <c r="J27" s="226"/>
      <c r="K27" s="226"/>
      <c r="L27" s="226"/>
      <c r="M27" s="84"/>
      <c r="N27" s="227" t="s">
        <v>150</v>
      </c>
      <c r="O27" s="227"/>
      <c r="P27" s="227"/>
      <c r="Q27" s="227"/>
      <c r="R27" s="227"/>
      <c r="S27" s="227"/>
    </row>
    <row r="28" spans="1:19" x14ac:dyDescent="0.35">
      <c r="A28" s="84">
        <v>1</v>
      </c>
      <c r="B28" s="84" cm="1">
        <f t="array" ref="B28:B37">A5:A14</f>
        <v>0.5</v>
      </c>
      <c r="C28" s="85" cm="1">
        <f t="array" ref="C28:C37">B5:B14</f>
        <v>4.061E-2</v>
      </c>
      <c r="D28" s="84"/>
      <c r="E28" s="84"/>
      <c r="F28" s="84"/>
      <c r="G28" s="94" t="s">
        <v>151</v>
      </c>
      <c r="H28" s="94" t="s">
        <v>152</v>
      </c>
      <c r="I28" s="94" t="s">
        <v>153</v>
      </c>
      <c r="J28" s="94" t="s">
        <v>154</v>
      </c>
      <c r="K28" s="94" t="s">
        <v>155</v>
      </c>
      <c r="L28" s="94" t="s">
        <v>287</v>
      </c>
      <c r="M28" s="84"/>
      <c r="N28" s="95" t="s">
        <v>151</v>
      </c>
      <c r="O28" s="95" t="s">
        <v>152</v>
      </c>
      <c r="P28" s="95" t="s">
        <v>156</v>
      </c>
      <c r="Q28" s="95" t="s">
        <v>157</v>
      </c>
      <c r="R28" s="95" t="s">
        <v>158</v>
      </c>
      <c r="S28" s="95" t="s">
        <v>288</v>
      </c>
    </row>
    <row r="29" spans="1:19" x14ac:dyDescent="0.35">
      <c r="A29" s="84">
        <f>A28+1</f>
        <v>2</v>
      </c>
      <c r="B29" s="84">
        <v>1</v>
      </c>
      <c r="C29" s="85">
        <v>4.172E-2</v>
      </c>
      <c r="D29" s="86">
        <f>((1+C29/$C$22)^A29/(1+C28/$C$22)^A28-1)*2</f>
        <v>4.2830603790043664E-2</v>
      </c>
      <c r="E29" s="84" cm="1">
        <f t="array" ref="E29:E37">B28:B36</f>
        <v>0.5</v>
      </c>
      <c r="F29" s="84">
        <v>1</v>
      </c>
      <c r="G29" s="87">
        <f>(LN(D29/$I$22)+$I$23^2/2*E29)/($I$23*SQRT(E29))</f>
        <v>0.12456570216932887</v>
      </c>
      <c r="H29" s="87">
        <f t="shared" ref="H29:H37" si="1">G29-$I$23*SQRT(E29)</f>
        <v>4.3575493676157734E-3</v>
      </c>
      <c r="I29" s="87">
        <f>_xlfn.NORM.S.DIST(G29,TRUE)</f>
        <v>0.5495663087203968</v>
      </c>
      <c r="J29" s="87">
        <f>_xlfn.NORM.S.DIST(H29,TRUE)</f>
        <v>0.50173840518013524</v>
      </c>
      <c r="K29" s="88">
        <f t="shared" ref="K29:K37" si="2">(D29*$C$20*I29/$C$22-$I$22*$C$20*J29/$C$22)</f>
        <v>110.71873025021932</v>
      </c>
      <c r="L29" s="88">
        <f>K29/(1+C29/$C$22)^A29</f>
        <v>106.24016141465788</v>
      </c>
      <c r="M29" s="87"/>
      <c r="N29" s="87">
        <f>(LN(D29/$P$22)+$P$23^2/2*E29)/($P$23*SQRT(E29))</f>
        <v>4.5388108152895468</v>
      </c>
      <c r="O29" s="87">
        <f>N29-$P$23*SQRT(E29)</f>
        <v>4.4186026624878334</v>
      </c>
      <c r="P29" s="87">
        <f>_xlfn.NORM.S.DIST(-N29,TRUE)</f>
        <v>2.8286181117796422E-6</v>
      </c>
      <c r="Q29" s="87">
        <f>_xlfn.NORM.S.DIST(-O29,TRUE)</f>
        <v>4.9670544767263298E-6</v>
      </c>
      <c r="R29" s="88">
        <f>($P$22*$C$20/$C$22*Q29-D29*$C$20/$C$22*P29)</f>
        <v>1.5124701495914782E-4</v>
      </c>
      <c r="S29" s="88">
        <f>R29/(1+C29/$C$22)^A29</f>
        <v>1.4512907839920976E-4</v>
      </c>
    </row>
    <row r="30" spans="1:19" x14ac:dyDescent="0.35">
      <c r="A30" s="84">
        <f t="shared" ref="A30:A37" si="3">A29+1</f>
        <v>3</v>
      </c>
      <c r="B30" s="84">
        <v>1.5</v>
      </c>
      <c r="C30" s="85">
        <v>3.95E-2</v>
      </c>
      <c r="D30" s="86">
        <f t="shared" ref="D30:D37" si="4">((1+C30/$C$22)^A30/(1+C29/$C$22)^A29-1)*2</f>
        <v>3.506723891682384E-2</v>
      </c>
      <c r="E30" s="84">
        <v>1</v>
      </c>
      <c r="F30" s="84">
        <v>1.5</v>
      </c>
      <c r="G30" s="87">
        <f t="shared" ref="G30:G37" si="5">(LN(D30/$I$22)+$I$23^2/2*E30)/($I$23*SQRT(E30))</f>
        <v>-1.0458043853364212</v>
      </c>
      <c r="H30" s="87">
        <f t="shared" si="1"/>
        <v>-1.2158043853364211</v>
      </c>
      <c r="I30" s="87">
        <f t="shared" ref="I30:J37" si="6">_xlfn.NORM.S.DIST(G30,TRUE)</f>
        <v>0.14782567803542901</v>
      </c>
      <c r="J30" s="87">
        <f t="shared" si="6"/>
        <v>0.11202972393959644</v>
      </c>
      <c r="K30" s="88">
        <f t="shared" si="2"/>
        <v>21.128755113850929</v>
      </c>
      <c r="L30" s="88">
        <f t="shared" ref="L30:L37" si="7">K30/(1+C30/$C$22)^A30</f>
        <v>19.924744802078269</v>
      </c>
      <c r="M30" s="87"/>
      <c r="N30" s="87">
        <f t="shared" ref="N30:N37" si="8">(LN(D30/$P$22)+$P$23^2/2*E30)/($P$23*SQRT(E30))</f>
        <v>2.0755382679704635</v>
      </c>
      <c r="O30" s="87">
        <f t="shared" ref="O30:O37" si="9">N30-$P$23*SQRT(E30)</f>
        <v>1.9055382679704636</v>
      </c>
      <c r="P30" s="87">
        <f t="shared" ref="P30:P37" si="10">_xlfn.NORM.S.DIST(-N30,TRUE)</f>
        <v>1.8968338005429193E-2</v>
      </c>
      <c r="Q30" s="87">
        <f t="shared" ref="Q30:Q37" si="11">_xlfn.NORM.S.DIST(-O30,TRUE)</f>
        <v>2.8355068970585616E-2</v>
      </c>
      <c r="R30" s="88">
        <f t="shared" ref="R30:R37" si="12">($P$22*$C$20/$C$22*Q30-D30*$C$20/$C$22*P30)</f>
        <v>2.1854741786592555</v>
      </c>
      <c r="S30" s="88">
        <f t="shared" ref="S30:S37" si="13">R30/(1+C30/$C$22)^A30</f>
        <v>2.0609361529667876</v>
      </c>
    </row>
    <row r="31" spans="1:19" x14ac:dyDescent="0.35">
      <c r="A31" s="84">
        <f t="shared" si="3"/>
        <v>4</v>
      </c>
      <c r="B31" s="84">
        <v>2</v>
      </c>
      <c r="C31" s="85">
        <v>3.6339999999999997E-2</v>
      </c>
      <c r="D31" s="86">
        <f t="shared" si="4"/>
        <v>2.6889346279599824E-2</v>
      </c>
      <c r="E31" s="84">
        <v>1.5</v>
      </c>
      <c r="F31" s="84">
        <v>2</v>
      </c>
      <c r="G31" s="87">
        <f t="shared" si="5"/>
        <v>-2.0945486738788452</v>
      </c>
      <c r="H31" s="87">
        <f t="shared" si="1"/>
        <v>-2.3027553020154152</v>
      </c>
      <c r="I31" s="87">
        <f t="shared" si="6"/>
        <v>1.8105565954300101E-2</v>
      </c>
      <c r="J31" s="87">
        <f t="shared" si="6"/>
        <v>1.0646307361772842E-2</v>
      </c>
      <c r="K31" s="88">
        <f t="shared" si="2"/>
        <v>1.7189384828981424</v>
      </c>
      <c r="L31" s="88">
        <f t="shared" si="7"/>
        <v>1.5994812309694009</v>
      </c>
      <c r="M31" s="87"/>
      <c r="N31" s="87">
        <f t="shared" si="8"/>
        <v>0.45401693045010311</v>
      </c>
      <c r="O31" s="87">
        <f t="shared" si="9"/>
        <v>0.24581030231353299</v>
      </c>
      <c r="P31" s="87">
        <f t="shared" si="10"/>
        <v>0.32490832056269325</v>
      </c>
      <c r="Q31" s="87">
        <f t="shared" si="11"/>
        <v>0.40291454081010525</v>
      </c>
      <c r="R31" s="88">
        <f t="shared" si="12"/>
        <v>66.814558975957425</v>
      </c>
      <c r="S31" s="88">
        <f t="shared" si="13"/>
        <v>62.171295890333873</v>
      </c>
    </row>
    <row r="32" spans="1:19" x14ac:dyDescent="0.35">
      <c r="A32" s="84">
        <f t="shared" si="3"/>
        <v>5</v>
      </c>
      <c r="B32" s="84">
        <v>2.5</v>
      </c>
      <c r="C32" s="85">
        <v>3.4270000000000002E-2</v>
      </c>
      <c r="D32" s="86">
        <f t="shared" si="4"/>
        <v>2.6011020784767247E-2</v>
      </c>
      <c r="E32" s="84">
        <v>2</v>
      </c>
      <c r="F32" s="84">
        <v>2.5</v>
      </c>
      <c r="G32" s="87">
        <f t="shared" si="5"/>
        <v>-1.9220150239896985</v>
      </c>
      <c r="H32" s="87">
        <f t="shared" si="1"/>
        <v>-2.1624313295931246</v>
      </c>
      <c r="I32" s="87">
        <f t="shared" si="6"/>
        <v>2.7301933664657815E-2</v>
      </c>
      <c r="J32" s="87">
        <f t="shared" si="6"/>
        <v>1.5292472434573991E-2</v>
      </c>
      <c r="K32" s="88">
        <f t="shared" si="2"/>
        <v>3.0110542773178182</v>
      </c>
      <c r="L32" s="88">
        <f t="shared" si="7"/>
        <v>2.7658306826643573</v>
      </c>
      <c r="M32" s="87"/>
      <c r="N32" s="87">
        <f t="shared" si="8"/>
        <v>0.28510753257041027</v>
      </c>
      <c r="O32" s="87">
        <f t="shared" si="9"/>
        <v>4.4691226966984077E-2</v>
      </c>
      <c r="P32" s="87">
        <f t="shared" si="10"/>
        <v>0.38778087964788888</v>
      </c>
      <c r="Q32" s="87">
        <f t="shared" si="11"/>
        <v>0.48217671328947809</v>
      </c>
      <c r="R32" s="88">
        <f t="shared" si="12"/>
        <v>98.39206558901941</v>
      </c>
      <c r="S32" s="88">
        <f t="shared" si="13"/>
        <v>90.37890681241602</v>
      </c>
    </row>
    <row r="33" spans="1:19" x14ac:dyDescent="0.35">
      <c r="A33" s="84">
        <f t="shared" si="3"/>
        <v>6</v>
      </c>
      <c r="B33" s="84">
        <v>3</v>
      </c>
      <c r="C33" s="85">
        <v>3.2669999999999998E-2</v>
      </c>
      <c r="D33" s="86">
        <f t="shared" si="4"/>
        <v>2.4688856766198253E-2</v>
      </c>
      <c r="E33" s="84">
        <v>2.5</v>
      </c>
      <c r="F33" s="84">
        <v>3</v>
      </c>
      <c r="G33" s="87">
        <f t="shared" si="5"/>
        <v>-1.8863063520078369</v>
      </c>
      <c r="H33" s="87">
        <f t="shared" si="1"/>
        <v>-2.1550999531221491</v>
      </c>
      <c r="I33" s="87">
        <f t="shared" si="6"/>
        <v>2.9626841902027762E-2</v>
      </c>
      <c r="J33" s="87">
        <f t="shared" si="6"/>
        <v>1.5577006697996458E-2</v>
      </c>
      <c r="K33" s="88">
        <f t="shared" si="2"/>
        <v>3.4715035744557312</v>
      </c>
      <c r="L33" s="88">
        <f t="shared" si="7"/>
        <v>3.1498968036552415</v>
      </c>
      <c r="M33" s="87"/>
      <c r="N33" s="87">
        <f t="shared" si="8"/>
        <v>8.7804076448774179E-2</v>
      </c>
      <c r="O33" s="87">
        <f t="shared" si="9"/>
        <v>-0.18098952466553808</v>
      </c>
      <c r="P33" s="87">
        <f t="shared" si="10"/>
        <v>0.46501619887199208</v>
      </c>
      <c r="Q33" s="87">
        <f t="shared" si="11"/>
        <v>0.57181210083255496</v>
      </c>
      <c r="R33" s="88">
        <f t="shared" si="12"/>
        <v>140.729209645065</v>
      </c>
      <c r="S33" s="88">
        <f t="shared" si="13"/>
        <v>127.69178488068164</v>
      </c>
    </row>
    <row r="34" spans="1:19" x14ac:dyDescent="0.35">
      <c r="A34" s="84">
        <f t="shared" si="3"/>
        <v>7</v>
      </c>
      <c r="B34" s="84">
        <v>3.5</v>
      </c>
      <c r="C34" s="85">
        <v>3.1620000000000002E-2</v>
      </c>
      <c r="D34" s="86">
        <f t="shared" si="4"/>
        <v>2.5331380390059888E-2</v>
      </c>
      <c r="E34" s="84">
        <v>3</v>
      </c>
      <c r="F34" s="84">
        <v>3.5</v>
      </c>
      <c r="G34" s="87">
        <f t="shared" si="5"/>
        <v>-1.6101623750703082</v>
      </c>
      <c r="H34" s="87">
        <f t="shared" si="1"/>
        <v>-1.9046110123570175</v>
      </c>
      <c r="I34" s="87">
        <f t="shared" si="6"/>
        <v>5.3681206451948689E-2</v>
      </c>
      <c r="J34" s="87">
        <f t="shared" si="6"/>
        <v>2.8415327018507019E-2</v>
      </c>
      <c r="K34" s="88">
        <f t="shared" si="2"/>
        <v>7.608383107255051</v>
      </c>
      <c r="L34" s="88">
        <f t="shared" si="7"/>
        <v>6.8171835221022432</v>
      </c>
      <c r="M34" s="87"/>
      <c r="N34" s="87">
        <f t="shared" si="8"/>
        <v>0.1919456460494825</v>
      </c>
      <c r="O34" s="87">
        <f t="shared" si="9"/>
        <v>-0.10250299123722667</v>
      </c>
      <c r="P34" s="87">
        <f t="shared" si="10"/>
        <v>0.42389239089235597</v>
      </c>
      <c r="Q34" s="87">
        <f t="shared" si="11"/>
        <v>0.54082128065338919</v>
      </c>
      <c r="R34" s="88">
        <f t="shared" si="12"/>
        <v>139.13763090942518</v>
      </c>
      <c r="S34" s="88">
        <f t="shared" si="13"/>
        <v>124.66863870663923</v>
      </c>
    </row>
    <row r="35" spans="1:19" x14ac:dyDescent="0.35">
      <c r="A35" s="84">
        <f t="shared" si="3"/>
        <v>8</v>
      </c>
      <c r="B35" s="84">
        <v>4</v>
      </c>
      <c r="C35" s="85">
        <v>3.0589999999999999E-2</v>
      </c>
      <c r="D35" s="86">
        <f t="shared" si="4"/>
        <v>2.3394606618817537E-2</v>
      </c>
      <c r="E35" s="84">
        <v>3.5</v>
      </c>
      <c r="F35" s="84">
        <v>4</v>
      </c>
      <c r="G35" s="87">
        <f t="shared" si="5"/>
        <v>-1.7180922470020157</v>
      </c>
      <c r="H35" s="87">
        <f t="shared" si="1"/>
        <v>-2.036133124877801</v>
      </c>
      <c r="I35" s="87">
        <f t="shared" si="6"/>
        <v>4.2889895379196352E-2</v>
      </c>
      <c r="J35" s="87">
        <f t="shared" si="6"/>
        <v>2.086849464466186E-2</v>
      </c>
      <c r="K35" s="88">
        <f t="shared" si="2"/>
        <v>5.8240603960204851</v>
      </c>
      <c r="L35" s="88">
        <f t="shared" si="7"/>
        <v>5.1580778260203299</v>
      </c>
      <c r="M35" s="87"/>
      <c r="N35" s="87">
        <f t="shared" si="8"/>
        <v>-4.9664419087975649E-2</v>
      </c>
      <c r="O35" s="87">
        <f t="shared" si="9"/>
        <v>-0.3677052969637607</v>
      </c>
      <c r="P35" s="87">
        <f t="shared" si="10"/>
        <v>0.51980509454702883</v>
      </c>
      <c r="Q35" s="87">
        <f t="shared" si="11"/>
        <v>0.64345350477199226</v>
      </c>
      <c r="R35" s="88">
        <f t="shared" si="12"/>
        <v>196.28509569574044</v>
      </c>
      <c r="S35" s="88">
        <f t="shared" si="13"/>
        <v>173.83985241263562</v>
      </c>
    </row>
    <row r="36" spans="1:19" x14ac:dyDescent="0.35">
      <c r="A36" s="84">
        <f t="shared" si="3"/>
        <v>9</v>
      </c>
      <c r="B36" s="84">
        <v>4.5</v>
      </c>
      <c r="C36" s="85">
        <v>2.9850000000000002E-2</v>
      </c>
      <c r="D36" s="86">
        <f t="shared" si="4"/>
        <v>2.3939700060644498E-2</v>
      </c>
      <c r="E36" s="84">
        <v>4</v>
      </c>
      <c r="F36" s="84">
        <v>4.5</v>
      </c>
      <c r="G36" s="87">
        <f t="shared" si="5"/>
        <v>-1.5181350137475411</v>
      </c>
      <c r="H36" s="87">
        <f t="shared" si="1"/>
        <v>-1.8581350137475412</v>
      </c>
      <c r="I36" s="87">
        <f t="shared" si="6"/>
        <v>6.4490183000343398E-2</v>
      </c>
      <c r="J36" s="87">
        <f t="shared" si="6"/>
        <v>3.1574921854243217E-2</v>
      </c>
      <c r="K36" s="88">
        <f t="shared" si="2"/>
        <v>10.097072953947958</v>
      </c>
      <c r="L36" s="88">
        <f t="shared" si="7"/>
        <v>8.8366965384540013</v>
      </c>
      <c r="M36" s="87"/>
      <c r="N36" s="87">
        <f t="shared" si="8"/>
        <v>4.253631290590168E-2</v>
      </c>
      <c r="O36" s="87">
        <f t="shared" si="9"/>
        <v>-0.29746368709409832</v>
      </c>
      <c r="P36" s="87">
        <f t="shared" si="10"/>
        <v>0.4830355822110326</v>
      </c>
      <c r="Q36" s="87">
        <f t="shared" si="11"/>
        <v>0.61694373628130006</v>
      </c>
      <c r="R36" s="88">
        <f t="shared" si="12"/>
        <v>192.99332251407964</v>
      </c>
      <c r="S36" s="88">
        <f t="shared" si="13"/>
        <v>168.90275357850942</v>
      </c>
    </row>
    <row r="37" spans="1:19" x14ac:dyDescent="0.35">
      <c r="A37" s="84">
        <f t="shared" si="3"/>
        <v>10</v>
      </c>
      <c r="B37" s="84">
        <v>5</v>
      </c>
      <c r="C37" s="85">
        <v>2.9149999999999999E-2</v>
      </c>
      <c r="D37" s="86">
        <f t="shared" si="4"/>
        <v>2.2860852888079375E-2</v>
      </c>
      <c r="E37" s="84">
        <v>4.5</v>
      </c>
      <c r="F37" s="84">
        <v>5</v>
      </c>
      <c r="G37" s="87">
        <f t="shared" si="5"/>
        <v>-1.539144381733214</v>
      </c>
      <c r="H37" s="87">
        <f t="shared" si="1"/>
        <v>-1.8997688401383532</v>
      </c>
      <c r="I37" s="87">
        <f t="shared" si="6"/>
        <v>6.1884526079065215E-2</v>
      </c>
      <c r="J37" s="87">
        <f t="shared" si="6"/>
        <v>2.8731730889884149E-2</v>
      </c>
      <c r="K37" s="88">
        <f t="shared" si="2"/>
        <v>9.6817241960972567</v>
      </c>
      <c r="L37" s="88">
        <f t="shared" si="7"/>
        <v>8.3774364006381603</v>
      </c>
      <c r="M37" s="87"/>
      <c r="N37" s="87">
        <f t="shared" si="8"/>
        <v>-6.7729344026474514E-2</v>
      </c>
      <c r="O37" s="87">
        <f t="shared" si="9"/>
        <v>-0.42835380243161375</v>
      </c>
      <c r="P37" s="87">
        <f t="shared" si="10"/>
        <v>0.52699945510812196</v>
      </c>
      <c r="Q37" s="87">
        <f t="shared" si="11"/>
        <v>0.66580322326547547</v>
      </c>
      <c r="R37" s="88">
        <f t="shared" si="12"/>
        <v>229.87117831560602</v>
      </c>
      <c r="S37" s="88">
        <f t="shared" si="13"/>
        <v>198.90374252294993</v>
      </c>
    </row>
    <row r="38" spans="1:19" x14ac:dyDescent="0.35">
      <c r="A38" s="84"/>
      <c r="B38" s="84"/>
      <c r="C38" s="84"/>
      <c r="D38" s="84"/>
      <c r="E38" s="84"/>
      <c r="F38" s="84"/>
      <c r="G38" s="84"/>
      <c r="H38" s="84"/>
      <c r="I38" s="84"/>
      <c r="J38" s="84"/>
      <c r="K38" s="88" t="s">
        <v>159</v>
      </c>
      <c r="L38" s="89">
        <f>SUM(L29:L37)</f>
        <v>162.86950922123987</v>
      </c>
      <c r="M38" s="84"/>
      <c r="N38" s="84"/>
      <c r="O38" s="84"/>
      <c r="P38" s="84"/>
      <c r="Q38" s="84"/>
      <c r="R38" s="88" t="s">
        <v>159</v>
      </c>
      <c r="S38" s="89">
        <f>SUM(S29:S37)</f>
        <v>948.6180560862108</v>
      </c>
    </row>
    <row r="39" spans="1:19" x14ac:dyDescent="0.35">
      <c r="A39" s="90"/>
      <c r="B39" s="88"/>
      <c r="C39" s="84"/>
      <c r="D39" s="84"/>
      <c r="E39" s="84"/>
      <c r="F39" s="84"/>
      <c r="G39" s="84"/>
      <c r="H39" s="84"/>
      <c r="I39" s="84"/>
      <c r="J39" s="84"/>
      <c r="K39" s="228"/>
      <c r="L39" s="228"/>
      <c r="M39" s="84"/>
      <c r="N39" s="84"/>
      <c r="O39" s="84"/>
      <c r="P39" s="84"/>
      <c r="Q39" s="84"/>
      <c r="R39" s="228"/>
      <c r="S39" s="228"/>
    </row>
    <row r="40" spans="1:19" x14ac:dyDescent="0.35">
      <c r="C40" s="84"/>
      <c r="D40" s="84"/>
      <c r="E40" s="84"/>
      <c r="F40" s="84"/>
      <c r="G40" s="84"/>
      <c r="H40" s="84"/>
      <c r="I40" s="84"/>
      <c r="J40" s="84"/>
      <c r="K40" s="84"/>
      <c r="L40" s="84"/>
      <c r="M40" s="84"/>
      <c r="N40" s="84"/>
      <c r="O40" s="84"/>
      <c r="P40" s="84"/>
      <c r="Q40" s="84"/>
      <c r="R40" s="88"/>
      <c r="S40" s="84"/>
    </row>
    <row r="41" spans="1:19" x14ac:dyDescent="0.35">
      <c r="A41" s="84"/>
      <c r="B41" s="84"/>
      <c r="C41" s="84"/>
      <c r="D41" s="84"/>
      <c r="E41" s="84"/>
      <c r="F41" s="84"/>
      <c r="G41" s="84"/>
      <c r="H41" s="84"/>
      <c r="I41" s="84"/>
      <c r="J41" s="84"/>
      <c r="K41" s="84"/>
      <c r="L41" s="84"/>
      <c r="M41" s="84"/>
      <c r="N41" s="84"/>
      <c r="O41" s="84"/>
      <c r="P41" s="84"/>
      <c r="Q41" s="84"/>
    </row>
    <row r="42" spans="1:19" x14ac:dyDescent="0.35">
      <c r="A42" s="84"/>
      <c r="B42" s="84"/>
      <c r="C42" s="84"/>
      <c r="D42" s="84"/>
      <c r="E42" s="84"/>
      <c r="F42" s="84"/>
      <c r="G42" s="84"/>
      <c r="H42" s="84"/>
      <c r="I42" s="84"/>
      <c r="J42" s="90"/>
      <c r="K42" s="88"/>
    </row>
    <row r="43" spans="1:19" x14ac:dyDescent="0.35">
      <c r="A43" s="84"/>
      <c r="B43" s="84"/>
      <c r="C43" s="84"/>
      <c r="D43" s="84"/>
      <c r="E43" s="84"/>
      <c r="F43" s="84"/>
      <c r="G43" s="84"/>
      <c r="H43" s="84"/>
      <c r="I43" s="84"/>
      <c r="J43" s="90"/>
      <c r="K43" s="88"/>
    </row>
    <row r="44" spans="1:19" x14ac:dyDescent="0.35">
      <c r="A44" s="84"/>
      <c r="B44" s="84"/>
      <c r="C44" s="84"/>
      <c r="D44" s="84"/>
      <c r="E44" s="84"/>
      <c r="F44" s="84"/>
      <c r="G44" s="84"/>
      <c r="H44" s="84"/>
      <c r="I44" s="84"/>
      <c r="J44" s="90"/>
      <c r="K44" s="88"/>
    </row>
    <row r="45" spans="1:19" x14ac:dyDescent="0.35">
      <c r="A45" s="84"/>
      <c r="B45" s="84"/>
      <c r="C45" s="84"/>
      <c r="D45" s="84"/>
      <c r="E45" s="84"/>
      <c r="F45" s="84"/>
      <c r="G45" s="84"/>
      <c r="H45" s="84"/>
      <c r="I45" s="84"/>
      <c r="J45" s="90"/>
      <c r="K45" s="88"/>
    </row>
    <row r="46" spans="1:19" x14ac:dyDescent="0.35">
      <c r="A46" s="84"/>
      <c r="B46" s="84"/>
      <c r="C46" s="84"/>
      <c r="D46" s="84"/>
      <c r="E46" s="84"/>
      <c r="F46" s="84"/>
      <c r="G46" s="84"/>
      <c r="H46" s="84"/>
      <c r="I46" s="84"/>
      <c r="J46" s="90"/>
      <c r="K46" s="88"/>
    </row>
    <row r="47" spans="1:19" x14ac:dyDescent="0.35">
      <c r="A47" s="84"/>
      <c r="B47" s="84"/>
      <c r="C47" s="84"/>
      <c r="D47" s="84"/>
      <c r="E47" s="84"/>
      <c r="F47" s="84"/>
      <c r="G47" s="84"/>
      <c r="H47" s="84"/>
      <c r="I47" s="84"/>
      <c r="J47" s="90"/>
      <c r="K47" s="88"/>
    </row>
    <row r="49" spans="1:19" x14ac:dyDescent="0.35">
      <c r="A49" s="84"/>
      <c r="B49" s="84"/>
      <c r="C49" s="84"/>
      <c r="D49" s="84"/>
      <c r="E49" s="84"/>
      <c r="F49" s="84"/>
      <c r="G49" s="84"/>
      <c r="H49" s="84"/>
      <c r="I49" s="84"/>
      <c r="J49" s="90"/>
      <c r="K49" s="88"/>
    </row>
    <row r="50" spans="1:19" x14ac:dyDescent="0.35">
      <c r="A50" s="84"/>
      <c r="B50" s="84"/>
      <c r="C50" s="84"/>
      <c r="D50" s="84"/>
      <c r="E50" s="84"/>
      <c r="F50" s="84"/>
      <c r="G50" s="84"/>
      <c r="H50" s="84"/>
      <c r="I50" s="84"/>
      <c r="J50" s="88"/>
      <c r="K50" s="84"/>
    </row>
    <row r="51" spans="1:19" x14ac:dyDescent="0.35">
      <c r="A51" s="84"/>
      <c r="B51" s="84"/>
      <c r="D51" s="84"/>
      <c r="E51" s="84"/>
      <c r="F51" s="84"/>
      <c r="G51" s="84"/>
      <c r="H51" s="84"/>
      <c r="I51" s="84"/>
    </row>
    <row r="53" spans="1:19" x14ac:dyDescent="0.35">
      <c r="R53" s="90"/>
      <c r="S53" s="88"/>
    </row>
    <row r="54" spans="1:19" x14ac:dyDescent="0.35">
      <c r="A54" s="214" t="s">
        <v>165</v>
      </c>
      <c r="B54" s="214"/>
      <c r="C54" s="214"/>
      <c r="D54" s="214"/>
      <c r="E54" s="214"/>
      <c r="F54" s="214"/>
      <c r="G54" s="214"/>
      <c r="H54" s="214"/>
      <c r="I54" s="214"/>
      <c r="J54" s="214"/>
      <c r="K54" s="214"/>
      <c r="L54" s="214"/>
      <c r="M54" s="214"/>
      <c r="N54" s="214"/>
      <c r="O54" s="214"/>
      <c r="P54" s="214"/>
      <c r="Q54" s="214"/>
      <c r="R54" s="214"/>
      <c r="S54" s="214"/>
    </row>
    <row r="55" spans="1:19" x14ac:dyDescent="0.35">
      <c r="A55" s="81"/>
    </row>
    <row r="56" spans="1:19" x14ac:dyDescent="0.35">
      <c r="A56" s="215" t="s">
        <v>141</v>
      </c>
      <c r="B56" s="215"/>
      <c r="C56" s="139">
        <f>C20</f>
        <v>100000</v>
      </c>
      <c r="G56" s="81"/>
    </row>
    <row r="57" spans="1:19" x14ac:dyDescent="0.35">
      <c r="A57" s="215" t="s">
        <v>123</v>
      </c>
      <c r="B57" s="215"/>
      <c r="C57" s="75">
        <f>C21</f>
        <v>5</v>
      </c>
    </row>
    <row r="58" spans="1:19" x14ac:dyDescent="0.35">
      <c r="A58" s="215" t="s">
        <v>145</v>
      </c>
      <c r="B58" s="215"/>
      <c r="C58" s="75">
        <f>C22</f>
        <v>2</v>
      </c>
      <c r="N58" s="81"/>
    </row>
    <row r="59" spans="1:19" x14ac:dyDescent="0.35">
      <c r="A59" s="215" t="s">
        <v>142</v>
      </c>
      <c r="B59" s="215"/>
      <c r="C59" s="141">
        <v>3.2196948480471999E-2</v>
      </c>
    </row>
    <row r="60" spans="1:19" x14ac:dyDescent="0.35">
      <c r="A60" s="215" t="s">
        <v>143</v>
      </c>
      <c r="B60" s="215"/>
      <c r="C60" s="108">
        <f>P22</f>
        <v>2.5000000000000001E-2</v>
      </c>
    </row>
    <row r="61" spans="1:19" x14ac:dyDescent="0.35">
      <c r="A61" s="215" t="s">
        <v>144</v>
      </c>
      <c r="B61" s="215"/>
      <c r="C61" s="140">
        <f>P23</f>
        <v>0.17</v>
      </c>
    </row>
    <row r="62" spans="1:19" x14ac:dyDescent="0.35">
      <c r="C62" s="82"/>
    </row>
    <row r="63" spans="1:19" x14ac:dyDescent="0.35">
      <c r="A63" s="83" t="str" cm="1">
        <f t="array" ref="A63:F73">A27:F37</f>
        <v>Period</v>
      </c>
      <c r="B63" s="83" t="str">
        <v>Term(Year)</v>
      </c>
      <c r="C63" s="83" t="str">
        <v>Spot Rate</v>
      </c>
      <c r="D63" s="83" t="str">
        <v>Forward Rate</v>
      </c>
      <c r="E63" s="83" t="str">
        <v>Maturity(yr)</v>
      </c>
      <c r="F63" s="83" t="str">
        <v>Settlement</v>
      </c>
      <c r="G63" s="226" t="s">
        <v>149</v>
      </c>
      <c r="H63" s="226"/>
      <c r="I63" s="226"/>
      <c r="J63" s="226"/>
      <c r="K63" s="226"/>
      <c r="L63" s="226"/>
      <c r="M63" s="84"/>
      <c r="N63" s="227" t="s">
        <v>150</v>
      </c>
      <c r="O63" s="227"/>
      <c r="P63" s="227"/>
      <c r="Q63" s="227"/>
      <c r="R63" s="227"/>
      <c r="S63" s="227"/>
    </row>
    <row r="64" spans="1:19" x14ac:dyDescent="0.35">
      <c r="A64" s="84">
        <v>1</v>
      </c>
      <c r="B64" s="84">
        <v>0.5</v>
      </c>
      <c r="C64" s="85">
        <v>4.061E-2</v>
      </c>
      <c r="D64" s="84">
        <v>0</v>
      </c>
      <c r="E64" s="84">
        <v>0</v>
      </c>
      <c r="F64" s="84">
        <v>0</v>
      </c>
      <c r="G64" s="94" t="s">
        <v>151</v>
      </c>
      <c r="H64" s="94" t="s">
        <v>152</v>
      </c>
      <c r="I64" s="94" t="s">
        <v>153</v>
      </c>
      <c r="J64" s="94" t="s">
        <v>154</v>
      </c>
      <c r="K64" s="94" t="s">
        <v>155</v>
      </c>
      <c r="L64" s="94" t="s">
        <v>287</v>
      </c>
      <c r="M64" s="84"/>
      <c r="N64" s="95" t="s">
        <v>151</v>
      </c>
      <c r="O64" s="95" t="s">
        <v>152</v>
      </c>
      <c r="P64" s="95" t="s">
        <v>156</v>
      </c>
      <c r="Q64" s="95" t="s">
        <v>157</v>
      </c>
      <c r="R64" s="95" t="s">
        <v>158</v>
      </c>
      <c r="S64" s="95" t="s">
        <v>289</v>
      </c>
    </row>
    <row r="65" spans="1:19" x14ac:dyDescent="0.35">
      <c r="A65" s="84">
        <v>2</v>
      </c>
      <c r="B65" s="84">
        <v>1</v>
      </c>
      <c r="C65" s="85">
        <v>4.172E-2</v>
      </c>
      <c r="D65" s="86">
        <v>4.2830603790043664E-2</v>
      </c>
      <c r="E65" s="84">
        <v>0.5</v>
      </c>
      <c r="F65" s="84">
        <v>1</v>
      </c>
      <c r="G65" s="87">
        <f>(LN(D65/$C$59)+$C$61^2/2*E65)/($C$61*SQRT(E65))</f>
        <v>2.4341627560057475</v>
      </c>
      <c r="H65" s="87">
        <f>G65-$I$23*SQRT(E65)</f>
        <v>2.3139546032040346</v>
      </c>
      <c r="I65" s="87">
        <f>_xlfn.NORM.S.DIST(G65,TRUE)</f>
        <v>0.99253685908605294</v>
      </c>
      <c r="J65" s="87">
        <f>_xlfn.NORM.S.DIST(H65,TRUE)</f>
        <v>0.98966489377812128</v>
      </c>
      <c r="K65" s="88">
        <f>(D65*$C$56*I65/$C$58-$C$59*$C$56*J65/$C$58)</f>
        <v>532.3381680311586</v>
      </c>
      <c r="L65" s="88">
        <f>K65/(1+C65/$C$58)^A65</f>
        <v>510.80510741949666</v>
      </c>
      <c r="M65" s="87"/>
      <c r="N65" s="87">
        <f>(LN(D65/$C$60)+$C$61^2/2*E65)/($C$61*SQRT(E65))</f>
        <v>4.5388108152895468</v>
      </c>
      <c r="O65" s="87">
        <f>N65-$C$61*SQRT(E65)</f>
        <v>4.4186026624878334</v>
      </c>
      <c r="P65" s="87">
        <f>_xlfn.NORM.S.DIST(-N65,TRUE)</f>
        <v>2.8286181117796422E-6</v>
      </c>
      <c r="Q65" s="87">
        <f>_xlfn.NORM.S.DIST(-O65,TRUE)</f>
        <v>4.9670544767263298E-6</v>
      </c>
      <c r="R65" s="88">
        <f>($C$60*$C$56/$C$58*Q65-D65*$C$56/$C$58*P65)</f>
        <v>1.5124701495914782E-4</v>
      </c>
      <c r="S65" s="88">
        <f>R65/(1+C65/$C$58)^A65</f>
        <v>1.4512907839920976E-4</v>
      </c>
    </row>
    <row r="66" spans="1:19" x14ac:dyDescent="0.35">
      <c r="A66" s="84">
        <v>3</v>
      </c>
      <c r="B66" s="84">
        <v>1.5</v>
      </c>
      <c r="C66" s="85">
        <v>3.95E-2</v>
      </c>
      <c r="D66" s="86">
        <v>3.506723891682384E-2</v>
      </c>
      <c r="E66" s="84">
        <v>1</v>
      </c>
      <c r="F66" s="84">
        <v>1.5</v>
      </c>
      <c r="G66" s="87">
        <f t="shared" ref="G66:G73" si="14">(LN(D66/$C$59)+$C$61^2/2*E66)/($C$61*SQRT(E66))</f>
        <v>0.58732735323978202</v>
      </c>
      <c r="H66" s="87">
        <f t="shared" ref="H66:H73" si="15">G66-$I$23*SQRT(E66)</f>
        <v>0.41732735323978198</v>
      </c>
      <c r="I66" s="87">
        <f t="shared" ref="I66:I72" si="16">_xlfn.NORM.S.DIST(G66,TRUE)</f>
        <v>0.7215080631111126</v>
      </c>
      <c r="J66" s="87">
        <f t="shared" ref="J66:J73" si="17">_xlfn.NORM.S.DIST(H66,TRUE)</f>
        <v>0.66178050810315259</v>
      </c>
      <c r="K66" s="88">
        <f t="shared" ref="K66:K73" si="18">(D66*$C$56*I66/$C$58-$C$59*$C$56*J66/$C$58)</f>
        <v>199.69913523772061</v>
      </c>
      <c r="L66" s="88">
        <f>K66/(1+C66/$C$58)^A66</f>
        <v>188.31939152907785</v>
      </c>
      <c r="M66" s="87"/>
      <c r="N66" s="87">
        <f t="shared" ref="N66:N73" si="19">(LN(D66/$C$60)+$C$61^2/2*E66)/($C$61*SQRT(E66))</f>
        <v>2.0755382679704635</v>
      </c>
      <c r="O66" s="87">
        <f t="shared" ref="O66:O73" si="20">N66-$C$61*SQRT(E66)</f>
        <v>1.9055382679704636</v>
      </c>
      <c r="P66" s="87">
        <f t="shared" ref="P66:P73" si="21">_xlfn.NORM.S.DIST(-N66,TRUE)</f>
        <v>1.8968338005429193E-2</v>
      </c>
      <c r="Q66" s="87">
        <f t="shared" ref="Q66:Q73" si="22">_xlfn.NORM.S.DIST(-O66,TRUE)</f>
        <v>2.8355068970585616E-2</v>
      </c>
      <c r="R66" s="88">
        <f t="shared" ref="R66:R73" si="23">($C$60*$C$56/$C$58*Q66-D66*$C$56/$C$58*P66)</f>
        <v>2.1854741786592555</v>
      </c>
      <c r="S66" s="88">
        <f t="shared" ref="S66:S73" si="24">R66/(1+C66/$C$58)^A66</f>
        <v>2.0609361529667876</v>
      </c>
    </row>
    <row r="67" spans="1:19" x14ac:dyDescent="0.35">
      <c r="A67" s="84">
        <v>4</v>
      </c>
      <c r="B67" s="84">
        <v>2</v>
      </c>
      <c r="C67" s="85">
        <v>3.6339999999999997E-2</v>
      </c>
      <c r="D67" s="86">
        <v>2.6889346279599824E-2</v>
      </c>
      <c r="E67" s="84">
        <v>1.5</v>
      </c>
      <c r="F67" s="84">
        <v>2</v>
      </c>
      <c r="G67" s="87">
        <f t="shared" si="14"/>
        <v>-0.76110219312682226</v>
      </c>
      <c r="H67" s="87">
        <f t="shared" si="15"/>
        <v>-0.96930882126339235</v>
      </c>
      <c r="I67" s="87">
        <f t="shared" si="16"/>
        <v>0.22329801532434265</v>
      </c>
      <c r="J67" s="87">
        <f t="shared" si="17"/>
        <v>0.16619556466225932</v>
      </c>
      <c r="K67" s="88">
        <f t="shared" si="18"/>
        <v>32.667381224496069</v>
      </c>
      <c r="L67" s="88">
        <f>K67/(1+C67/$C$58)^A67</f>
        <v>30.397168748824765</v>
      </c>
      <c r="M67" s="87"/>
      <c r="N67" s="87">
        <f t="shared" si="19"/>
        <v>0.45401693045010311</v>
      </c>
      <c r="O67" s="87">
        <f t="shared" si="20"/>
        <v>0.24581030231353299</v>
      </c>
      <c r="P67" s="87">
        <f t="shared" si="21"/>
        <v>0.32490832056269325</v>
      </c>
      <c r="Q67" s="87">
        <f t="shared" si="22"/>
        <v>0.40291454081010525</v>
      </c>
      <c r="R67" s="88">
        <f t="shared" si="23"/>
        <v>66.814558975957425</v>
      </c>
      <c r="S67" s="88">
        <f t="shared" si="24"/>
        <v>62.171295890333873</v>
      </c>
    </row>
    <row r="68" spans="1:19" x14ac:dyDescent="0.35">
      <c r="A68" s="84">
        <v>5</v>
      </c>
      <c r="B68" s="84">
        <v>2.5</v>
      </c>
      <c r="C68" s="85">
        <v>3.4270000000000002E-2</v>
      </c>
      <c r="D68" s="86">
        <v>2.6011020784767247E-2</v>
      </c>
      <c r="E68" s="84">
        <v>2</v>
      </c>
      <c r="F68" s="84">
        <v>2.5</v>
      </c>
      <c r="G68" s="87">
        <f t="shared" si="14"/>
        <v>-0.7672164970714892</v>
      </c>
      <c r="H68" s="87">
        <f t="shared" si="15"/>
        <v>-1.0076328026749155</v>
      </c>
      <c r="I68" s="87">
        <f t="shared" si="16"/>
        <v>0.22147640299987836</v>
      </c>
      <c r="J68" s="87">
        <f t="shared" si="17"/>
        <v>0.15681538763784728</v>
      </c>
      <c r="K68" s="88">
        <f t="shared" si="18"/>
        <v>35.592518252215456</v>
      </c>
      <c r="L68" s="88">
        <f>K68/(1+C68/$C$58)^A68</f>
        <v>32.693824152170201</v>
      </c>
      <c r="M68" s="87"/>
      <c r="N68" s="87">
        <f t="shared" si="19"/>
        <v>0.28510753257041027</v>
      </c>
      <c r="O68" s="87">
        <f t="shared" si="20"/>
        <v>4.4691226966984077E-2</v>
      </c>
      <c r="P68" s="87">
        <f t="shared" si="21"/>
        <v>0.38778087964788888</v>
      </c>
      <c r="Q68" s="87">
        <f t="shared" si="22"/>
        <v>0.48217671328947809</v>
      </c>
      <c r="R68" s="88">
        <f t="shared" si="23"/>
        <v>98.39206558901941</v>
      </c>
      <c r="S68" s="88">
        <f t="shared" si="24"/>
        <v>90.37890681241602</v>
      </c>
    </row>
    <row r="69" spans="1:19" x14ac:dyDescent="0.35">
      <c r="A69" s="84">
        <v>6</v>
      </c>
      <c r="B69" s="84">
        <v>3</v>
      </c>
      <c r="C69" s="85">
        <v>3.2669999999999998E-2</v>
      </c>
      <c r="D69" s="86">
        <v>2.4688856766198253E-2</v>
      </c>
      <c r="E69" s="84">
        <v>2.5</v>
      </c>
      <c r="F69" s="84">
        <v>3</v>
      </c>
      <c r="G69" s="87">
        <f t="shared" si="14"/>
        <v>-0.8534231494055422</v>
      </c>
      <c r="H69" s="87">
        <f t="shared" si="15"/>
        <v>-1.1222167505198546</v>
      </c>
      <c r="I69" s="87">
        <f t="shared" si="16"/>
        <v>0.19671234423836362</v>
      </c>
      <c r="J69" s="87">
        <f t="shared" si="17"/>
        <v>0.13088514613217897</v>
      </c>
      <c r="K69" s="88">
        <f t="shared" si="18"/>
        <v>32.125029208361383</v>
      </c>
      <c r="L69" s="88">
        <f t="shared" ref="L69:L73" si="25">K69/(1+C69/$C$58)^A69</f>
        <v>29.148904689407853</v>
      </c>
      <c r="M69" s="87"/>
      <c r="N69" s="87">
        <f t="shared" si="19"/>
        <v>8.7804076448774179E-2</v>
      </c>
      <c r="O69" s="87">
        <f t="shared" si="20"/>
        <v>-0.18098952466553808</v>
      </c>
      <c r="P69" s="87">
        <f t="shared" si="21"/>
        <v>0.46501619887199208</v>
      </c>
      <c r="Q69" s="87">
        <f t="shared" si="22"/>
        <v>0.57181210083255496</v>
      </c>
      <c r="R69" s="88">
        <f t="shared" si="23"/>
        <v>140.729209645065</v>
      </c>
      <c r="S69" s="88">
        <f t="shared" si="24"/>
        <v>127.69178488068164</v>
      </c>
    </row>
    <row r="70" spans="1:19" x14ac:dyDescent="0.35">
      <c r="A70" s="84">
        <v>7</v>
      </c>
      <c r="B70" s="84">
        <v>3.5</v>
      </c>
      <c r="C70" s="85">
        <v>3.1620000000000002E-2</v>
      </c>
      <c r="D70" s="86">
        <v>2.5331380390059888E-2</v>
      </c>
      <c r="E70" s="84">
        <v>3</v>
      </c>
      <c r="F70" s="84">
        <v>3.5</v>
      </c>
      <c r="G70" s="87">
        <f t="shared" si="14"/>
        <v>-0.66727332618121571</v>
      </c>
      <c r="H70" s="87">
        <f t="shared" si="15"/>
        <v>-0.96172196346792482</v>
      </c>
      <c r="I70" s="87">
        <f t="shared" si="16"/>
        <v>0.25229878057100052</v>
      </c>
      <c r="J70" s="87">
        <f t="shared" si="17"/>
        <v>0.16809464328049523</v>
      </c>
      <c r="K70" s="88">
        <f t="shared" si="18"/>
        <v>48.947090652342183</v>
      </c>
      <c r="L70" s="88">
        <f t="shared" si="25"/>
        <v>43.857058082657097</v>
      </c>
      <c r="M70" s="87"/>
      <c r="N70" s="87">
        <f t="shared" si="19"/>
        <v>0.1919456460494825</v>
      </c>
      <c r="O70" s="87">
        <f t="shared" si="20"/>
        <v>-0.10250299123722667</v>
      </c>
      <c r="P70" s="87">
        <f t="shared" si="21"/>
        <v>0.42389239089235597</v>
      </c>
      <c r="Q70" s="87">
        <f t="shared" si="22"/>
        <v>0.54082128065338919</v>
      </c>
      <c r="R70" s="88">
        <f t="shared" si="23"/>
        <v>139.13763090942518</v>
      </c>
      <c r="S70" s="88">
        <f t="shared" si="24"/>
        <v>124.66863870663923</v>
      </c>
    </row>
    <row r="71" spans="1:19" x14ac:dyDescent="0.35">
      <c r="A71" s="84">
        <v>8</v>
      </c>
      <c r="B71" s="84">
        <v>4</v>
      </c>
      <c r="C71" s="85">
        <v>3.0589999999999999E-2</v>
      </c>
      <c r="D71" s="86">
        <v>2.3394606618817537E-2</v>
      </c>
      <c r="E71" s="84">
        <v>3.5</v>
      </c>
      <c r="F71" s="84">
        <v>4</v>
      </c>
      <c r="G71" s="87">
        <f t="shared" si="14"/>
        <v>-0.84514661368506983</v>
      </c>
      <c r="H71" s="87">
        <f t="shared" si="15"/>
        <v>-1.1631874915608549</v>
      </c>
      <c r="I71" s="87">
        <f t="shared" si="16"/>
        <v>0.19901449259684792</v>
      </c>
      <c r="J71" s="87">
        <f t="shared" si="17"/>
        <v>0.12237672020528992</v>
      </c>
      <c r="K71" s="88">
        <f t="shared" si="18"/>
        <v>35.785440504398821</v>
      </c>
      <c r="L71" s="88">
        <f t="shared" si="25"/>
        <v>31.693367617930878</v>
      </c>
      <c r="M71" s="87"/>
      <c r="N71" s="87">
        <f t="shared" si="19"/>
        <v>-4.9664419087975649E-2</v>
      </c>
      <c r="O71" s="87">
        <f t="shared" si="20"/>
        <v>-0.3677052969637607</v>
      </c>
      <c r="P71" s="87">
        <f t="shared" si="21"/>
        <v>0.51980509454702883</v>
      </c>
      <c r="Q71" s="87">
        <f t="shared" si="22"/>
        <v>0.64345350477199226</v>
      </c>
      <c r="R71" s="88">
        <f t="shared" si="23"/>
        <v>196.28509569574044</v>
      </c>
      <c r="S71" s="88">
        <f t="shared" si="24"/>
        <v>173.83985241263562</v>
      </c>
    </row>
    <row r="72" spans="1:19" x14ac:dyDescent="0.35">
      <c r="A72" s="84">
        <v>9</v>
      </c>
      <c r="B72" s="84">
        <v>4.5</v>
      </c>
      <c r="C72" s="85">
        <v>2.9850000000000002E-2</v>
      </c>
      <c r="D72" s="86">
        <v>2.3939700060644498E-2</v>
      </c>
      <c r="E72" s="84">
        <v>4</v>
      </c>
      <c r="F72" s="84">
        <v>4.5</v>
      </c>
      <c r="G72" s="87">
        <f t="shared" si="14"/>
        <v>-0.70156914445943885</v>
      </c>
      <c r="H72" s="87">
        <f t="shared" si="15"/>
        <v>-1.0415691444594388</v>
      </c>
      <c r="I72" s="87">
        <f t="shared" si="16"/>
        <v>0.24147394988863796</v>
      </c>
      <c r="J72" s="87">
        <f t="shared" si="17"/>
        <v>0.14880574018252898</v>
      </c>
      <c r="K72" s="88">
        <f t="shared" si="18"/>
        <v>49.486159126885269</v>
      </c>
      <c r="L72" s="88">
        <f t="shared" si="25"/>
        <v>43.30900381253052</v>
      </c>
      <c r="M72" s="87"/>
      <c r="N72" s="87">
        <f t="shared" si="19"/>
        <v>4.253631290590168E-2</v>
      </c>
      <c r="O72" s="87">
        <f t="shared" si="20"/>
        <v>-0.29746368709409832</v>
      </c>
      <c r="P72" s="87">
        <f t="shared" si="21"/>
        <v>0.4830355822110326</v>
      </c>
      <c r="Q72" s="87">
        <f t="shared" si="22"/>
        <v>0.61694373628130006</v>
      </c>
      <c r="R72" s="88">
        <f t="shared" si="23"/>
        <v>192.99332251407964</v>
      </c>
      <c r="S72" s="88">
        <f t="shared" si="24"/>
        <v>168.90275357850942</v>
      </c>
    </row>
    <row r="73" spans="1:19" x14ac:dyDescent="0.35">
      <c r="A73" s="84">
        <v>10</v>
      </c>
      <c r="B73" s="84">
        <v>5</v>
      </c>
      <c r="C73" s="85">
        <v>2.9149999999999999E-2</v>
      </c>
      <c r="D73" s="86">
        <v>2.2860852888079375E-2</v>
      </c>
      <c r="E73" s="84">
        <v>4.5</v>
      </c>
      <c r="F73" s="84">
        <v>5</v>
      </c>
      <c r="G73" s="87">
        <f t="shared" si="14"/>
        <v>-0.76927869712107444</v>
      </c>
      <c r="H73" s="87">
        <f t="shared" si="15"/>
        <v>-1.1299031555262138</v>
      </c>
      <c r="I73" s="87">
        <f>_xlfn.NORM.S.DIST(G73,TRUE)</f>
        <v>0.22086394039573912</v>
      </c>
      <c r="J73" s="87">
        <f t="shared" si="17"/>
        <v>0.12925851708785244</v>
      </c>
      <c r="K73" s="88">
        <f t="shared" si="18"/>
        <v>44.370411716436479</v>
      </c>
      <c r="L73" s="88">
        <f t="shared" si="25"/>
        <v>38.392986073122685</v>
      </c>
      <c r="M73" s="87"/>
      <c r="N73" s="87">
        <f t="shared" si="19"/>
        <v>-6.7729344026474514E-2</v>
      </c>
      <c r="O73" s="87">
        <f t="shared" si="20"/>
        <v>-0.42835380243161375</v>
      </c>
      <c r="P73" s="87">
        <f t="shared" si="21"/>
        <v>0.52699945510812196</v>
      </c>
      <c r="Q73" s="87">
        <f t="shared" si="22"/>
        <v>0.66580322326547547</v>
      </c>
      <c r="R73" s="88">
        <f t="shared" si="23"/>
        <v>229.87117831560602</v>
      </c>
      <c r="S73" s="88">
        <f t="shared" si="24"/>
        <v>198.90374252294993</v>
      </c>
    </row>
    <row r="74" spans="1:19" x14ac:dyDescent="0.35">
      <c r="A74" s="84"/>
      <c r="B74" s="84"/>
      <c r="C74" s="84"/>
      <c r="D74" s="84"/>
      <c r="E74" s="84"/>
      <c r="F74" s="84"/>
      <c r="G74" s="84"/>
      <c r="H74" s="84"/>
      <c r="I74" s="84"/>
      <c r="J74" s="84"/>
      <c r="K74" s="88"/>
      <c r="L74" s="89">
        <f>SUM(L65:L73)</f>
        <v>948.61681212521842</v>
      </c>
      <c r="M74" s="84"/>
      <c r="N74" s="84"/>
      <c r="O74" s="84"/>
      <c r="P74" s="84"/>
      <c r="Q74" s="84"/>
      <c r="R74" s="88"/>
      <c r="S74" s="89">
        <f>SUM(S65:S73)</f>
        <v>948.6180560862108</v>
      </c>
    </row>
    <row r="75" spans="1:19" x14ac:dyDescent="0.35">
      <c r="A75" s="84"/>
      <c r="B75" s="84"/>
      <c r="C75" s="84"/>
      <c r="D75" s="84"/>
      <c r="E75" s="84"/>
      <c r="F75" s="84"/>
      <c r="G75" s="84"/>
      <c r="H75" s="84"/>
      <c r="I75" s="84"/>
      <c r="J75" s="84"/>
      <c r="K75" s="84"/>
      <c r="L75" s="84"/>
      <c r="M75" s="84"/>
      <c r="N75" s="84"/>
      <c r="O75" s="84"/>
      <c r="P75" s="84"/>
      <c r="Q75" s="84"/>
      <c r="R75" s="88"/>
      <c r="S75" s="84"/>
    </row>
    <row r="76" spans="1:19" x14ac:dyDescent="0.35">
      <c r="A76" s="90" t="s">
        <v>34</v>
      </c>
      <c r="B76" s="196">
        <f>L74-S74</f>
        <v>-1.2439609923831085E-3</v>
      </c>
      <c r="C76" s="84"/>
      <c r="D76" s="84"/>
      <c r="E76" s="84"/>
      <c r="F76" s="84"/>
      <c r="G76" s="84"/>
      <c r="H76" s="84"/>
      <c r="I76" s="84"/>
      <c r="J76" s="84"/>
      <c r="L76" s="84"/>
      <c r="M76" s="84"/>
      <c r="N76" s="84"/>
      <c r="O76" s="84"/>
      <c r="P76" s="84"/>
      <c r="Q76" s="84"/>
    </row>
    <row r="77" spans="1:19" x14ac:dyDescent="0.35">
      <c r="A77" s="104" t="s">
        <v>160</v>
      </c>
    </row>
    <row r="78" spans="1:19" x14ac:dyDescent="0.35">
      <c r="A78" s="84"/>
    </row>
    <row r="82" spans="1:1" x14ac:dyDescent="0.35">
      <c r="A82" s="84"/>
    </row>
    <row r="83" spans="1:1" x14ac:dyDescent="0.35">
      <c r="A83" s="84"/>
    </row>
  </sheetData>
  <mergeCells count="23">
    <mergeCell ref="A59:B59"/>
    <mergeCell ref="A61:B61"/>
    <mergeCell ref="N23:O23"/>
    <mergeCell ref="G27:L27"/>
    <mergeCell ref="N27:S27"/>
    <mergeCell ref="K39:L39"/>
    <mergeCell ref="R39:S39"/>
    <mergeCell ref="A1:M1"/>
    <mergeCell ref="A2:M2"/>
    <mergeCell ref="A16:M16"/>
    <mergeCell ref="G63:L63"/>
    <mergeCell ref="N63:S63"/>
    <mergeCell ref="A54:S54"/>
    <mergeCell ref="A58:B58"/>
    <mergeCell ref="A60:B60"/>
    <mergeCell ref="A20:B20"/>
    <mergeCell ref="A21:B21"/>
    <mergeCell ref="G22:H22"/>
    <mergeCell ref="G23:H23"/>
    <mergeCell ref="A22:B22"/>
    <mergeCell ref="N22:O22"/>
    <mergeCell ref="A56:B56"/>
    <mergeCell ref="A57:B57"/>
  </mergeCells>
  <phoneticPr fontId="14" type="noConversion"/>
  <pageMargins left="0.7" right="0.7" top="0.75" bottom="0.75" header="0.3" footer="0.3"/>
  <pageSetup orientation="portrait" horizontalDpi="4294967293" verticalDpi="0" r:id="rId1"/>
  <rowBreaks count="1" manualBreakCount="1">
    <brk id="90" max="16383" man="1"/>
  </rowBreaks>
  <colBreaks count="1" manualBreakCount="1">
    <brk id="11" max="1048575" man="1"/>
  </col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2A192-3568-430C-B9A2-F84BEA6819F9}">
  <sheetPr codeName="Sheet18"/>
  <dimension ref="A1:U142"/>
  <sheetViews>
    <sheetView zoomScale="70" zoomScaleNormal="70" workbookViewId="0">
      <selection activeCell="I139" sqref="I139"/>
    </sheetView>
  </sheetViews>
  <sheetFormatPr defaultColWidth="19.26953125" defaultRowHeight="15.5" x14ac:dyDescent="0.35"/>
  <cols>
    <col min="1" max="1" width="13.81640625" style="76" customWidth="1"/>
    <col min="2" max="2" width="19.453125" style="76" customWidth="1"/>
    <col min="3" max="4" width="18.26953125" style="76" bestFit="1" customWidth="1"/>
    <col min="5" max="12" width="15.54296875" style="76" bestFit="1" customWidth="1"/>
    <col min="13" max="17" width="19.26953125" style="76"/>
    <col min="18" max="18" width="16.453125" style="76" customWidth="1"/>
    <col min="19" max="19" width="0.54296875" style="76" customWidth="1"/>
    <col min="20" max="20" width="1.453125" style="76" customWidth="1"/>
    <col min="21" max="21" width="19.26953125" style="76" hidden="1" customWidth="1"/>
    <col min="22" max="16384" width="19.26953125" style="76"/>
  </cols>
  <sheetData>
    <row r="1" spans="1:19" x14ac:dyDescent="0.35">
      <c r="A1" s="209" t="s">
        <v>290</v>
      </c>
      <c r="B1" s="209"/>
      <c r="C1" s="209"/>
      <c r="D1" s="209"/>
      <c r="E1" s="209"/>
      <c r="F1" s="209"/>
      <c r="G1" s="209"/>
      <c r="H1" s="209"/>
      <c r="I1" s="209"/>
      <c r="J1" s="209"/>
      <c r="K1" s="209"/>
      <c r="L1" s="209"/>
      <c r="M1" s="209"/>
    </row>
    <row r="2" spans="1:19" x14ac:dyDescent="0.35">
      <c r="A2" s="214" t="s">
        <v>190</v>
      </c>
      <c r="B2" s="214"/>
      <c r="C2" s="214"/>
      <c r="D2" s="214"/>
      <c r="E2" s="214"/>
      <c r="F2" s="214"/>
      <c r="G2" s="214"/>
      <c r="H2" s="214"/>
      <c r="I2" s="214"/>
      <c r="J2" s="214"/>
      <c r="K2" s="214"/>
      <c r="L2" s="214"/>
      <c r="M2" s="214"/>
    </row>
    <row r="3" spans="1:19" x14ac:dyDescent="0.35">
      <c r="A3" s="214" t="s">
        <v>191</v>
      </c>
      <c r="B3" s="214"/>
      <c r="C3" s="214"/>
      <c r="D3" s="214"/>
      <c r="E3" s="214"/>
      <c r="F3" s="214"/>
      <c r="G3" s="214"/>
      <c r="H3" s="214"/>
      <c r="I3" s="214"/>
      <c r="J3" s="214"/>
      <c r="K3" s="214"/>
      <c r="L3" s="214"/>
      <c r="M3" s="214"/>
    </row>
    <row r="4" spans="1:19" x14ac:dyDescent="0.35">
      <c r="A4" s="214" t="s">
        <v>192</v>
      </c>
      <c r="B4" s="214"/>
      <c r="C4" s="214"/>
      <c r="D4" s="214"/>
      <c r="E4" s="214"/>
      <c r="F4" s="214"/>
      <c r="G4" s="214"/>
      <c r="H4" s="214"/>
      <c r="I4" s="214"/>
      <c r="J4" s="214"/>
      <c r="K4" s="214"/>
      <c r="L4" s="214"/>
      <c r="M4" s="214"/>
    </row>
    <row r="5" spans="1:19" x14ac:dyDescent="0.35">
      <c r="A5" s="214" t="s">
        <v>193</v>
      </c>
      <c r="B5" s="214"/>
      <c r="C5" s="214"/>
      <c r="D5" s="214"/>
      <c r="E5" s="214"/>
      <c r="F5" s="214"/>
      <c r="G5" s="214"/>
      <c r="H5" s="214"/>
      <c r="I5" s="214"/>
      <c r="J5" s="214"/>
      <c r="K5" s="214"/>
      <c r="L5" s="214"/>
      <c r="M5" s="214"/>
    </row>
    <row r="7" spans="1:19" x14ac:dyDescent="0.35">
      <c r="A7" s="230" t="s">
        <v>194</v>
      </c>
      <c r="B7" s="230"/>
      <c r="C7" s="230"/>
      <c r="D7" s="230"/>
      <c r="E7" s="230"/>
      <c r="F7" s="230"/>
      <c r="G7" s="230"/>
      <c r="H7" s="230"/>
      <c r="I7" s="230"/>
      <c r="J7" s="230"/>
      <c r="K7" s="230"/>
      <c r="L7" s="230"/>
      <c r="M7" s="230"/>
      <c r="N7" s="230"/>
      <c r="O7" s="230"/>
      <c r="P7" s="230"/>
      <c r="Q7" s="230"/>
      <c r="R7" s="230"/>
      <c r="S7" s="230"/>
    </row>
    <row r="9" spans="1:19" x14ac:dyDescent="0.35">
      <c r="A9" s="76" t="s">
        <v>221</v>
      </c>
      <c r="B9" s="76">
        <v>0.5</v>
      </c>
    </row>
    <row r="10" spans="1:19" x14ac:dyDescent="0.35">
      <c r="A10" s="76" t="s">
        <v>222</v>
      </c>
      <c r="B10" s="76">
        <v>0.5</v>
      </c>
    </row>
    <row r="11" spans="1:19" x14ac:dyDescent="0.35">
      <c r="A11" s="75"/>
      <c r="B11" s="98" t="s">
        <v>195</v>
      </c>
      <c r="C11" s="75"/>
      <c r="D11" s="75"/>
      <c r="E11" s="75"/>
      <c r="F11" s="75"/>
      <c r="G11" s="75"/>
      <c r="H11" s="75"/>
      <c r="I11" s="75"/>
      <c r="J11" s="75"/>
      <c r="K11" s="75"/>
      <c r="L11" s="75"/>
    </row>
    <row r="12" spans="1:19" x14ac:dyDescent="0.35">
      <c r="A12" s="98" t="s">
        <v>84</v>
      </c>
      <c r="B12" s="75">
        <v>0</v>
      </c>
      <c r="C12" s="75">
        <v>1</v>
      </c>
      <c r="D12" s="75">
        <v>2</v>
      </c>
      <c r="E12" s="75">
        <v>3</v>
      </c>
      <c r="F12" s="75">
        <v>4</v>
      </c>
      <c r="G12" s="75">
        <v>5</v>
      </c>
      <c r="H12" s="75">
        <v>6</v>
      </c>
      <c r="I12" s="75">
        <v>7</v>
      </c>
      <c r="J12" s="75">
        <v>8</v>
      </c>
      <c r="K12" s="75">
        <v>9</v>
      </c>
      <c r="L12" s="75">
        <v>10</v>
      </c>
    </row>
    <row r="13" spans="1:19" x14ac:dyDescent="0.35">
      <c r="A13" s="98" t="s">
        <v>196</v>
      </c>
      <c r="B13" s="75">
        <f>B12*$B$9</f>
        <v>0</v>
      </c>
      <c r="C13" s="75">
        <f t="shared" ref="C13:L13" si="0">C12*$B$9</f>
        <v>0.5</v>
      </c>
      <c r="D13" s="75">
        <f t="shared" si="0"/>
        <v>1</v>
      </c>
      <c r="E13" s="75">
        <f t="shared" si="0"/>
        <v>1.5</v>
      </c>
      <c r="F13" s="75">
        <f t="shared" si="0"/>
        <v>2</v>
      </c>
      <c r="G13" s="75">
        <f t="shared" si="0"/>
        <v>2.5</v>
      </c>
      <c r="H13" s="75">
        <f t="shared" si="0"/>
        <v>3</v>
      </c>
      <c r="I13" s="75">
        <f t="shared" si="0"/>
        <v>3.5</v>
      </c>
      <c r="J13" s="75">
        <f t="shared" si="0"/>
        <v>4</v>
      </c>
      <c r="K13" s="75">
        <f t="shared" si="0"/>
        <v>4.5</v>
      </c>
      <c r="L13" s="75">
        <f t="shared" si="0"/>
        <v>5</v>
      </c>
    </row>
    <row r="14" spans="1:19" x14ac:dyDescent="0.35">
      <c r="A14" s="75"/>
      <c r="B14" s="75"/>
      <c r="C14" s="75"/>
      <c r="D14" s="75"/>
      <c r="E14" s="75"/>
      <c r="F14" s="75"/>
      <c r="G14" s="75"/>
      <c r="H14" s="75"/>
      <c r="I14" s="75"/>
      <c r="J14" s="75"/>
      <c r="K14" s="75"/>
      <c r="L14" s="75"/>
    </row>
    <row r="15" spans="1:19" x14ac:dyDescent="0.35">
      <c r="A15" s="75">
        <v>0</v>
      </c>
      <c r="B15" s="75">
        <v>1.7475909979246751E-2</v>
      </c>
      <c r="C15" s="75">
        <v>2.920322611806947E-2</v>
      </c>
      <c r="D15" s="75">
        <v>4.8046507900720847E-2</v>
      </c>
      <c r="E15" s="75">
        <v>6.6886356945823788E-2</v>
      </c>
      <c r="F15" s="75">
        <v>9.2411617308007621E-2</v>
      </c>
      <c r="G15" s="75">
        <v>0.11468006702092826</v>
      </c>
      <c r="H15" s="75">
        <v>0.132469706219982</v>
      </c>
      <c r="I15" s="75">
        <v>0.15147286090085244</v>
      </c>
      <c r="J15" s="75">
        <v>0.181572962017166</v>
      </c>
      <c r="K15" s="75">
        <v>0.22764081424810456</v>
      </c>
      <c r="L15" s="75">
        <v>0.26547794697117411</v>
      </c>
    </row>
    <row r="16" spans="1:19" x14ac:dyDescent="0.35">
      <c r="A16" s="75">
        <v>1</v>
      </c>
      <c r="B16" s="75" t="s">
        <v>197</v>
      </c>
      <c r="C16" s="75">
        <v>2.1530196295929116E-2</v>
      </c>
      <c r="D16" s="75">
        <v>3.5379486491364798E-2</v>
      </c>
      <c r="E16" s="75">
        <v>4.919300114879821E-2</v>
      </c>
      <c r="F16" s="75">
        <v>6.7855946981184356E-2</v>
      </c>
      <c r="G16" s="75">
        <v>8.4089103963082668E-2</v>
      </c>
      <c r="H16" s="75">
        <v>9.7025231933756118E-2</v>
      </c>
      <c r="I16" s="75">
        <v>0.11081268039069414</v>
      </c>
      <c r="J16" s="75">
        <v>0.13258643228182132</v>
      </c>
      <c r="K16" s="75">
        <v>0.16575959710386901</v>
      </c>
      <c r="L16" s="75">
        <v>0.19287191709525331</v>
      </c>
    </row>
    <row r="17" spans="1:19" x14ac:dyDescent="0.35">
      <c r="A17" s="75">
        <v>2</v>
      </c>
      <c r="B17" s="75" t="s">
        <v>197</v>
      </c>
      <c r="C17" s="75" t="s">
        <v>197</v>
      </c>
      <c r="D17" s="75">
        <v>2.6073264771119931E-2</v>
      </c>
      <c r="E17" s="75">
        <v>3.622104992952524E-2</v>
      </c>
      <c r="F17" s="75">
        <v>4.9903019106437796E-2</v>
      </c>
      <c r="G17" s="75">
        <v>6.1777463467123095E-2</v>
      </c>
      <c r="H17" s="75">
        <v>7.1222852913554568E-2</v>
      </c>
      <c r="I17" s="75">
        <v>8.1273091330517744E-2</v>
      </c>
      <c r="J17" s="75">
        <v>9.7110018501401996E-2</v>
      </c>
      <c r="K17" s="75">
        <v>0.12115725002707212</v>
      </c>
      <c r="L17" s="75">
        <v>0.14073954293680435</v>
      </c>
    </row>
    <row r="18" spans="1:19" x14ac:dyDescent="0.35">
      <c r="A18" s="75">
        <v>3</v>
      </c>
      <c r="B18" s="75" t="s">
        <v>197</v>
      </c>
      <c r="C18" s="75" t="s">
        <v>197</v>
      </c>
      <c r="D18" s="75" t="s">
        <v>197</v>
      </c>
      <c r="E18" s="75">
        <v>2.6692014031089784E-2</v>
      </c>
      <c r="F18" s="75">
        <v>3.6742164567572733E-2</v>
      </c>
      <c r="G18" s="75">
        <v>4.5450387022127892E-2</v>
      </c>
      <c r="H18" s="75">
        <v>5.2367884515379437E-2</v>
      </c>
      <c r="I18" s="75">
        <v>5.9719307117475751E-2</v>
      </c>
      <c r="J18" s="75">
        <v>7.1284710002064156E-2</v>
      </c>
      <c r="K18" s="75">
        <v>8.8802410496379824E-2</v>
      </c>
      <c r="L18" s="75">
        <v>0.10302921534199605</v>
      </c>
    </row>
    <row r="19" spans="1:19" x14ac:dyDescent="0.35">
      <c r="A19" s="75">
        <v>4</v>
      </c>
      <c r="B19" s="75" t="s">
        <v>197</v>
      </c>
      <c r="C19" s="75" t="s">
        <v>197</v>
      </c>
      <c r="D19" s="75" t="s">
        <v>197</v>
      </c>
      <c r="E19" s="75" t="s">
        <v>197</v>
      </c>
      <c r="F19" s="75">
        <v>2.7075123711031601E-2</v>
      </c>
      <c r="G19" s="75">
        <v>3.3473393871533919E-2</v>
      </c>
      <c r="H19" s="75">
        <v>3.855087599172391E-2</v>
      </c>
      <c r="I19" s="75">
        <v>4.3941961966867282E-2</v>
      </c>
      <c r="J19" s="75">
        <v>5.2413159436517809E-2</v>
      </c>
      <c r="K19" s="75">
        <v>6.5220681231908273E-2</v>
      </c>
      <c r="L19" s="75">
        <v>7.5601519544077789E-2</v>
      </c>
    </row>
    <row r="20" spans="1:19" x14ac:dyDescent="0.35">
      <c r="A20" s="75">
        <v>5</v>
      </c>
      <c r="B20" s="75" t="s">
        <v>197</v>
      </c>
      <c r="C20" s="75" t="s">
        <v>197</v>
      </c>
      <c r="D20" s="75" t="s">
        <v>197</v>
      </c>
      <c r="E20" s="75" t="s">
        <v>197</v>
      </c>
      <c r="F20" s="75" t="s">
        <v>197</v>
      </c>
      <c r="G20" s="75">
        <v>2.4671586124137335E-2</v>
      </c>
      <c r="H20" s="75">
        <v>2.8404641744045556E-2</v>
      </c>
      <c r="I20" s="75">
        <v>3.23656057977324E-2</v>
      </c>
      <c r="J20" s="75">
        <v>3.8584093292324262E-2</v>
      </c>
      <c r="K20" s="75">
        <v>4.7973045596142239E-2</v>
      </c>
      <c r="L20" s="75">
        <v>5.5571880188587386E-2</v>
      </c>
    </row>
    <row r="21" spans="1:19" x14ac:dyDescent="0.35">
      <c r="A21" s="75">
        <v>6</v>
      </c>
      <c r="B21" s="75" t="s">
        <v>197</v>
      </c>
      <c r="C21" s="75" t="s">
        <v>197</v>
      </c>
      <c r="D21" s="75" t="s">
        <v>197</v>
      </c>
      <c r="E21" s="75" t="s">
        <v>197</v>
      </c>
      <c r="F21" s="75" t="s">
        <v>197</v>
      </c>
      <c r="G21" s="75" t="s">
        <v>197</v>
      </c>
      <c r="H21" s="75">
        <v>2.0942518373710861E-2</v>
      </c>
      <c r="I21" s="75">
        <v>2.3856796963421356E-2</v>
      </c>
      <c r="J21" s="75">
        <v>2.842905569089238E-2</v>
      </c>
      <c r="K21" s="75">
        <v>3.5325558567085746E-2</v>
      </c>
      <c r="L21" s="75">
        <v>4.0901110841546462E-2</v>
      </c>
    </row>
    <row r="22" spans="1:19" x14ac:dyDescent="0.35">
      <c r="A22" s="75">
        <v>7</v>
      </c>
      <c r="B22" s="75" t="s">
        <v>197</v>
      </c>
      <c r="C22" s="75" t="s">
        <v>197</v>
      </c>
      <c r="D22" s="75" t="s">
        <v>197</v>
      </c>
      <c r="E22" s="75" t="s">
        <v>197</v>
      </c>
      <c r="F22" s="75" t="s">
        <v>197</v>
      </c>
      <c r="G22" s="75" t="s">
        <v>197</v>
      </c>
      <c r="H22" s="75" t="s">
        <v>197</v>
      </c>
      <c r="I22" s="75">
        <v>1.7594607553565123E-2</v>
      </c>
      <c r="J22" s="75">
        <v>2.0960485483378921E-2</v>
      </c>
      <c r="K22" s="75">
        <v>2.6033612642864412E-2</v>
      </c>
      <c r="L22" s="75">
        <v>3.0131753515136861E-2</v>
      </c>
    </row>
    <row r="23" spans="1:19" x14ac:dyDescent="0.35">
      <c r="A23" s="75">
        <v>8</v>
      </c>
      <c r="B23" s="75" t="s">
        <v>197</v>
      </c>
      <c r="C23" s="75" t="s">
        <v>197</v>
      </c>
      <c r="D23" s="75" t="s">
        <v>197</v>
      </c>
      <c r="E23" s="75" t="s">
        <v>197</v>
      </c>
      <c r="F23" s="75" t="s">
        <v>197</v>
      </c>
      <c r="G23" s="75" t="s">
        <v>197</v>
      </c>
      <c r="H23" s="75" t="s">
        <v>197</v>
      </c>
      <c r="I23" s="75" t="s">
        <v>197</v>
      </c>
      <c r="J23" s="75">
        <v>1.546145364086593E-2</v>
      </c>
      <c r="K23" s="75">
        <v>1.919732258945217E-2</v>
      </c>
      <c r="L23" s="75">
        <v>2.2213423246571384E-2</v>
      </c>
    </row>
    <row r="24" spans="1:19" x14ac:dyDescent="0.35">
      <c r="A24" s="75">
        <v>9</v>
      </c>
      <c r="B24" s="75" t="s">
        <v>197</v>
      </c>
      <c r="C24" s="75" t="s">
        <v>197</v>
      </c>
      <c r="D24" s="75" t="s">
        <v>197</v>
      </c>
      <c r="E24" s="75" t="s">
        <v>197</v>
      </c>
      <c r="F24" s="75" t="s">
        <v>197</v>
      </c>
      <c r="G24" s="75" t="s">
        <v>197</v>
      </c>
      <c r="H24" s="75" t="s">
        <v>197</v>
      </c>
      <c r="I24" s="75" t="s">
        <v>197</v>
      </c>
      <c r="J24" s="75" t="s">
        <v>197</v>
      </c>
      <c r="K24" s="75">
        <v>1.4162480473365768E-2</v>
      </c>
      <c r="L24" s="75">
        <v>1.6384349163720113E-2</v>
      </c>
    </row>
    <row r="25" spans="1:19" x14ac:dyDescent="0.35">
      <c r="A25" s="75">
        <v>10</v>
      </c>
      <c r="B25" s="75" t="s">
        <v>197</v>
      </c>
      <c r="C25" s="75" t="s">
        <v>197</v>
      </c>
      <c r="D25" s="75" t="s">
        <v>197</v>
      </c>
      <c r="E25" s="75" t="s">
        <v>197</v>
      </c>
      <c r="F25" s="75" t="s">
        <v>197</v>
      </c>
      <c r="G25" s="75" t="s">
        <v>197</v>
      </c>
      <c r="H25" s="75" t="s">
        <v>197</v>
      </c>
      <c r="I25" s="75" t="s">
        <v>197</v>
      </c>
      <c r="J25" s="75" t="s">
        <v>197</v>
      </c>
      <c r="K25" s="75" t="s">
        <v>197</v>
      </c>
      <c r="L25" s="75">
        <v>1.2089467547789834E-2</v>
      </c>
    </row>
    <row r="28" spans="1:19" x14ac:dyDescent="0.35">
      <c r="A28" s="209" t="s">
        <v>198</v>
      </c>
      <c r="B28" s="209"/>
      <c r="C28" s="209"/>
      <c r="D28" s="209"/>
      <c r="E28" s="209"/>
      <c r="F28" s="209"/>
      <c r="G28" s="209"/>
      <c r="H28" s="209"/>
      <c r="I28" s="209"/>
      <c r="J28" s="209"/>
      <c r="K28" s="209"/>
      <c r="L28" s="209"/>
      <c r="M28" s="209"/>
      <c r="N28" s="209"/>
      <c r="O28" s="209"/>
      <c r="P28" s="209"/>
      <c r="Q28" s="209"/>
      <c r="R28" s="209"/>
      <c r="S28" s="209"/>
    </row>
    <row r="30" spans="1:19" x14ac:dyDescent="0.35">
      <c r="A30" s="230" t="s">
        <v>291</v>
      </c>
      <c r="B30" s="230"/>
      <c r="C30" s="230"/>
      <c r="D30" s="230"/>
      <c r="E30" s="230"/>
      <c r="F30" s="230"/>
      <c r="G30" s="230"/>
      <c r="H30" s="230"/>
      <c r="I30" s="230"/>
    </row>
    <row r="32" spans="1:19" x14ac:dyDescent="0.35">
      <c r="A32" s="76" t="s">
        <v>120</v>
      </c>
      <c r="B32" s="121">
        <v>100</v>
      </c>
    </row>
    <row r="33" spans="1:5" x14ac:dyDescent="0.35">
      <c r="A33" s="76" t="s">
        <v>134</v>
      </c>
      <c r="B33" s="121">
        <v>0</v>
      </c>
    </row>
    <row r="34" spans="1:5" x14ac:dyDescent="0.35">
      <c r="A34" s="76" t="s">
        <v>115</v>
      </c>
      <c r="B34" s="76">
        <v>2</v>
      </c>
      <c r="E34" s="111"/>
    </row>
    <row r="36" spans="1:5" x14ac:dyDescent="0.35">
      <c r="A36" s="81" t="s">
        <v>199</v>
      </c>
      <c r="B36" s="81" t="s">
        <v>200</v>
      </c>
      <c r="C36" s="81" t="s">
        <v>201</v>
      </c>
      <c r="D36" s="197" t="s">
        <v>202</v>
      </c>
    </row>
    <row r="37" spans="1:5" x14ac:dyDescent="0.35">
      <c r="A37" s="76" cm="1">
        <f t="array" ref="A37:A46">A16:A25</f>
        <v>1</v>
      </c>
      <c r="B37" s="76">
        <f t="array" ref="B37:B46">TRANSPOSE(C13:L13)</f>
        <v>0.5</v>
      </c>
      <c r="C37" s="121">
        <f t="shared" ref="C37:C46" si="1">BondBin($B$32,B37,$B$33,$B$34,$B$9,prob,$B$15:$L$25)</f>
        <v>99.133773548779246</v>
      </c>
      <c r="D37" s="198">
        <f>(($B$32/C37)^(1/A37)-1)*2</f>
        <v>1.7475909979246751E-2</v>
      </c>
    </row>
    <row r="38" spans="1:5" x14ac:dyDescent="0.35">
      <c r="A38" s="76">
        <v>2</v>
      </c>
      <c r="B38" s="76">
        <v>1</v>
      </c>
      <c r="C38" s="121">
        <f t="shared" si="1"/>
        <v>97.892523566196559</v>
      </c>
      <c r="D38" s="198">
        <f t="shared" ref="D38:D46" si="2">(($B$32/C38)^(1/A38)-1)*2</f>
        <v>2.1413833739093668E-2</v>
      </c>
    </row>
    <row r="39" spans="1:5" x14ac:dyDescent="0.35">
      <c r="A39" s="76">
        <v>3</v>
      </c>
      <c r="B39" s="76">
        <v>1.5</v>
      </c>
      <c r="C39" s="121">
        <f t="shared" si="1"/>
        <v>96.153144938325639</v>
      </c>
      <c r="D39" s="198">
        <f t="shared" si="2"/>
        <v>2.6323733403120109E-2</v>
      </c>
    </row>
    <row r="40" spans="1:5" x14ac:dyDescent="0.35">
      <c r="A40" s="76">
        <v>4</v>
      </c>
      <c r="B40" s="76">
        <v>2</v>
      </c>
      <c r="C40" s="121">
        <f t="shared" si="1"/>
        <v>94.101142878304671</v>
      </c>
      <c r="D40" s="198">
        <f t="shared" si="2"/>
        <v>3.0632212075052401E-2</v>
      </c>
    </row>
    <row r="41" spans="1:5" x14ac:dyDescent="0.35">
      <c r="A41" s="76">
        <v>5</v>
      </c>
      <c r="B41" s="76">
        <v>2.5</v>
      </c>
      <c r="C41" s="121">
        <f t="shared" si="1"/>
        <v>91.713555012921788</v>
      </c>
      <c r="D41" s="198">
        <f t="shared" si="2"/>
        <v>3.4901022799481485E-2</v>
      </c>
    </row>
    <row r="42" spans="1:5" x14ac:dyDescent="0.35">
      <c r="A42" s="76">
        <v>6</v>
      </c>
      <c r="B42" s="76">
        <v>3</v>
      </c>
      <c r="C42" s="121">
        <f t="shared" si="1"/>
        <v>89.225795662443957</v>
      </c>
      <c r="D42" s="198">
        <f t="shared" si="2"/>
        <v>3.8363296952287573E-2</v>
      </c>
    </row>
    <row r="43" spans="1:5" x14ac:dyDescent="0.35">
      <c r="A43" s="76">
        <v>7</v>
      </c>
      <c r="B43" s="76">
        <v>3.5</v>
      </c>
      <c r="C43" s="121">
        <f t="shared" si="1"/>
        <v>86.814198761307154</v>
      </c>
      <c r="D43" s="198">
        <f t="shared" si="2"/>
        <v>4.0810800671487346E-2</v>
      </c>
    </row>
    <row r="44" spans="1:5" x14ac:dyDescent="0.35">
      <c r="A44" s="76">
        <v>8</v>
      </c>
      <c r="B44" s="76">
        <v>4</v>
      </c>
      <c r="C44" s="121">
        <f t="shared" si="1"/>
        <v>84.5015763575325</v>
      </c>
      <c r="D44" s="198">
        <f t="shared" si="2"/>
        <v>4.2546227185723318E-2</v>
      </c>
    </row>
    <row r="45" spans="1:5" x14ac:dyDescent="0.35">
      <c r="A45" s="76">
        <v>9</v>
      </c>
      <c r="B45" s="76">
        <v>4.5</v>
      </c>
      <c r="C45" s="121">
        <f t="shared" si="1"/>
        <v>82.184785097264296</v>
      </c>
      <c r="D45" s="198">
        <f t="shared" si="2"/>
        <v>4.4078711677882687E-2</v>
      </c>
    </row>
    <row r="46" spans="1:5" x14ac:dyDescent="0.35">
      <c r="A46" s="76">
        <v>10</v>
      </c>
      <c r="B46" s="76">
        <v>5</v>
      </c>
      <c r="C46" s="121">
        <f t="shared" si="1"/>
        <v>79.7718102122179</v>
      </c>
      <c r="D46" s="198">
        <f t="shared" si="2"/>
        <v>4.5714629446547139E-2</v>
      </c>
    </row>
    <row r="49" spans="1:19" x14ac:dyDescent="0.35">
      <c r="A49" s="209" t="s">
        <v>204</v>
      </c>
      <c r="B49" s="209"/>
      <c r="C49" s="209"/>
      <c r="D49" s="209"/>
      <c r="E49" s="209"/>
      <c r="F49" s="209"/>
      <c r="G49" s="209"/>
      <c r="H49" s="209"/>
      <c r="I49" s="209"/>
      <c r="J49" s="209"/>
      <c r="K49" s="209"/>
      <c r="L49" s="209"/>
      <c r="M49" s="209"/>
      <c r="N49" s="209"/>
      <c r="O49" s="209"/>
      <c r="P49" s="209"/>
      <c r="Q49" s="209"/>
      <c r="R49" s="209"/>
      <c r="S49" s="209"/>
    </row>
    <row r="50" spans="1:19" x14ac:dyDescent="0.35">
      <c r="A50" s="209" t="s">
        <v>203</v>
      </c>
      <c r="B50" s="209"/>
      <c r="C50" s="209"/>
      <c r="D50" s="209"/>
      <c r="E50" s="209"/>
      <c r="F50" s="209"/>
      <c r="G50" s="209"/>
      <c r="H50" s="209"/>
      <c r="I50" s="209"/>
      <c r="J50" s="209"/>
      <c r="K50" s="209"/>
      <c r="L50" s="209"/>
      <c r="M50" s="209"/>
      <c r="N50" s="209"/>
      <c r="O50" s="209"/>
      <c r="P50" s="209"/>
      <c r="Q50" s="209"/>
      <c r="R50" s="209"/>
      <c r="S50" s="209"/>
    </row>
    <row r="52" spans="1:19" x14ac:dyDescent="0.35">
      <c r="A52" s="209" t="s">
        <v>310</v>
      </c>
      <c r="B52" s="209"/>
      <c r="C52" s="209"/>
      <c r="D52" s="209"/>
      <c r="E52" s="209"/>
      <c r="F52" s="209"/>
      <c r="G52" s="209"/>
      <c r="H52" s="209"/>
      <c r="I52" s="209"/>
      <c r="J52" s="209"/>
      <c r="K52" s="209"/>
      <c r="L52" s="209"/>
      <c r="M52" s="209"/>
      <c r="N52" s="209"/>
      <c r="O52" s="209"/>
      <c r="P52" s="209"/>
      <c r="Q52" s="209"/>
      <c r="R52" s="209"/>
      <c r="S52" s="209"/>
    </row>
    <row r="54" spans="1:19" x14ac:dyDescent="0.35">
      <c r="A54" s="229" t="s">
        <v>123</v>
      </c>
      <c r="B54" s="229"/>
      <c r="C54" s="75">
        <v>5</v>
      </c>
    </row>
    <row r="55" spans="1:19" x14ac:dyDescent="0.35">
      <c r="A55" s="229" t="s">
        <v>118</v>
      </c>
      <c r="B55" s="229"/>
      <c r="C55" s="139">
        <v>100</v>
      </c>
    </row>
    <row r="56" spans="1:19" x14ac:dyDescent="0.35">
      <c r="A56" s="229" t="s">
        <v>117</v>
      </c>
      <c r="B56" s="229"/>
      <c r="C56" s="108">
        <v>5.2499999999999998E-2</v>
      </c>
    </row>
    <row r="57" spans="1:19" x14ac:dyDescent="0.35">
      <c r="A57" s="229" t="s">
        <v>114</v>
      </c>
      <c r="B57" s="229"/>
      <c r="C57" s="75">
        <v>2</v>
      </c>
    </row>
    <row r="58" spans="1:19" x14ac:dyDescent="0.35">
      <c r="A58" s="215" t="s">
        <v>207</v>
      </c>
      <c r="B58" s="215"/>
      <c r="C58" s="121">
        <f>par*couponrate/frequency</f>
        <v>2.625</v>
      </c>
    </row>
    <row r="60" spans="1:19" x14ac:dyDescent="0.35">
      <c r="B60" s="81" t="s">
        <v>195</v>
      </c>
    </row>
    <row r="61" spans="1:19" x14ac:dyDescent="0.35">
      <c r="A61" s="81" t="s">
        <v>84</v>
      </c>
      <c r="B61" s="76">
        <v>0</v>
      </c>
      <c r="C61" s="76">
        <f>B61+1</f>
        <v>1</v>
      </c>
      <c r="D61" s="76">
        <f t="shared" ref="D61:L61" si="3">C61+1</f>
        <v>2</v>
      </c>
      <c r="E61" s="76">
        <f t="shared" si="3"/>
        <v>3</v>
      </c>
      <c r="F61" s="76">
        <f t="shared" si="3"/>
        <v>4</v>
      </c>
      <c r="G61" s="76">
        <f t="shared" si="3"/>
        <v>5</v>
      </c>
      <c r="H61" s="76">
        <f t="shared" si="3"/>
        <v>6</v>
      </c>
      <c r="I61" s="76">
        <f t="shared" si="3"/>
        <v>7</v>
      </c>
      <c r="J61" s="76">
        <f t="shared" si="3"/>
        <v>8</v>
      </c>
      <c r="K61" s="76">
        <f t="shared" si="3"/>
        <v>9</v>
      </c>
      <c r="L61" s="76">
        <f t="shared" si="3"/>
        <v>10</v>
      </c>
    </row>
    <row r="62" spans="1:19" x14ac:dyDescent="0.35">
      <c r="A62" s="81" t="s">
        <v>205</v>
      </c>
      <c r="B62" s="76">
        <f>B61*$B$9</f>
        <v>0</v>
      </c>
      <c r="C62" s="76">
        <f t="shared" ref="C62:L62" si="4">C61*$B$9</f>
        <v>0.5</v>
      </c>
      <c r="D62" s="76">
        <f t="shared" si="4"/>
        <v>1</v>
      </c>
      <c r="E62" s="76">
        <f t="shared" si="4"/>
        <v>1.5</v>
      </c>
      <c r="F62" s="76">
        <f t="shared" si="4"/>
        <v>2</v>
      </c>
      <c r="G62" s="76">
        <f t="shared" si="4"/>
        <v>2.5</v>
      </c>
      <c r="H62" s="76">
        <f t="shared" si="4"/>
        <v>3</v>
      </c>
      <c r="I62" s="76">
        <f t="shared" si="4"/>
        <v>3.5</v>
      </c>
      <c r="J62" s="76">
        <f t="shared" si="4"/>
        <v>4</v>
      </c>
      <c r="K62" s="76">
        <f t="shared" si="4"/>
        <v>4.5</v>
      </c>
      <c r="L62" s="76">
        <f t="shared" si="4"/>
        <v>5</v>
      </c>
    </row>
    <row r="64" spans="1:19" x14ac:dyDescent="0.35">
      <c r="A64" s="76">
        <v>0</v>
      </c>
      <c r="B64" s="143">
        <f t="shared" ref="B64:L64" si="5">IF(B$62&gt;maturity,"",IF($A64&gt;B$61,"",IF(B$62=maturity,par,(prob*(coupon_per_period+C64)+(1-prob)*(coupon_per_period+C65))/(1+B15/2))))</f>
        <v>103.43598324564438</v>
      </c>
      <c r="C64" s="121">
        <f t="shared" si="5"/>
        <v>98.770480980530053</v>
      </c>
      <c r="D64" s="121">
        <f t="shared" si="5"/>
        <v>94.468130879200743</v>
      </c>
      <c r="E64" s="121">
        <f t="shared" si="5"/>
        <v>90.897316595617866</v>
      </c>
      <c r="F64" s="121">
        <f t="shared" si="5"/>
        <v>88.079725394880612</v>
      </c>
      <c r="G64" s="121">
        <f t="shared" si="5"/>
        <v>86.390926743196175</v>
      </c>
      <c r="H64" s="121">
        <f t="shared" si="5"/>
        <v>85.799915060553616</v>
      </c>
      <c r="I64" s="121">
        <f t="shared" si="5"/>
        <v>86.269780789550865</v>
      </c>
      <c r="J64" s="121">
        <f t="shared" si="5"/>
        <v>88.082444266159911</v>
      </c>
      <c r="K64" s="121">
        <f t="shared" si="5"/>
        <v>92.137834199845187</v>
      </c>
      <c r="L64" s="121">
        <f t="shared" si="5"/>
        <v>100</v>
      </c>
    </row>
    <row r="65" spans="1:19" x14ac:dyDescent="0.35">
      <c r="A65" s="76">
        <f>A64+1</f>
        <v>1</v>
      </c>
      <c r="B65" s="121" t="str">
        <f t="shared" ref="B65:L65" si="6">IF(B$62&gt;maturity,"",IF($A65&gt;B$61,"",IF(B$62=maturity,par,(prob*(coupon_per_period+C65)+(1-prob)*(coupon_per_period+C66))/(1+B16/2))))</f>
        <v/>
      </c>
      <c r="C65" s="121">
        <f t="shared" si="6"/>
        <v>104.65912344257445</v>
      </c>
      <c r="D65" s="121">
        <f t="shared" si="6"/>
        <v>100.70724777172427</v>
      </c>
      <c r="E65" s="121">
        <f t="shared" si="6"/>
        <v>97.327808959437462</v>
      </c>
      <c r="F65" s="121">
        <f t="shared" si="6"/>
        <v>94.544698159587156</v>
      </c>
      <c r="G65" s="121">
        <f t="shared" si="6"/>
        <v>92.658113922351149</v>
      </c>
      <c r="H65" s="121">
        <f t="shared" si="6"/>
        <v>91.639255694748599</v>
      </c>
      <c r="I65" s="121">
        <f t="shared" si="6"/>
        <v>91.445938873327307</v>
      </c>
      <c r="J65" s="121">
        <f t="shared" si="6"/>
        <v>92.274647818424498</v>
      </c>
      <c r="K65" s="121">
        <f t="shared" si="6"/>
        <v>94.770444639593251</v>
      </c>
      <c r="L65" s="121">
        <f t="shared" si="6"/>
        <v>100</v>
      </c>
    </row>
    <row r="66" spans="1:19" x14ac:dyDescent="0.35">
      <c r="A66" s="76">
        <f t="shared" ref="A66:A74" si="7">A65+1</f>
        <v>2</v>
      </c>
      <c r="B66" s="121" t="str">
        <f t="shared" ref="B66:L66" si="8">IF(B$62&gt;maturity,"",IF($A66&gt;B$61,"",IF(B$62=maturity,par,(prob*(coupon_per_period+C66)+(1-prob)*(coupon_per_period+C67))/(1+B17/2))))</f>
        <v/>
      </c>
      <c r="C66" s="121" t="str">
        <f t="shared" si="8"/>
        <v/>
      </c>
      <c r="D66" s="121">
        <f t="shared" si="8"/>
        <v>105.61433058530314</v>
      </c>
      <c r="E66" s="121">
        <f t="shared" si="8"/>
        <v>102.39965729613334</v>
      </c>
      <c r="F66" s="121">
        <f t="shared" si="8"/>
        <v>99.648766777239388</v>
      </c>
      <c r="G66" s="121">
        <f t="shared" si="8"/>
        <v>97.5967024224922</v>
      </c>
      <c r="H66" s="121">
        <f t="shared" si="8"/>
        <v>96.218509924593448</v>
      </c>
      <c r="I66" s="121">
        <f t="shared" si="8"/>
        <v>95.473892554189632</v>
      </c>
      <c r="J66" s="121">
        <f t="shared" si="8"/>
        <v>95.500599525627081</v>
      </c>
      <c r="K66" s="121">
        <f t="shared" si="8"/>
        <v>96.763217341562211</v>
      </c>
      <c r="L66" s="121">
        <f t="shared" si="8"/>
        <v>100</v>
      </c>
    </row>
    <row r="67" spans="1:19" x14ac:dyDescent="0.35">
      <c r="A67" s="76">
        <f t="shared" si="7"/>
        <v>3</v>
      </c>
      <c r="B67" s="121" t="str">
        <f t="shared" ref="B67:L67" si="9">IF(B$62&gt;maturity,"",IF($A67&gt;B$61,"",IF(B$62=maturity,par,(prob*(coupon_per_period+C67)+(1-prob)*(coupon_per_period+C68))/(1+B18/2))))</f>
        <v/>
      </c>
      <c r="C67" s="121" t="str">
        <f t="shared" si="9"/>
        <v/>
      </c>
      <c r="D67" s="121" t="str">
        <f t="shared" si="9"/>
        <v/>
      </c>
      <c r="E67" s="121">
        <f t="shared" si="9"/>
        <v>106.33271427944814</v>
      </c>
      <c r="F67" s="121">
        <f t="shared" si="9"/>
        <v>103.60957091471681</v>
      </c>
      <c r="G67" s="121">
        <f t="shared" si="9"/>
        <v>101.42360544440412</v>
      </c>
      <c r="H67" s="121">
        <f t="shared" si="9"/>
        <v>99.75417163880816</v>
      </c>
      <c r="I67" s="121">
        <f t="shared" si="9"/>
        <v>98.566084074917967</v>
      </c>
      <c r="J67" s="121">
        <f t="shared" si="9"/>
        <v>97.956643971988882</v>
      </c>
      <c r="K67" s="121">
        <f t="shared" si="9"/>
        <v>98.262046696520571</v>
      </c>
      <c r="L67" s="121">
        <f t="shared" si="9"/>
        <v>100</v>
      </c>
    </row>
    <row r="68" spans="1:19" x14ac:dyDescent="0.35">
      <c r="A68" s="76">
        <f t="shared" si="7"/>
        <v>4</v>
      </c>
      <c r="B68" s="121" t="str">
        <f t="shared" ref="B68:L68" si="10">IF(B$62&gt;maturity,"",IF($A68&gt;B$61,"",IF(B$62=maturity,par,(prob*(coupon_per_period+C68)+(1-prob)*(coupon_per_period+C69))/(1+B19/2))))</f>
        <v/>
      </c>
      <c r="C68" s="121" t="str">
        <f t="shared" si="10"/>
        <v/>
      </c>
      <c r="D68" s="121" t="str">
        <f t="shared" si="10"/>
        <v/>
      </c>
      <c r="E68" s="121" t="str">
        <f t="shared" si="10"/>
        <v/>
      </c>
      <c r="F68" s="121">
        <f t="shared" si="10"/>
        <v>106.64409194569035</v>
      </c>
      <c r="G68" s="121">
        <f t="shared" si="10"/>
        <v>104.35237629035365</v>
      </c>
      <c r="H68" s="121">
        <f t="shared" si="10"/>
        <v>102.45278137062783</v>
      </c>
      <c r="I68" s="121">
        <f t="shared" si="10"/>
        <v>100.9161741430068</v>
      </c>
      <c r="J68" s="121">
        <f t="shared" si="10"/>
        <v>99.811822424083999</v>
      </c>
      <c r="K68" s="121">
        <f t="shared" si="10"/>
        <v>99.384052205775888</v>
      </c>
      <c r="L68" s="121">
        <f t="shared" si="10"/>
        <v>100</v>
      </c>
    </row>
    <row r="69" spans="1:19" x14ac:dyDescent="0.35">
      <c r="A69" s="76">
        <f t="shared" si="7"/>
        <v>5</v>
      </c>
      <c r="B69" s="121" t="str">
        <f t="shared" ref="B69:L69" si="11">IF(B$62&gt;maturity,"",IF($A69&gt;B$61,"",IF(B$62=maturity,par,(prob*(coupon_per_period+C69)+(1-prob)*(coupon_per_period+C70))/(1+B20/2))))</f>
        <v/>
      </c>
      <c r="C69" s="121" t="str">
        <f t="shared" si="11"/>
        <v/>
      </c>
      <c r="D69" s="121" t="str">
        <f t="shared" si="11"/>
        <v/>
      </c>
      <c r="E69" s="121" t="str">
        <f t="shared" si="11"/>
        <v/>
      </c>
      <c r="F69" s="121" t="str">
        <f t="shared" si="11"/>
        <v/>
      </c>
      <c r="G69" s="121">
        <f t="shared" si="11"/>
        <v>106.57320958350722</v>
      </c>
      <c r="H69" s="121">
        <f t="shared" si="11"/>
        <v>104.49499940307697</v>
      </c>
      <c r="I69" s="121">
        <f t="shared" si="11"/>
        <v>102.68903306787513</v>
      </c>
      <c r="J69" s="121">
        <f t="shared" si="11"/>
        <v>101.20498054796337</v>
      </c>
      <c r="K69" s="121">
        <f t="shared" si="11"/>
        <v>100.22104560475502</v>
      </c>
      <c r="L69" s="121">
        <f t="shared" si="11"/>
        <v>100</v>
      </c>
    </row>
    <row r="70" spans="1:19" x14ac:dyDescent="0.35">
      <c r="A70" s="76">
        <f t="shared" si="7"/>
        <v>6</v>
      </c>
      <c r="B70" s="121" t="str">
        <f t="shared" ref="B70:L70" si="12">IF(B$62&gt;maturity,"",IF($A70&gt;B$61,"",IF(B$62=maturity,par,(prob*(coupon_per_period+C70)+(1-prob)*(coupon_per_period+C71))/(1+B21/2))))</f>
        <v/>
      </c>
      <c r="C70" s="121" t="str">
        <f t="shared" si="12"/>
        <v/>
      </c>
      <c r="D70" s="121" t="str">
        <f t="shared" si="12"/>
        <v/>
      </c>
      <c r="E70" s="121" t="str">
        <f t="shared" si="12"/>
        <v/>
      </c>
      <c r="F70" s="121" t="str">
        <f t="shared" si="12"/>
        <v/>
      </c>
      <c r="G70" s="121" t="str">
        <f t="shared" si="12"/>
        <v/>
      </c>
      <c r="H70" s="121">
        <f t="shared" si="12"/>
        <v>106.03074988270271</v>
      </c>
      <c r="I70" s="121">
        <f t="shared" si="12"/>
        <v>104.01910876036749</v>
      </c>
      <c r="J70" s="121">
        <f t="shared" si="12"/>
        <v>102.24667835181205</v>
      </c>
      <c r="K70" s="121">
        <f t="shared" si="12"/>
        <v>100.8438179022822</v>
      </c>
      <c r="L70" s="121">
        <f t="shared" si="12"/>
        <v>100</v>
      </c>
    </row>
    <row r="71" spans="1:19" x14ac:dyDescent="0.35">
      <c r="A71" s="76">
        <f t="shared" si="7"/>
        <v>7</v>
      </c>
      <c r="B71" s="121" t="str">
        <f t="shared" ref="B71:L71" si="13">IF(B$62&gt;maturity,"",IF($A71&gt;B$61,"",IF(B$62=maturity,par,(prob*(coupon_per_period+C71)+(1-prob)*(coupon_per_period+C72))/(1+B22/2))))</f>
        <v/>
      </c>
      <c r="C71" s="121" t="str">
        <f t="shared" si="13"/>
        <v/>
      </c>
      <c r="D71" s="121" t="str">
        <f t="shared" si="13"/>
        <v/>
      </c>
      <c r="E71" s="121" t="str">
        <f t="shared" si="13"/>
        <v/>
      </c>
      <c r="F71" s="121" t="str">
        <f t="shared" si="13"/>
        <v/>
      </c>
      <c r="G71" s="121" t="str">
        <f t="shared" si="13"/>
        <v/>
      </c>
      <c r="H71" s="121" t="str">
        <f t="shared" si="13"/>
        <v/>
      </c>
      <c r="I71" s="121">
        <f t="shared" si="13"/>
        <v>105.01294193263475</v>
      </c>
      <c r="J71" s="121">
        <f t="shared" si="13"/>
        <v>103.02310192693506</v>
      </c>
      <c r="K71" s="121">
        <f t="shared" si="13"/>
        <v>101.30631531441433</v>
      </c>
      <c r="L71" s="121">
        <f t="shared" si="13"/>
        <v>100</v>
      </c>
    </row>
    <row r="72" spans="1:19" x14ac:dyDescent="0.35">
      <c r="A72" s="76">
        <f t="shared" si="7"/>
        <v>8</v>
      </c>
      <c r="B72" s="121" t="str">
        <f t="shared" ref="B72:L72" si="14">IF(B$62&gt;maturity,"",IF($A72&gt;B$61,"",IF(B$62=maturity,par,(prob*(coupon_per_period+C72)+(1-prob)*(coupon_per_period+C73))/(1+B23/2))))</f>
        <v/>
      </c>
      <c r="C72" s="121" t="str">
        <f t="shared" si="14"/>
        <v/>
      </c>
      <c r="D72" s="121" t="str">
        <f t="shared" si="14"/>
        <v/>
      </c>
      <c r="E72" s="121" t="str">
        <f t="shared" si="14"/>
        <v/>
      </c>
      <c r="F72" s="121" t="str">
        <f t="shared" si="14"/>
        <v/>
      </c>
      <c r="G72" s="121" t="str">
        <f t="shared" si="14"/>
        <v/>
      </c>
      <c r="H72" s="121" t="str">
        <f t="shared" si="14"/>
        <v/>
      </c>
      <c r="I72" s="121" t="str">
        <f t="shared" si="14"/>
        <v/>
      </c>
      <c r="J72" s="121">
        <f t="shared" si="14"/>
        <v>103.60044343968445</v>
      </c>
      <c r="K72" s="121">
        <f t="shared" si="14"/>
        <v>101.64930277184797</v>
      </c>
      <c r="L72" s="121">
        <f t="shared" si="14"/>
        <v>100</v>
      </c>
    </row>
    <row r="73" spans="1:19" x14ac:dyDescent="0.35">
      <c r="A73" s="76">
        <f t="shared" si="7"/>
        <v>9</v>
      </c>
      <c r="B73" s="121" t="str">
        <f t="shared" ref="B73:L73" si="15">IF(B$62&gt;maturity,"",IF($A73&gt;B$61,"",IF(B$62=maturity,par,(prob*(coupon_per_period+C73)+(1-prob)*(coupon_per_period+C74))/(1+B24/2))))</f>
        <v/>
      </c>
      <c r="C73" s="121" t="str">
        <f t="shared" si="15"/>
        <v/>
      </c>
      <c r="D73" s="121" t="str">
        <f t="shared" si="15"/>
        <v/>
      </c>
      <c r="E73" s="121" t="str">
        <f t="shared" si="15"/>
        <v/>
      </c>
      <c r="F73" s="121" t="str">
        <f t="shared" si="15"/>
        <v/>
      </c>
      <c r="G73" s="121" t="str">
        <f t="shared" si="15"/>
        <v/>
      </c>
      <c r="H73" s="121" t="str">
        <f t="shared" si="15"/>
        <v/>
      </c>
      <c r="I73" s="121" t="str">
        <f t="shared" si="15"/>
        <v/>
      </c>
      <c r="J73" s="121" t="str">
        <f t="shared" si="15"/>
        <v/>
      </c>
      <c r="K73" s="121">
        <f t="shared" si="15"/>
        <v>101.9033975609368</v>
      </c>
      <c r="L73" s="121">
        <f t="shared" si="15"/>
        <v>100</v>
      </c>
    </row>
    <row r="74" spans="1:19" x14ac:dyDescent="0.35">
      <c r="A74" s="76">
        <f t="shared" si="7"/>
        <v>10</v>
      </c>
      <c r="B74" s="121" t="str">
        <f t="shared" ref="B74:L74" si="16">IF(B$62&gt;maturity,"",IF($A74&gt;B$61,"",IF(B$62=maturity,par,(prob*(coupon_per_period+C74)+(1-prob)*(coupon_per_period+C75))/(1+B25/2))))</f>
        <v/>
      </c>
      <c r="C74" s="121" t="str">
        <f t="shared" si="16"/>
        <v/>
      </c>
      <c r="D74" s="121" t="str">
        <f t="shared" si="16"/>
        <v/>
      </c>
      <c r="E74" s="121" t="str">
        <f t="shared" si="16"/>
        <v/>
      </c>
      <c r="F74" s="121" t="str">
        <f t="shared" si="16"/>
        <v/>
      </c>
      <c r="G74" s="121" t="str">
        <f t="shared" si="16"/>
        <v/>
      </c>
      <c r="H74" s="121" t="str">
        <f t="shared" si="16"/>
        <v/>
      </c>
      <c r="I74" s="121" t="str">
        <f t="shared" si="16"/>
        <v/>
      </c>
      <c r="J74" s="121" t="str">
        <f t="shared" si="16"/>
        <v/>
      </c>
      <c r="K74" s="121" t="str">
        <f t="shared" si="16"/>
        <v/>
      </c>
      <c r="L74" s="121">
        <f t="shared" si="16"/>
        <v>100</v>
      </c>
    </row>
    <row r="77" spans="1:19" x14ac:dyDescent="0.35">
      <c r="A77" s="209" t="s">
        <v>208</v>
      </c>
      <c r="B77" s="209"/>
      <c r="C77" s="209"/>
      <c r="D77" s="209"/>
      <c r="E77" s="209"/>
      <c r="F77" s="209"/>
      <c r="G77" s="209"/>
      <c r="H77" s="209"/>
      <c r="I77" s="209"/>
      <c r="J77" s="209"/>
      <c r="K77" s="209"/>
      <c r="L77" s="209"/>
      <c r="M77" s="209"/>
      <c r="N77" s="209"/>
      <c r="O77" s="209"/>
      <c r="P77" s="209"/>
      <c r="Q77" s="209"/>
      <c r="R77" s="209"/>
      <c r="S77" s="209"/>
    </row>
    <row r="79" spans="1:19" x14ac:dyDescent="0.35">
      <c r="A79" s="76" t="s">
        <v>209</v>
      </c>
    </row>
    <row r="80" spans="1:19" x14ac:dyDescent="0.35">
      <c r="A80" s="76" t="s">
        <v>84</v>
      </c>
      <c r="B80" s="76" t="s">
        <v>210</v>
      </c>
      <c r="C80" s="76" t="s">
        <v>211</v>
      </c>
      <c r="D80" s="76" t="s">
        <v>85</v>
      </c>
      <c r="E80" s="76" t="s">
        <v>65</v>
      </c>
    </row>
    <row r="81" spans="1:19" x14ac:dyDescent="0.35">
      <c r="A81" s="76" cm="1">
        <f t="array" ref="A81:A90">_xlfn.ANCHORARRAY(A37)</f>
        <v>1</v>
      </c>
      <c r="B81" s="76" cm="1">
        <f t="array" ref="B81:B90">B37:B46</f>
        <v>0.5</v>
      </c>
      <c r="C81" s="80" cm="1">
        <f t="array" ref="C81:C90">D37:D46</f>
        <v>1.7475909979246751E-2</v>
      </c>
      <c r="D81" s="121">
        <f t="shared" ref="D81:D90" si="17">IF(B81&lt;maturity,coupon_per_period,par+coupon_per_period)</f>
        <v>2.625</v>
      </c>
      <c r="E81" s="121">
        <f>D81/(1+C81/2)^(A81)</f>
        <v>2.6022615556554554</v>
      </c>
    </row>
    <row r="82" spans="1:19" x14ac:dyDescent="0.35">
      <c r="A82" s="76">
        <v>2</v>
      </c>
      <c r="B82" s="76">
        <v>1</v>
      </c>
      <c r="C82" s="80">
        <v>2.1413833739093668E-2</v>
      </c>
      <c r="D82" s="121">
        <f t="shared" si="17"/>
        <v>2.625</v>
      </c>
      <c r="E82" s="121">
        <f t="shared" ref="E82:E90" si="18">D82/(1+C82/2)^(A82)</f>
        <v>2.5696787436126591</v>
      </c>
    </row>
    <row r="83" spans="1:19" x14ac:dyDescent="0.35">
      <c r="A83" s="76">
        <v>3</v>
      </c>
      <c r="B83" s="76">
        <v>1.5</v>
      </c>
      <c r="C83" s="80">
        <v>2.6323733403120109E-2</v>
      </c>
      <c r="D83" s="121">
        <f t="shared" si="17"/>
        <v>2.625</v>
      </c>
      <c r="E83" s="121">
        <f t="shared" si="18"/>
        <v>2.5240200546310483</v>
      </c>
    </row>
    <row r="84" spans="1:19" x14ac:dyDescent="0.35">
      <c r="A84" s="76">
        <v>4</v>
      </c>
      <c r="B84" s="76">
        <v>2</v>
      </c>
      <c r="C84" s="80">
        <v>3.0632212075052401E-2</v>
      </c>
      <c r="D84" s="121">
        <f t="shared" si="17"/>
        <v>2.625</v>
      </c>
      <c r="E84" s="121">
        <f t="shared" si="18"/>
        <v>2.4701550005554984</v>
      </c>
    </row>
    <row r="85" spans="1:19" x14ac:dyDescent="0.35">
      <c r="A85" s="76">
        <v>5</v>
      </c>
      <c r="B85" s="76">
        <v>2.5</v>
      </c>
      <c r="C85" s="80">
        <v>3.4901022799481485E-2</v>
      </c>
      <c r="D85" s="121">
        <f t="shared" si="17"/>
        <v>2.625</v>
      </c>
      <c r="E85" s="121">
        <f t="shared" si="18"/>
        <v>2.4074808190891965</v>
      </c>
    </row>
    <row r="86" spans="1:19" x14ac:dyDescent="0.35">
      <c r="A86" s="76">
        <v>6</v>
      </c>
      <c r="B86" s="76">
        <v>3</v>
      </c>
      <c r="C86" s="80">
        <v>3.8363296952287573E-2</v>
      </c>
      <c r="D86" s="121">
        <f t="shared" si="17"/>
        <v>2.625</v>
      </c>
      <c r="E86" s="121">
        <f t="shared" si="18"/>
        <v>2.3421771361391537</v>
      </c>
    </row>
    <row r="87" spans="1:19" x14ac:dyDescent="0.35">
      <c r="A87" s="76">
        <v>7</v>
      </c>
      <c r="B87" s="76">
        <v>3.5</v>
      </c>
      <c r="C87" s="80">
        <v>4.0810800671487346E-2</v>
      </c>
      <c r="D87" s="121">
        <f t="shared" si="17"/>
        <v>2.625</v>
      </c>
      <c r="E87" s="121">
        <f t="shared" si="18"/>
        <v>2.2788727174843126</v>
      </c>
    </row>
    <row r="88" spans="1:19" x14ac:dyDescent="0.35">
      <c r="A88" s="76">
        <v>8</v>
      </c>
      <c r="B88" s="76">
        <v>4</v>
      </c>
      <c r="C88" s="80">
        <v>4.2546227185723318E-2</v>
      </c>
      <c r="D88" s="121">
        <f t="shared" si="17"/>
        <v>2.625</v>
      </c>
      <c r="E88" s="121">
        <f t="shared" si="18"/>
        <v>2.2181663793852278</v>
      </c>
    </row>
    <row r="89" spans="1:19" x14ac:dyDescent="0.35">
      <c r="A89" s="76">
        <v>9</v>
      </c>
      <c r="B89" s="76">
        <v>4.5</v>
      </c>
      <c r="C89" s="80">
        <v>4.4078711677882687E-2</v>
      </c>
      <c r="D89" s="121">
        <f t="shared" si="17"/>
        <v>2.625</v>
      </c>
      <c r="E89" s="121">
        <f t="shared" si="18"/>
        <v>2.1573506088031889</v>
      </c>
    </row>
    <row r="90" spans="1:19" x14ac:dyDescent="0.35">
      <c r="A90" s="76">
        <v>10</v>
      </c>
      <c r="B90" s="76">
        <v>5</v>
      </c>
      <c r="C90" s="80">
        <v>4.5714629446547139E-2</v>
      </c>
      <c r="D90" s="121">
        <f t="shared" si="17"/>
        <v>102.625</v>
      </c>
      <c r="E90" s="121">
        <f t="shared" si="18"/>
        <v>81.865820230288634</v>
      </c>
    </row>
    <row r="92" spans="1:19" x14ac:dyDescent="0.35">
      <c r="D92" s="76" t="s">
        <v>212</v>
      </c>
      <c r="E92" s="121">
        <f>SUM(E81:E90)</f>
        <v>103.43598324564437</v>
      </c>
    </row>
    <row r="93" spans="1:19" x14ac:dyDescent="0.35">
      <c r="C93" s="104"/>
      <c r="D93" s="104" t="s">
        <v>34</v>
      </c>
      <c r="E93" s="109">
        <f>B64-E92</f>
        <v>0</v>
      </c>
    </row>
    <row r="96" spans="1:19" x14ac:dyDescent="0.35">
      <c r="A96" s="209" t="s">
        <v>213</v>
      </c>
      <c r="B96" s="209"/>
      <c r="C96" s="209"/>
      <c r="D96" s="209"/>
      <c r="E96" s="209"/>
      <c r="F96" s="209"/>
      <c r="G96" s="209"/>
      <c r="H96" s="209"/>
      <c r="I96" s="209"/>
      <c r="J96" s="209"/>
      <c r="K96" s="209"/>
      <c r="L96" s="209"/>
      <c r="M96" s="209"/>
      <c r="N96" s="209"/>
      <c r="O96" s="209"/>
      <c r="P96" s="209"/>
      <c r="Q96" s="209"/>
      <c r="R96" s="209"/>
      <c r="S96" s="209"/>
    </row>
    <row r="97" spans="1:19" x14ac:dyDescent="0.35">
      <c r="A97" s="209" t="s">
        <v>214</v>
      </c>
      <c r="B97" s="209"/>
      <c r="C97" s="209"/>
      <c r="D97" s="209"/>
      <c r="E97" s="209"/>
      <c r="F97" s="209"/>
      <c r="G97" s="209"/>
      <c r="H97" s="209"/>
      <c r="I97" s="209"/>
      <c r="J97" s="209"/>
      <c r="K97" s="209"/>
      <c r="L97" s="209"/>
      <c r="M97" s="209"/>
      <c r="N97" s="209"/>
      <c r="O97" s="209"/>
      <c r="P97" s="209"/>
      <c r="Q97" s="209"/>
      <c r="R97" s="209"/>
      <c r="S97" s="209"/>
    </row>
    <row r="99" spans="1:19" x14ac:dyDescent="0.35">
      <c r="A99" s="229" t="s">
        <v>215</v>
      </c>
      <c r="B99" s="229"/>
      <c r="C99" s="75">
        <f>par</f>
        <v>100</v>
      </c>
    </row>
    <row r="100" spans="1:19" x14ac:dyDescent="0.35">
      <c r="A100" s="229" t="s">
        <v>292</v>
      </c>
      <c r="B100" s="229"/>
      <c r="C100" s="75">
        <v>1</v>
      </c>
    </row>
    <row r="101" spans="1:19" x14ac:dyDescent="0.35">
      <c r="B101" s="81" t="s">
        <v>195</v>
      </c>
    </row>
    <row r="102" spans="1:19" x14ac:dyDescent="0.35">
      <c r="A102" s="81" t="s">
        <v>84</v>
      </c>
      <c r="B102" s="76">
        <v>0</v>
      </c>
      <c r="C102" s="76">
        <f>B102+1</f>
        <v>1</v>
      </c>
      <c r="D102" s="76">
        <f t="shared" ref="D102" si="19">C102+1</f>
        <v>2</v>
      </c>
      <c r="E102" s="76">
        <f t="shared" ref="E102" si="20">D102+1</f>
        <v>3</v>
      </c>
      <c r="F102" s="76">
        <f t="shared" ref="F102" si="21">E102+1</f>
        <v>4</v>
      </c>
      <c r="G102" s="76">
        <f t="shared" ref="G102" si="22">F102+1</f>
        <v>5</v>
      </c>
      <c r="H102" s="76">
        <f t="shared" ref="H102" si="23">G102+1</f>
        <v>6</v>
      </c>
      <c r="I102" s="76">
        <f t="shared" ref="I102" si="24">H102+1</f>
        <v>7</v>
      </c>
      <c r="J102" s="76">
        <f t="shared" ref="J102" si="25">I102+1</f>
        <v>8</v>
      </c>
      <c r="K102" s="76">
        <f t="shared" ref="K102" si="26">J102+1</f>
        <v>9</v>
      </c>
      <c r="L102" s="76">
        <f t="shared" ref="L102" si="27">K102+1</f>
        <v>10</v>
      </c>
    </row>
    <row r="103" spans="1:19" x14ac:dyDescent="0.35">
      <c r="A103" s="81" t="s">
        <v>205</v>
      </c>
      <c r="B103" s="76">
        <f>B102*$B$9</f>
        <v>0</v>
      </c>
      <c r="C103" s="76">
        <f t="shared" ref="C103" si="28">C102*$B$9</f>
        <v>0.5</v>
      </c>
      <c r="D103" s="76">
        <f t="shared" ref="D103" si="29">D102*$B$9</f>
        <v>1</v>
      </c>
      <c r="E103" s="76">
        <f t="shared" ref="E103" si="30">E102*$B$9</f>
        <v>1.5</v>
      </c>
      <c r="F103" s="76">
        <f t="shared" ref="F103" si="31">F102*$B$9</f>
        <v>2</v>
      </c>
      <c r="G103" s="76">
        <f t="shared" ref="G103" si="32">G102*$B$9</f>
        <v>2.5</v>
      </c>
      <c r="H103" s="76">
        <f t="shared" ref="H103" si="33">H102*$B$9</f>
        <v>3</v>
      </c>
      <c r="I103" s="76">
        <f t="shared" ref="I103" si="34">I102*$B$9</f>
        <v>3.5</v>
      </c>
      <c r="J103" s="76">
        <f t="shared" ref="J103" si="35">J102*$B$9</f>
        <v>4</v>
      </c>
      <c r="K103" s="76">
        <f t="shared" ref="K103" si="36">K102*$B$9</f>
        <v>4.5</v>
      </c>
      <c r="L103" s="76">
        <f t="shared" ref="L103" si="37">L102*$B$9</f>
        <v>5</v>
      </c>
    </row>
    <row r="105" spans="1:19" x14ac:dyDescent="0.35">
      <c r="A105" s="76">
        <v>0</v>
      </c>
      <c r="B105" s="143">
        <f>IF(B$103&gt;maturity,"",IF($A105&gt;B$102,"",IF(B$103&gt;=call_limit,IF(B$103=maturity,par,MIN(call_price,(prob*(coupon_per_period+C105)+(1-prob)*(coupon_per_period+C106))/(1+B15/2))),(prob*(coupon_per_period+C105)+(1-prob)*(coupon_per_period+C106))/(1+B15/2))))</f>
        <v>101.31031523514359</v>
      </c>
      <c r="C105" s="144">
        <f t="shared" ref="C105:K105" si="38">IF(C$103&gt;maturity,"",IF($A105&gt;C$102,"",IF(C$103&gt;=call_limit,IF(C$103=maturity,par,MIN(call_price,(prob*(coupon_per_period+D105)+(1-prob)*(coupon_per_period+D106))/(1+C15/2))),(prob*(coupon_per_period+D105)+(1-prob)*(coupon_per_period+D106))/(1+C15/2))))</f>
        <v>97.953673240696247</v>
      </c>
      <c r="D105" s="144">
        <f t="shared" si="38"/>
        <v>94.214429792477802</v>
      </c>
      <c r="E105" s="144">
        <f t="shared" si="38"/>
        <v>90.835267887317855</v>
      </c>
      <c r="F105" s="144">
        <f t="shared" si="38"/>
        <v>88.073936191347585</v>
      </c>
      <c r="G105" s="144">
        <f t="shared" si="38"/>
        <v>86.390926743196175</v>
      </c>
      <c r="H105" s="144">
        <f t="shared" si="38"/>
        <v>85.799915060553616</v>
      </c>
      <c r="I105" s="144">
        <f t="shared" si="38"/>
        <v>86.269780789550865</v>
      </c>
      <c r="J105" s="144">
        <f t="shared" si="38"/>
        <v>88.082444266159911</v>
      </c>
      <c r="K105" s="144">
        <f t="shared" si="38"/>
        <v>92.137834199845187</v>
      </c>
      <c r="L105" s="144">
        <f>IF(L$103&gt;maturity,"",IF($A105&gt;L$102,"",IF(L$103&gt;=call_limit,IF(L$103=maturity,par,MIN(call_price,(prob*(coupon_per_period+M105)+(1-prob)*(coupon_per_period+M106))/(1+L15/2))),(prob*(coupon_per_period+M105)+(1-prob)*(coupon_per_period+M106))/(1+L15/2))))</f>
        <v>100</v>
      </c>
    </row>
    <row r="106" spans="1:19" x14ac:dyDescent="0.35">
      <c r="A106" s="76">
        <f>A105+1</f>
        <v>1</v>
      </c>
      <c r="B106" s="144" t="str">
        <f t="shared" ref="B106:L106" si="39">IF(B$103&gt;maturity,"",IF($A106&gt;B$102,"",IF(B$103&gt;=call_limit,IF(B$103=maturity,par,MIN(call_price,(prob*(coupon_per_period+C106)+(1-prob)*(coupon_per_period+C107))/(1+B16/2))),(prob*(coupon_per_period+C106)+(1-prob)*(coupon_per_period+C107))/(1+B16/2))))</f>
        <v/>
      </c>
      <c r="C106" s="144">
        <f t="shared" si="39"/>
        <v>101.1874471786094</v>
      </c>
      <c r="D106" s="144">
        <f t="shared" si="39"/>
        <v>99.303479957658226</v>
      </c>
      <c r="E106" s="144">
        <f t="shared" si="39"/>
        <v>96.870266043023932</v>
      </c>
      <c r="F106" s="144">
        <f t="shared" si="39"/>
        <v>94.422239734468789</v>
      </c>
      <c r="G106" s="144">
        <f t="shared" si="39"/>
        <v>92.646000525623691</v>
      </c>
      <c r="H106" s="144">
        <f t="shared" si="39"/>
        <v>91.639255694748599</v>
      </c>
      <c r="I106" s="144">
        <f t="shared" si="39"/>
        <v>91.445938873327307</v>
      </c>
      <c r="J106" s="144">
        <f t="shared" si="39"/>
        <v>92.274647818424498</v>
      </c>
      <c r="K106" s="144">
        <f t="shared" si="39"/>
        <v>94.770444639593251</v>
      </c>
      <c r="L106" s="144">
        <f t="shared" si="39"/>
        <v>100</v>
      </c>
    </row>
    <row r="107" spans="1:19" x14ac:dyDescent="0.35">
      <c r="A107" s="76">
        <f t="shared" ref="A107:A115" si="40">A106+1</f>
        <v>2</v>
      </c>
      <c r="B107" s="144" t="str">
        <f t="shared" ref="B107:L107" si="41">IF(B$103&gt;maturity,"",IF($A107&gt;B$102,"",IF(B$103&gt;=call_limit,IF(B$103=maturity,par,MIN(call_price,(prob*(coupon_per_period+C107)+(1-prob)*(coupon_per_period+C108))/(1+B17/2))),(prob*(coupon_per_period+C107)+(1-prob)*(coupon_per_period+C108))/(1+B17/2))))</f>
        <v/>
      </c>
      <c r="C107" s="144" t="str">
        <f t="shared" si="41"/>
        <v/>
      </c>
      <c r="D107" s="144">
        <f t="shared" si="41"/>
        <v>100</v>
      </c>
      <c r="E107" s="144">
        <f t="shared" si="41"/>
        <v>100</v>
      </c>
      <c r="F107" s="144">
        <f t="shared" si="41"/>
        <v>98.833631460317946</v>
      </c>
      <c r="G107" s="144">
        <f t="shared" si="41"/>
        <v>97.355589436580701</v>
      </c>
      <c r="H107" s="144">
        <f t="shared" si="41"/>
        <v>96.193264526461761</v>
      </c>
      <c r="I107" s="144">
        <f t="shared" si="41"/>
        <v>95.473892554189632</v>
      </c>
      <c r="J107" s="144">
        <f t="shared" si="41"/>
        <v>95.500599525627081</v>
      </c>
      <c r="K107" s="144">
        <f t="shared" si="41"/>
        <v>96.763217341562211</v>
      </c>
      <c r="L107" s="144">
        <f t="shared" si="41"/>
        <v>100</v>
      </c>
    </row>
    <row r="108" spans="1:19" x14ac:dyDescent="0.35">
      <c r="A108" s="76">
        <f t="shared" si="40"/>
        <v>3</v>
      </c>
      <c r="B108" s="144" t="str">
        <f t="shared" ref="B108:L108" si="42">IF(B$103&gt;maturity,"",IF($A108&gt;B$102,"",IF(B$103&gt;=call_limit,IF(B$103=maturity,par,MIN(call_price,(prob*(coupon_per_period+C108)+(1-prob)*(coupon_per_period+C109))/(1+B18/2))),(prob*(coupon_per_period+C108)+(1-prob)*(coupon_per_period+C109))/(1+B18/2))))</f>
        <v/>
      </c>
      <c r="C108" s="144" t="str">
        <f t="shared" si="42"/>
        <v/>
      </c>
      <c r="D108" s="144" t="str">
        <f t="shared" si="42"/>
        <v/>
      </c>
      <c r="E108" s="144">
        <f t="shared" si="42"/>
        <v>100</v>
      </c>
      <c r="F108" s="144">
        <f t="shared" si="42"/>
        <v>100</v>
      </c>
      <c r="G108" s="144">
        <f t="shared" si="42"/>
        <v>99.993770083178049</v>
      </c>
      <c r="H108" s="144">
        <f t="shared" si="42"/>
        <v>99.282295716438242</v>
      </c>
      <c r="I108" s="144">
        <f t="shared" si="42"/>
        <v>98.513795229376697</v>
      </c>
      <c r="J108" s="144">
        <f t="shared" si="42"/>
        <v>97.956643971988882</v>
      </c>
      <c r="K108" s="144">
        <f t="shared" si="42"/>
        <v>98.262046696520571</v>
      </c>
      <c r="L108" s="144">
        <f t="shared" si="42"/>
        <v>100</v>
      </c>
    </row>
    <row r="109" spans="1:19" x14ac:dyDescent="0.35">
      <c r="A109" s="76">
        <f t="shared" si="40"/>
        <v>4</v>
      </c>
      <c r="B109" s="144" t="str">
        <f t="shared" ref="B109:L109" si="43">IF(B$103&gt;maturity,"",IF($A109&gt;B$102,"",IF(B$103&gt;=call_limit,IF(B$103=maturity,par,MIN(call_price,(prob*(coupon_per_period+C109)+(1-prob)*(coupon_per_period+C110))/(1+B19/2))),(prob*(coupon_per_period+C109)+(1-prob)*(coupon_per_period+C110))/(1+B19/2))))</f>
        <v/>
      </c>
      <c r="C109" s="144" t="str">
        <f t="shared" si="43"/>
        <v/>
      </c>
      <c r="D109" s="144" t="str">
        <f t="shared" si="43"/>
        <v/>
      </c>
      <c r="E109" s="144" t="str">
        <f t="shared" si="43"/>
        <v/>
      </c>
      <c r="F109" s="144">
        <f t="shared" si="43"/>
        <v>100</v>
      </c>
      <c r="G109" s="144">
        <f t="shared" si="43"/>
        <v>100</v>
      </c>
      <c r="H109" s="144">
        <f t="shared" si="43"/>
        <v>100</v>
      </c>
      <c r="I109" s="144">
        <f t="shared" si="43"/>
        <v>100</v>
      </c>
      <c r="J109" s="144">
        <f t="shared" si="43"/>
        <v>99.704122079375779</v>
      </c>
      <c r="K109" s="144">
        <f t="shared" si="43"/>
        <v>99.384052205775888</v>
      </c>
      <c r="L109" s="144">
        <f t="shared" si="43"/>
        <v>100</v>
      </c>
      <c r="O109" s="124"/>
    </row>
    <row r="110" spans="1:19" x14ac:dyDescent="0.35">
      <c r="A110" s="76">
        <f t="shared" si="40"/>
        <v>5</v>
      </c>
      <c r="B110" s="144" t="str">
        <f t="shared" ref="B110:L110" si="44">IF(B$103&gt;maturity,"",IF($A110&gt;B$102,"",IF(B$103&gt;=call_limit,IF(B$103=maturity,par,MIN(call_price,(prob*(coupon_per_period+C110)+(1-prob)*(coupon_per_period+C111))/(1+B20/2))),(prob*(coupon_per_period+C110)+(1-prob)*(coupon_per_period+C111))/(1+B20/2))))</f>
        <v/>
      </c>
      <c r="C110" s="144" t="str">
        <f t="shared" si="44"/>
        <v/>
      </c>
      <c r="D110" s="144" t="str">
        <f t="shared" si="44"/>
        <v/>
      </c>
      <c r="E110" s="144" t="str">
        <f t="shared" si="44"/>
        <v/>
      </c>
      <c r="F110" s="144" t="str">
        <f t="shared" si="44"/>
        <v/>
      </c>
      <c r="G110" s="144">
        <f t="shared" si="44"/>
        <v>100</v>
      </c>
      <c r="H110" s="144">
        <f t="shared" si="44"/>
        <v>100</v>
      </c>
      <c r="I110" s="144">
        <f t="shared" si="44"/>
        <v>100</v>
      </c>
      <c r="J110" s="144">
        <f t="shared" si="44"/>
        <v>100</v>
      </c>
      <c r="K110" s="144">
        <f t="shared" si="44"/>
        <v>100</v>
      </c>
      <c r="L110" s="144">
        <f t="shared" si="44"/>
        <v>100</v>
      </c>
    </row>
    <row r="111" spans="1:19" x14ac:dyDescent="0.35">
      <c r="A111" s="76">
        <f t="shared" si="40"/>
        <v>6</v>
      </c>
      <c r="B111" s="144" t="str">
        <f t="shared" ref="B111:L111" si="45">IF(B$103&gt;maturity,"",IF($A111&gt;B$102,"",IF(B$103&gt;=call_limit,IF(B$103=maturity,par,MIN(call_price,(prob*(coupon_per_period+C111)+(1-prob)*(coupon_per_period+C112))/(1+B21/2))),(prob*(coupon_per_period+C111)+(1-prob)*(coupon_per_period+C112))/(1+B21/2))))</f>
        <v/>
      </c>
      <c r="C111" s="144" t="str">
        <f t="shared" si="45"/>
        <v/>
      </c>
      <c r="D111" s="144" t="str">
        <f t="shared" si="45"/>
        <v/>
      </c>
      <c r="E111" s="144" t="str">
        <f t="shared" si="45"/>
        <v/>
      </c>
      <c r="F111" s="144" t="str">
        <f t="shared" si="45"/>
        <v/>
      </c>
      <c r="G111" s="144" t="str">
        <f t="shared" si="45"/>
        <v/>
      </c>
      <c r="H111" s="144">
        <f t="shared" si="45"/>
        <v>100</v>
      </c>
      <c r="I111" s="144">
        <f t="shared" si="45"/>
        <v>100</v>
      </c>
      <c r="J111" s="144">
        <f t="shared" si="45"/>
        <v>100</v>
      </c>
      <c r="K111" s="144">
        <f t="shared" si="45"/>
        <v>100</v>
      </c>
      <c r="L111" s="144">
        <f t="shared" si="45"/>
        <v>100</v>
      </c>
    </row>
    <row r="112" spans="1:19" x14ac:dyDescent="0.35">
      <c r="A112" s="76">
        <f t="shared" si="40"/>
        <v>7</v>
      </c>
      <c r="B112" s="144" t="str">
        <f t="shared" ref="B112:L112" si="46">IF(B$103&gt;maturity,"",IF($A112&gt;B$102,"",IF(B$103&gt;=call_limit,IF(B$103=maturity,par,MIN(call_price,(prob*(coupon_per_period+C112)+(1-prob)*(coupon_per_period+C113))/(1+B22/2))),(prob*(coupon_per_period+C112)+(1-prob)*(coupon_per_period+C113))/(1+B22/2))))</f>
        <v/>
      </c>
      <c r="C112" s="144" t="str">
        <f t="shared" si="46"/>
        <v/>
      </c>
      <c r="D112" s="144" t="str">
        <f t="shared" si="46"/>
        <v/>
      </c>
      <c r="E112" s="144" t="str">
        <f t="shared" si="46"/>
        <v/>
      </c>
      <c r="F112" s="144" t="str">
        <f t="shared" si="46"/>
        <v/>
      </c>
      <c r="G112" s="144" t="str">
        <f t="shared" si="46"/>
        <v/>
      </c>
      <c r="H112" s="144" t="str">
        <f t="shared" si="46"/>
        <v/>
      </c>
      <c r="I112" s="144">
        <f t="shared" si="46"/>
        <v>100</v>
      </c>
      <c r="J112" s="144">
        <f t="shared" si="46"/>
        <v>100</v>
      </c>
      <c r="K112" s="144">
        <f t="shared" si="46"/>
        <v>100</v>
      </c>
      <c r="L112" s="144">
        <f t="shared" si="46"/>
        <v>100</v>
      </c>
    </row>
    <row r="113" spans="1:19" x14ac:dyDescent="0.35">
      <c r="A113" s="76">
        <f t="shared" si="40"/>
        <v>8</v>
      </c>
      <c r="B113" s="144" t="str">
        <f t="shared" ref="B113:L113" si="47">IF(B$103&gt;maturity,"",IF($A113&gt;B$102,"",IF(B$103&gt;=call_limit,IF(B$103=maturity,par,MIN(call_price,(prob*(coupon_per_period+C113)+(1-prob)*(coupon_per_period+C114))/(1+B23/2))),(prob*(coupon_per_period+C113)+(1-prob)*(coupon_per_period+C114))/(1+B23/2))))</f>
        <v/>
      </c>
      <c r="C113" s="144" t="str">
        <f t="shared" si="47"/>
        <v/>
      </c>
      <c r="D113" s="144" t="str">
        <f t="shared" si="47"/>
        <v/>
      </c>
      <c r="E113" s="144" t="str">
        <f t="shared" si="47"/>
        <v/>
      </c>
      <c r="F113" s="144" t="str">
        <f t="shared" si="47"/>
        <v/>
      </c>
      <c r="G113" s="144" t="str">
        <f t="shared" si="47"/>
        <v/>
      </c>
      <c r="H113" s="144" t="str">
        <f t="shared" si="47"/>
        <v/>
      </c>
      <c r="I113" s="144" t="str">
        <f t="shared" si="47"/>
        <v/>
      </c>
      <c r="J113" s="144">
        <f t="shared" si="47"/>
        <v>100</v>
      </c>
      <c r="K113" s="144">
        <f t="shared" si="47"/>
        <v>100</v>
      </c>
      <c r="L113" s="144">
        <f t="shared" si="47"/>
        <v>100</v>
      </c>
    </row>
    <row r="114" spans="1:19" x14ac:dyDescent="0.35">
      <c r="A114" s="76">
        <f t="shared" si="40"/>
        <v>9</v>
      </c>
      <c r="B114" s="144" t="str">
        <f t="shared" ref="B114:L114" si="48">IF(B$103&gt;maturity,"",IF($A114&gt;B$102,"",IF(B$103&gt;=call_limit,IF(B$103=maturity,par,MIN(call_price,(prob*(coupon_per_period+C114)+(1-prob)*(coupon_per_period+C115))/(1+B24/2))),(prob*(coupon_per_period+C114)+(1-prob)*(coupon_per_period+C115))/(1+B24/2))))</f>
        <v/>
      </c>
      <c r="C114" s="144" t="str">
        <f t="shared" si="48"/>
        <v/>
      </c>
      <c r="D114" s="144" t="str">
        <f t="shared" si="48"/>
        <v/>
      </c>
      <c r="E114" s="144" t="str">
        <f t="shared" si="48"/>
        <v/>
      </c>
      <c r="F114" s="144" t="str">
        <f t="shared" si="48"/>
        <v/>
      </c>
      <c r="G114" s="144" t="str">
        <f t="shared" si="48"/>
        <v/>
      </c>
      <c r="H114" s="144" t="str">
        <f t="shared" si="48"/>
        <v/>
      </c>
      <c r="I114" s="144" t="str">
        <f t="shared" si="48"/>
        <v/>
      </c>
      <c r="J114" s="144" t="str">
        <f t="shared" si="48"/>
        <v/>
      </c>
      <c r="K114" s="144">
        <f t="shared" si="48"/>
        <v>100</v>
      </c>
      <c r="L114" s="144">
        <f t="shared" si="48"/>
        <v>100</v>
      </c>
    </row>
    <row r="115" spans="1:19" x14ac:dyDescent="0.35">
      <c r="A115" s="76">
        <f t="shared" si="40"/>
        <v>10</v>
      </c>
      <c r="B115" s="144" t="str">
        <f t="shared" ref="B115:L115" si="49">IF(B$103&gt;maturity,"",IF($A115&gt;B$102,"",IF(B$103&gt;=call_limit,IF(B$103=maturity,par,MIN(call_price,(prob*(coupon_per_period+C115)+(1-prob)*(coupon_per_period+C116))/(1+B25/2))),(prob*(coupon_per_period+C115)+(1-prob)*(coupon_per_period+C116))/(1+B25/2))))</f>
        <v/>
      </c>
      <c r="C115" s="144" t="str">
        <f t="shared" si="49"/>
        <v/>
      </c>
      <c r="D115" s="144" t="str">
        <f t="shared" si="49"/>
        <v/>
      </c>
      <c r="E115" s="144" t="str">
        <f t="shared" si="49"/>
        <v/>
      </c>
      <c r="F115" s="144" t="str">
        <f t="shared" si="49"/>
        <v/>
      </c>
      <c r="G115" s="144" t="str">
        <f t="shared" si="49"/>
        <v/>
      </c>
      <c r="H115" s="144" t="str">
        <f t="shared" si="49"/>
        <v/>
      </c>
      <c r="I115" s="144" t="str">
        <f t="shared" si="49"/>
        <v/>
      </c>
      <c r="J115" s="144" t="str">
        <f t="shared" si="49"/>
        <v/>
      </c>
      <c r="K115" s="144" t="str">
        <f t="shared" si="49"/>
        <v/>
      </c>
      <c r="L115" s="144">
        <f t="shared" si="49"/>
        <v>100</v>
      </c>
    </row>
    <row r="118" spans="1:19" x14ac:dyDescent="0.35">
      <c r="A118" s="209" t="s">
        <v>216</v>
      </c>
      <c r="B118" s="209"/>
      <c r="C118" s="209"/>
      <c r="D118" s="209"/>
      <c r="E118" s="209"/>
      <c r="F118" s="209"/>
      <c r="G118" s="209"/>
      <c r="H118" s="209"/>
      <c r="I118" s="209"/>
      <c r="J118" s="209"/>
      <c r="K118" s="209"/>
      <c r="L118" s="209"/>
      <c r="M118" s="209"/>
      <c r="N118" s="209"/>
      <c r="O118" s="209"/>
      <c r="P118" s="209"/>
      <c r="Q118" s="209"/>
      <c r="R118" s="209"/>
      <c r="S118" s="209"/>
    </row>
    <row r="119" spans="1:19" x14ac:dyDescent="0.35">
      <c r="A119" s="209" t="s">
        <v>217</v>
      </c>
      <c r="B119" s="209"/>
      <c r="C119" s="209"/>
      <c r="D119" s="209"/>
      <c r="E119" s="209"/>
      <c r="F119" s="209"/>
      <c r="G119" s="209"/>
      <c r="H119" s="209"/>
      <c r="I119" s="209"/>
      <c r="J119" s="209"/>
      <c r="K119" s="209"/>
      <c r="L119" s="209"/>
      <c r="M119" s="209"/>
      <c r="N119" s="209"/>
      <c r="O119" s="209"/>
      <c r="P119" s="209"/>
      <c r="Q119" s="209"/>
      <c r="R119" s="209"/>
      <c r="S119" s="209"/>
    </row>
    <row r="121" spans="1:19" x14ac:dyDescent="0.35">
      <c r="A121" s="229" t="s">
        <v>218</v>
      </c>
      <c r="B121" s="229"/>
      <c r="C121" s="145">
        <f>B64</f>
        <v>103.43598324564438</v>
      </c>
    </row>
    <row r="122" spans="1:19" x14ac:dyDescent="0.35">
      <c r="A122" s="229" t="s">
        <v>219</v>
      </c>
      <c r="B122" s="229"/>
      <c r="C122" s="139">
        <f>C121*(1-5%)</f>
        <v>98.264184083362153</v>
      </c>
    </row>
    <row r="123" spans="1:19" x14ac:dyDescent="0.35">
      <c r="A123" s="229" t="s">
        <v>206</v>
      </c>
      <c r="B123" s="229"/>
      <c r="C123" s="75">
        <v>1</v>
      </c>
    </row>
    <row r="124" spans="1:19" x14ac:dyDescent="0.35">
      <c r="A124" s="229" t="s">
        <v>221</v>
      </c>
      <c r="B124" s="229"/>
      <c r="C124" s="75">
        <v>0.5</v>
      </c>
    </row>
    <row r="126" spans="1:19" x14ac:dyDescent="0.35">
      <c r="A126" s="81" t="s">
        <v>223</v>
      </c>
    </row>
    <row r="128" spans="1:19" x14ac:dyDescent="0.35">
      <c r="B128" s="81" t="s">
        <v>195</v>
      </c>
    </row>
    <row r="129" spans="1:4" x14ac:dyDescent="0.35">
      <c r="A129" s="81" t="s">
        <v>84</v>
      </c>
      <c r="B129" s="76">
        <v>0</v>
      </c>
      <c r="C129" s="76">
        <f>B129+1</f>
        <v>1</v>
      </c>
      <c r="D129" s="76">
        <f t="shared" ref="D129" si="50">C129+1</f>
        <v>2</v>
      </c>
    </row>
    <row r="130" spans="1:4" x14ac:dyDescent="0.35">
      <c r="A130" s="81" t="s">
        <v>205</v>
      </c>
      <c r="B130" s="76">
        <f>B129*$B$9</f>
        <v>0</v>
      </c>
      <c r="C130" s="76">
        <f t="shared" ref="C130" si="51">C129*$B$9</f>
        <v>0.5</v>
      </c>
      <c r="D130" s="76">
        <f t="shared" ref="D130" si="52">D129*$B$9</f>
        <v>1</v>
      </c>
    </row>
    <row r="132" spans="1:4" x14ac:dyDescent="0.35">
      <c r="A132" s="81" t="s">
        <v>224</v>
      </c>
      <c r="B132" s="107">
        <f>(C132*prob+C133*(1-prob))/(1+B15/2)</f>
        <v>2.9980066883051819</v>
      </c>
      <c r="C132" s="106">
        <f>(D132*prob+D133*(1-prob))/(1+C15/2)</f>
        <v>1.2039522000148675</v>
      </c>
      <c r="D132" s="106">
        <f>MAX(D64-$C$122,0)</f>
        <v>0</v>
      </c>
    </row>
    <row r="133" spans="1:4" x14ac:dyDescent="0.35">
      <c r="B133" s="106"/>
      <c r="C133" s="106">
        <f>(D133*prob+D134*(1-prob))/(1+C16/2)</f>
        <v>4.8444540715974966</v>
      </c>
      <c r="D133" s="106">
        <f>MAX(D65-$C$122,0)</f>
        <v>2.4430636883621162</v>
      </c>
    </row>
    <row r="134" spans="1:4" x14ac:dyDescent="0.35">
      <c r="B134" s="106"/>
      <c r="C134" s="106"/>
      <c r="D134" s="106">
        <f>MAX(D66-$C$122,0)</f>
        <v>7.3501465019409835</v>
      </c>
    </row>
    <row r="135" spans="1:4" x14ac:dyDescent="0.35">
      <c r="B135" s="106"/>
      <c r="C135" s="106"/>
      <c r="D135" s="106"/>
    </row>
    <row r="136" spans="1:4" x14ac:dyDescent="0.35">
      <c r="A136" s="81" t="s">
        <v>225</v>
      </c>
      <c r="B136" s="107">
        <f>(C136*prob+C137*(1-prob))/(1+B15/2)</f>
        <v>2.9980066883817926</v>
      </c>
      <c r="C136" s="106">
        <f>(D136*prob+D137*(1-prob))/(1+C15/2)</f>
        <v>5.0546535288152459</v>
      </c>
      <c r="D136" s="106">
        <f>MAX($C$142-D64,0)</f>
        <v>8.2480180700522538</v>
      </c>
    </row>
    <row r="137" spans="1:4" x14ac:dyDescent="0.35">
      <c r="B137" s="106"/>
      <c r="C137" s="106">
        <f>(D137*prob+D138*(1-prob))/(1+C16/2)</f>
        <v>0.99375274295167992</v>
      </c>
      <c r="D137" s="106">
        <f>MAX($C$142-D65,0)</f>
        <v>2.0089011775287275</v>
      </c>
    </row>
    <row r="138" spans="1:4" x14ac:dyDescent="0.35">
      <c r="D138" s="106">
        <f>MAX($C$142-D66,0)</f>
        <v>0</v>
      </c>
    </row>
    <row r="139" spans="1:4" x14ac:dyDescent="0.35">
      <c r="A139" s="104" t="s">
        <v>34</v>
      </c>
      <c r="B139" s="110">
        <f>B132-B136</f>
        <v>-7.6610717769654002E-11</v>
      </c>
      <c r="D139" s="106"/>
    </row>
    <row r="140" spans="1:4" x14ac:dyDescent="0.35">
      <c r="C140" s="106"/>
      <c r="D140" s="106"/>
    </row>
    <row r="141" spans="1:4" x14ac:dyDescent="0.35">
      <c r="C141" s="106"/>
    </row>
    <row r="142" spans="1:4" x14ac:dyDescent="0.35">
      <c r="A142" s="215" t="s">
        <v>220</v>
      </c>
      <c r="B142" s="215"/>
      <c r="C142" s="142">
        <v>102.716148949253</v>
      </c>
    </row>
  </sheetData>
  <mergeCells count="28">
    <mergeCell ref="A52:S52"/>
    <mergeCell ref="A54:B54"/>
    <mergeCell ref="A55:B55"/>
    <mergeCell ref="A56:B56"/>
    <mergeCell ref="A28:S28"/>
    <mergeCell ref="A7:S7"/>
    <mergeCell ref="A30:I30"/>
    <mergeCell ref="A49:S49"/>
    <mergeCell ref="A50:S50"/>
    <mergeCell ref="A1:M1"/>
    <mergeCell ref="A2:M2"/>
    <mergeCell ref="A3:M3"/>
    <mergeCell ref="A4:M4"/>
    <mergeCell ref="A5:M5"/>
    <mergeCell ref="A142:B142"/>
    <mergeCell ref="A99:B99"/>
    <mergeCell ref="A97:S97"/>
    <mergeCell ref="A118:S118"/>
    <mergeCell ref="A119:S119"/>
    <mergeCell ref="A124:B124"/>
    <mergeCell ref="A57:B57"/>
    <mergeCell ref="A58:B58"/>
    <mergeCell ref="A121:B121"/>
    <mergeCell ref="A122:B122"/>
    <mergeCell ref="A123:B123"/>
    <mergeCell ref="A100:B100"/>
    <mergeCell ref="A77:S77"/>
    <mergeCell ref="A96:S96"/>
  </mergeCells>
  <phoneticPr fontId="1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36</vt:i4>
      </vt:variant>
    </vt:vector>
  </HeadingPairs>
  <TitlesOfParts>
    <vt:vector size="49" baseType="lpstr">
      <vt:lpstr>Ex1</vt:lpstr>
      <vt:lpstr>Ex2</vt:lpstr>
      <vt:lpstr>Ex3</vt:lpstr>
      <vt:lpstr>Ex4</vt:lpstr>
      <vt:lpstr>Ex5</vt:lpstr>
      <vt:lpstr>Extra1</vt:lpstr>
      <vt:lpstr>Extra2</vt:lpstr>
      <vt:lpstr>Q1</vt:lpstr>
      <vt:lpstr>2a </vt:lpstr>
      <vt:lpstr>2b</vt:lpstr>
      <vt:lpstr>Q3 </vt:lpstr>
      <vt:lpstr>Q4</vt:lpstr>
      <vt:lpstr>Q5</vt:lpstr>
      <vt:lpstr>'Ex1'!AnnualCoupon</vt:lpstr>
      <vt:lpstr>'Ex2'!AnnualCoupon</vt:lpstr>
      <vt:lpstr>'Ex1'!AnnualCoupon1</vt:lpstr>
      <vt:lpstr>'Ex2'!AnnualCoupon1</vt:lpstr>
      <vt:lpstr>'Ex1'!AnnualCoupon2</vt:lpstr>
      <vt:lpstr>'Ex2'!AnnualCoupon2</vt:lpstr>
      <vt:lpstr>'Ex1'!BondPrice</vt:lpstr>
      <vt:lpstr>'Ex2'!BondPrice</vt:lpstr>
      <vt:lpstr>'Ex1'!BondPrice2</vt:lpstr>
      <vt:lpstr>'Ex2'!BondPrice2</vt:lpstr>
      <vt:lpstr>call_limit</vt:lpstr>
      <vt:lpstr>call_price</vt:lpstr>
      <vt:lpstr>coupon_per_period</vt:lpstr>
      <vt:lpstr>couponrate</vt:lpstr>
      <vt:lpstr>'Ex1'!FaceValue</vt:lpstr>
      <vt:lpstr>'Ex2'!FaceValue</vt:lpstr>
      <vt:lpstr>'Q3 '!fixed_rate</vt:lpstr>
      <vt:lpstr>frequency</vt:lpstr>
      <vt:lpstr>'Ex1'!Maturity</vt:lpstr>
      <vt:lpstr>'Ex2'!Maturity</vt:lpstr>
      <vt:lpstr>maturity</vt:lpstr>
      <vt:lpstr>'Ex1'!Maturity2</vt:lpstr>
      <vt:lpstr>'Ex2'!Maturity2</vt:lpstr>
      <vt:lpstr>'Q3 '!notional</vt:lpstr>
      <vt:lpstr>par</vt:lpstr>
      <vt:lpstr>'Ex1'!PeriodCoupon</vt:lpstr>
      <vt:lpstr>'Ex2'!PeriodCoupon</vt:lpstr>
      <vt:lpstr>'Ex1'!PeriodCoupon2</vt:lpstr>
      <vt:lpstr>'Ex2'!PeriodCoupon2</vt:lpstr>
      <vt:lpstr>prob</vt:lpstr>
      <vt:lpstr>'Ex1'!SemiAnnualPeriod</vt:lpstr>
      <vt:lpstr>'Ex2'!SemiAnnualPeriod</vt:lpstr>
      <vt:lpstr>'Ex1'!SemiAnnualPeriod2</vt:lpstr>
      <vt:lpstr>'Ex2'!SemiAnnualPeriod2</vt:lpstr>
      <vt:lpstr>shock</vt:lpstr>
      <vt:lpstr>'Q3 '!spread</vt:lpstr>
    </vt:vector>
  </TitlesOfParts>
  <Company>University of Cambridge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Yazann Romahi</dc:creator>
  <cp:lastModifiedBy>Junhong Wu</cp:lastModifiedBy>
  <cp:lastPrinted>2023-02-13T03:52:16Z</cp:lastPrinted>
  <dcterms:created xsi:type="dcterms:W3CDTF">2002-08-14T18:48:00Z</dcterms:created>
  <dcterms:modified xsi:type="dcterms:W3CDTF">2023-04-10T02:37:34Z</dcterms:modified>
</cp:coreProperties>
</file>